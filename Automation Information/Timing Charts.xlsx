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Lutz\New folder (2)\"/>
    </mc:Choice>
  </mc:AlternateContent>
  <xr:revisionPtr revIDLastSave="0" documentId="13_ncr:1_{094CBBC7-2A0C-498B-8AEA-0A71919E7B35}" xr6:coauthVersionLast="45" xr6:coauthVersionMax="45" xr10:uidLastSave="{00000000-0000-0000-0000-000000000000}"/>
  <bookViews>
    <workbookView xWindow="28680" yWindow="-120" windowWidth="29040" windowHeight="15840" activeTab="8" xr2:uid="{D3ADAA73-9FA8-4755-B259-3A07B571F6E5}"/>
  </bookViews>
  <sheets>
    <sheet name="20ga" sheetId="1" r:id="rId1"/>
    <sheet name="16ga" sheetId="3" r:id="rId2"/>
    <sheet name="12ga" sheetId="4" r:id="rId3"/>
    <sheet name="8ga" sheetId="5" r:id="rId4"/>
    <sheet name="8ga (2)" sheetId="16" r:id="rId5"/>
    <sheet name="316" sheetId="6" r:id="rId6"/>
    <sheet name="1-2 (2)" sheetId="12" r:id="rId7"/>
    <sheet name="1-2" sheetId="7" r:id="rId8"/>
    <sheet name="Graphs" sheetId="8" r:id="rId9"/>
    <sheet name="Combined Data" sheetId="9" r:id="rId10"/>
    <sheet name="Sheet5" sheetId="10" r:id="rId11"/>
    <sheet name="Pierce Time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9" l="1"/>
  <c r="L9" i="9"/>
  <c r="L10" i="9"/>
  <c r="L11" i="9"/>
  <c r="L12" i="9"/>
  <c r="L13" i="9"/>
  <c r="L14" i="9"/>
  <c r="E33" i="16" l="1"/>
  <c r="E5" i="16" l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F19" i="16" s="1"/>
  <c r="E20" i="16"/>
  <c r="E21" i="16"/>
  <c r="E22" i="16"/>
  <c r="E23" i="16"/>
  <c r="E24" i="16"/>
  <c r="E25" i="16"/>
  <c r="E26" i="16"/>
  <c r="E27" i="16"/>
  <c r="E28" i="16"/>
  <c r="E29" i="16"/>
  <c r="E30" i="16"/>
  <c r="E31" i="16"/>
  <c r="F31" i="16" s="1"/>
  <c r="E4" i="16"/>
  <c r="F4" i="16" s="1"/>
  <c r="E34" i="16"/>
  <c r="C30" i="16"/>
  <c r="C29" i="16"/>
  <c r="C28" i="16"/>
  <c r="B27" i="16"/>
  <c r="C27" i="16" s="1"/>
  <c r="B26" i="16"/>
  <c r="C26" i="16" s="1"/>
  <c r="B25" i="16"/>
  <c r="C25" i="16" s="1"/>
  <c r="B24" i="16"/>
  <c r="C24" i="16" s="1"/>
  <c r="B23" i="16"/>
  <c r="C23" i="16" s="1"/>
  <c r="B22" i="16"/>
  <c r="C22" i="16" s="1"/>
  <c r="B21" i="16"/>
  <c r="C21" i="16" s="1"/>
  <c r="B20" i="16"/>
  <c r="C20" i="16" s="1"/>
  <c r="C19" i="16"/>
  <c r="B19" i="16"/>
  <c r="B18" i="16"/>
  <c r="C18" i="16" s="1"/>
  <c r="B17" i="16"/>
  <c r="C17" i="16" s="1"/>
  <c r="B16" i="16"/>
  <c r="C16" i="16" s="1"/>
  <c r="B15" i="16"/>
  <c r="C15" i="16" s="1"/>
  <c r="B14" i="16"/>
  <c r="C14" i="16" s="1"/>
  <c r="B13" i="16"/>
  <c r="C13" i="16" s="1"/>
  <c r="B12" i="16"/>
  <c r="C12" i="16" s="1"/>
  <c r="C11" i="16"/>
  <c r="B11" i="16"/>
  <c r="B10" i="16"/>
  <c r="C10" i="16" s="1"/>
  <c r="B9" i="16"/>
  <c r="C9" i="16" s="1"/>
  <c r="B8" i="16"/>
  <c r="C8" i="16" s="1"/>
  <c r="B7" i="16"/>
  <c r="C7" i="16" s="1"/>
  <c r="B6" i="16"/>
  <c r="C6" i="16" s="1"/>
  <c r="B5" i="16"/>
  <c r="C5" i="16" s="1"/>
  <c r="B4" i="16"/>
  <c r="C4" i="16" s="1"/>
  <c r="F7" i="16" l="1"/>
  <c r="F30" i="16"/>
  <c r="F26" i="16"/>
  <c r="F23" i="16"/>
  <c r="F22" i="16"/>
  <c r="F18" i="16"/>
  <c r="F14" i="16"/>
  <c r="F16" i="16"/>
  <c r="F12" i="16"/>
  <c r="F20" i="16"/>
  <c r="F24" i="16"/>
  <c r="E32" i="16"/>
  <c r="F32" i="16" s="1"/>
  <c r="F28" i="16"/>
  <c r="F17" i="16"/>
  <c r="F11" i="16"/>
  <c r="F15" i="16"/>
  <c r="F29" i="16"/>
  <c r="F5" i="16"/>
  <c r="G4" i="16" s="1"/>
  <c r="F13" i="16"/>
  <c r="F27" i="16"/>
  <c r="F8" i="16"/>
  <c r="F21" i="16"/>
  <c r="F25" i="16"/>
  <c r="G25" i="16" s="1"/>
  <c r="F6" i="16"/>
  <c r="F10" i="16"/>
  <c r="F9" i="16"/>
  <c r="E34" i="12" l="1"/>
  <c r="E33" i="12" l="1"/>
  <c r="E5" i="12"/>
  <c r="E6" i="12"/>
  <c r="F6" i="12" s="1"/>
  <c r="E7" i="12"/>
  <c r="E8" i="12"/>
  <c r="F8" i="12" s="1"/>
  <c r="E9" i="12"/>
  <c r="F9" i="12" s="1"/>
  <c r="E10" i="12"/>
  <c r="F10" i="12" s="1"/>
  <c r="E11" i="12"/>
  <c r="E12" i="12"/>
  <c r="E13" i="12"/>
  <c r="E14" i="12"/>
  <c r="E15" i="12"/>
  <c r="E16" i="12"/>
  <c r="E17" i="12"/>
  <c r="F17" i="12" s="1"/>
  <c r="E18" i="12"/>
  <c r="F18" i="12" s="1"/>
  <c r="E19" i="12"/>
  <c r="E20" i="12"/>
  <c r="F20" i="12" s="1"/>
  <c r="E21" i="12"/>
  <c r="F21" i="12" s="1"/>
  <c r="E22" i="12"/>
  <c r="E23" i="12"/>
  <c r="E24" i="12"/>
  <c r="E25" i="12"/>
  <c r="E26" i="12"/>
  <c r="E27" i="12"/>
  <c r="F27" i="12" s="1"/>
  <c r="E28" i="12"/>
  <c r="F28" i="12" s="1"/>
  <c r="E29" i="12"/>
  <c r="F29" i="12" s="1"/>
  <c r="E30" i="12"/>
  <c r="E31" i="12"/>
  <c r="F31" i="12" s="1"/>
  <c r="E4" i="12"/>
  <c r="C30" i="12"/>
  <c r="C29" i="12"/>
  <c r="C28" i="12"/>
  <c r="B27" i="12"/>
  <c r="C27" i="12" s="1"/>
  <c r="B26" i="12"/>
  <c r="C26" i="12" s="1"/>
  <c r="F26" i="12" s="1"/>
  <c r="B25" i="12"/>
  <c r="C25" i="12" s="1"/>
  <c r="F25" i="12" s="1"/>
  <c r="B24" i="12"/>
  <c r="C24" i="12" s="1"/>
  <c r="B23" i="12"/>
  <c r="C23" i="12" s="1"/>
  <c r="B22" i="12"/>
  <c r="C22" i="12" s="1"/>
  <c r="C21" i="12"/>
  <c r="B21" i="12"/>
  <c r="B20" i="12"/>
  <c r="C20" i="12" s="1"/>
  <c r="B19" i="12"/>
  <c r="C19" i="12" s="1"/>
  <c r="B18" i="12"/>
  <c r="C18" i="12" s="1"/>
  <c r="B17" i="12"/>
  <c r="C17" i="12" s="1"/>
  <c r="B16" i="12"/>
  <c r="C16" i="12" s="1"/>
  <c r="B15" i="12"/>
  <c r="C15" i="12" s="1"/>
  <c r="B14" i="12"/>
  <c r="C14" i="12" s="1"/>
  <c r="B13" i="12"/>
  <c r="C13" i="12" s="1"/>
  <c r="B12" i="12"/>
  <c r="C12" i="12" s="1"/>
  <c r="B11" i="12"/>
  <c r="C11" i="12" s="1"/>
  <c r="B10" i="12"/>
  <c r="C10" i="12" s="1"/>
  <c r="B9" i="12"/>
  <c r="C9" i="12" s="1"/>
  <c r="B8" i="12"/>
  <c r="C8" i="12" s="1"/>
  <c r="B7" i="12"/>
  <c r="C7" i="12" s="1"/>
  <c r="B6" i="12"/>
  <c r="C6" i="12" s="1"/>
  <c r="B5" i="12"/>
  <c r="C5" i="12" s="1"/>
  <c r="B4" i="12"/>
  <c r="C4" i="12" s="1"/>
  <c r="F5" i="12" l="1"/>
  <c r="F30" i="12"/>
  <c r="F16" i="12"/>
  <c r="F4" i="12"/>
  <c r="E32" i="12"/>
  <c r="F32" i="12" s="1"/>
  <c r="F14" i="12"/>
  <c r="F13" i="12"/>
  <c r="F24" i="12"/>
  <c r="F12" i="12"/>
  <c r="F23" i="12"/>
  <c r="G4" i="12"/>
  <c r="G25" i="12" s="1"/>
  <c r="F11" i="12"/>
  <c r="F15" i="12"/>
  <c r="F22" i="12"/>
  <c r="F7" i="12"/>
  <c r="F19" i="12"/>
  <c r="E33" i="1"/>
  <c r="F33" i="1" s="1"/>
  <c r="G20" i="12" l="1"/>
  <c r="F31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4" i="7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F31" i="6" s="1"/>
  <c r="E4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F31" i="5" s="1"/>
  <c r="E4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31" i="4" s="1"/>
  <c r="E4" i="4"/>
  <c r="F31" i="3"/>
  <c r="F31" i="1"/>
  <c r="U9" i="11"/>
  <c r="U8" i="11"/>
  <c r="U7" i="11"/>
  <c r="U6" i="11"/>
  <c r="U11" i="11" l="1"/>
  <c r="N17" i="9"/>
  <c r="N18" i="9"/>
  <c r="N19" i="9"/>
  <c r="N20" i="9"/>
  <c r="N21" i="9"/>
  <c r="N22" i="9"/>
  <c r="N23" i="9"/>
  <c r="N24" i="9"/>
  <c r="N25" i="9"/>
  <c r="N15" i="9"/>
  <c r="N16" i="9"/>
  <c r="K7" i="9" l="1"/>
  <c r="K9" i="9"/>
  <c r="K10" i="9"/>
  <c r="K11" i="9"/>
  <c r="K12" i="9"/>
  <c r="K13" i="9"/>
  <c r="K14" i="9"/>
  <c r="L15" i="9"/>
  <c r="K15" i="9" s="1"/>
  <c r="L16" i="9"/>
  <c r="K16" i="9" s="1"/>
  <c r="L17" i="9"/>
  <c r="K17" i="9" s="1"/>
  <c r="L18" i="9"/>
  <c r="K18" i="9" s="1"/>
  <c r="L19" i="9"/>
  <c r="K19" i="9" s="1"/>
  <c r="L20" i="9"/>
  <c r="K20" i="9" s="1"/>
  <c r="L21" i="9"/>
  <c r="K21" i="9" s="1"/>
  <c r="L22" i="9"/>
  <c r="K22" i="9" s="1"/>
  <c r="L23" i="9"/>
  <c r="K23" i="9" s="1"/>
  <c r="L24" i="9"/>
  <c r="K24" i="9" s="1"/>
  <c r="L25" i="9"/>
  <c r="K25" i="9" s="1"/>
  <c r="K8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5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4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3" i="9"/>
  <c r="B9" i="10"/>
  <c r="B10" i="10"/>
  <c r="B11" i="10"/>
  <c r="B12" i="10"/>
  <c r="B13" i="10"/>
  <c r="B14" i="10"/>
  <c r="B15" i="10"/>
  <c r="B8" i="10"/>
  <c r="C6" i="10"/>
  <c r="B7" i="10"/>
  <c r="B5" i="10"/>
  <c r="C5" i="10" s="1"/>
  <c r="B4" i="10"/>
  <c r="B2" i="10"/>
  <c r="C4" i="10"/>
  <c r="C7" i="10"/>
  <c r="C2" i="10"/>
  <c r="C3" i="10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" i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4" i="3"/>
  <c r="C30" i="7"/>
  <c r="F30" i="7" s="1"/>
  <c r="C29" i="7"/>
  <c r="F29" i="7" s="1"/>
  <c r="C28" i="7"/>
  <c r="F28" i="7" s="1"/>
  <c r="B27" i="7"/>
  <c r="C27" i="7" s="1"/>
  <c r="F27" i="7" s="1"/>
  <c r="B26" i="7"/>
  <c r="C26" i="7" s="1"/>
  <c r="F26" i="7" s="1"/>
  <c r="B25" i="7"/>
  <c r="C25" i="7" s="1"/>
  <c r="F25" i="7" s="1"/>
  <c r="B24" i="7"/>
  <c r="C24" i="7" s="1"/>
  <c r="F24" i="7" s="1"/>
  <c r="B23" i="7"/>
  <c r="C23" i="7" s="1"/>
  <c r="F23" i="7" s="1"/>
  <c r="B22" i="7"/>
  <c r="C22" i="7" s="1"/>
  <c r="F22" i="7" s="1"/>
  <c r="B21" i="7"/>
  <c r="C21" i="7" s="1"/>
  <c r="F21" i="7" s="1"/>
  <c r="B20" i="7"/>
  <c r="C20" i="7" s="1"/>
  <c r="F20" i="7" s="1"/>
  <c r="G20" i="7" s="1"/>
  <c r="B19" i="7"/>
  <c r="C19" i="7" s="1"/>
  <c r="F19" i="7" s="1"/>
  <c r="B18" i="7"/>
  <c r="C18" i="7" s="1"/>
  <c r="F18" i="7" s="1"/>
  <c r="B17" i="7"/>
  <c r="C17" i="7" s="1"/>
  <c r="F17" i="7" s="1"/>
  <c r="B16" i="7"/>
  <c r="C16" i="7" s="1"/>
  <c r="F16" i="7" s="1"/>
  <c r="B15" i="7"/>
  <c r="C15" i="7" s="1"/>
  <c r="F15" i="7" s="1"/>
  <c r="B14" i="7"/>
  <c r="C14" i="7" s="1"/>
  <c r="F14" i="7" s="1"/>
  <c r="B13" i="7"/>
  <c r="C13" i="7" s="1"/>
  <c r="F13" i="7" s="1"/>
  <c r="B12" i="7"/>
  <c r="C12" i="7" s="1"/>
  <c r="F12" i="7" s="1"/>
  <c r="B11" i="7"/>
  <c r="C11" i="7" s="1"/>
  <c r="F11" i="7" s="1"/>
  <c r="B10" i="7"/>
  <c r="C10" i="7" s="1"/>
  <c r="F10" i="7" s="1"/>
  <c r="B9" i="7"/>
  <c r="C9" i="7" s="1"/>
  <c r="F9" i="7" s="1"/>
  <c r="B8" i="7"/>
  <c r="C8" i="7" s="1"/>
  <c r="F8" i="7" s="1"/>
  <c r="B7" i="7"/>
  <c r="C7" i="7" s="1"/>
  <c r="F7" i="7" s="1"/>
  <c r="B6" i="7"/>
  <c r="C6" i="7" s="1"/>
  <c r="F6" i="7" s="1"/>
  <c r="B5" i="7"/>
  <c r="C5" i="7" s="1"/>
  <c r="F5" i="7" s="1"/>
  <c r="B4" i="7"/>
  <c r="C4" i="7" s="1"/>
  <c r="F4" i="7" s="1"/>
  <c r="E32" i="3" l="1"/>
  <c r="G28" i="1"/>
  <c r="G32" i="1"/>
  <c r="E32" i="1"/>
  <c r="G4" i="7"/>
  <c r="G25" i="7" s="1"/>
  <c r="C30" i="6"/>
  <c r="F30" i="6" s="1"/>
  <c r="C29" i="6"/>
  <c r="F29" i="6" s="1"/>
  <c r="C28" i="6"/>
  <c r="F28" i="6" s="1"/>
  <c r="C27" i="6"/>
  <c r="F27" i="6" s="1"/>
  <c r="B27" i="6"/>
  <c r="B26" i="6"/>
  <c r="C26" i="6" s="1"/>
  <c r="F26" i="6" s="1"/>
  <c r="B25" i="6"/>
  <c r="C25" i="6" s="1"/>
  <c r="F25" i="6" s="1"/>
  <c r="B24" i="6"/>
  <c r="C24" i="6" s="1"/>
  <c r="F24" i="6" s="1"/>
  <c r="B23" i="6"/>
  <c r="C23" i="6" s="1"/>
  <c r="F23" i="6" s="1"/>
  <c r="B22" i="6"/>
  <c r="C22" i="6" s="1"/>
  <c r="F22" i="6" s="1"/>
  <c r="B21" i="6"/>
  <c r="C21" i="6" s="1"/>
  <c r="F21" i="6" s="1"/>
  <c r="B20" i="6"/>
  <c r="C20" i="6" s="1"/>
  <c r="F20" i="6" s="1"/>
  <c r="B19" i="6"/>
  <c r="C19" i="6" s="1"/>
  <c r="F19" i="6" s="1"/>
  <c r="B18" i="6"/>
  <c r="C18" i="6" s="1"/>
  <c r="F18" i="6" s="1"/>
  <c r="B17" i="6"/>
  <c r="C17" i="6" s="1"/>
  <c r="F17" i="6" s="1"/>
  <c r="B16" i="6"/>
  <c r="C16" i="6" s="1"/>
  <c r="F16" i="6" s="1"/>
  <c r="B15" i="6"/>
  <c r="C15" i="6" s="1"/>
  <c r="F15" i="6" s="1"/>
  <c r="B14" i="6"/>
  <c r="C14" i="6" s="1"/>
  <c r="F14" i="6" s="1"/>
  <c r="B13" i="6"/>
  <c r="C13" i="6" s="1"/>
  <c r="F13" i="6" s="1"/>
  <c r="B12" i="6"/>
  <c r="C12" i="6" s="1"/>
  <c r="F12" i="6" s="1"/>
  <c r="B11" i="6"/>
  <c r="C11" i="6" s="1"/>
  <c r="F11" i="6" s="1"/>
  <c r="B10" i="6"/>
  <c r="C10" i="6" s="1"/>
  <c r="F10" i="6" s="1"/>
  <c r="B9" i="6"/>
  <c r="C9" i="6" s="1"/>
  <c r="F9" i="6" s="1"/>
  <c r="B8" i="6"/>
  <c r="C8" i="6" s="1"/>
  <c r="F8" i="6" s="1"/>
  <c r="B7" i="6"/>
  <c r="C7" i="6" s="1"/>
  <c r="F7" i="6" s="1"/>
  <c r="B6" i="6"/>
  <c r="C6" i="6" s="1"/>
  <c r="F6" i="6" s="1"/>
  <c r="B5" i="6"/>
  <c r="C5" i="6" s="1"/>
  <c r="F5" i="6" s="1"/>
  <c r="B4" i="6"/>
  <c r="C4" i="6" s="1"/>
  <c r="F4" i="6" s="1"/>
  <c r="G4" i="6" s="1"/>
  <c r="G27" i="6" s="1"/>
  <c r="G24" i="6" l="1"/>
  <c r="C30" i="5"/>
  <c r="F30" i="5" s="1"/>
  <c r="C29" i="5"/>
  <c r="F29" i="5" s="1"/>
  <c r="C28" i="5"/>
  <c r="F28" i="5" s="1"/>
  <c r="B27" i="5"/>
  <c r="C27" i="5" s="1"/>
  <c r="F27" i="5" s="1"/>
  <c r="C26" i="5"/>
  <c r="F26" i="5" s="1"/>
  <c r="B26" i="5"/>
  <c r="C25" i="5"/>
  <c r="F25" i="5" s="1"/>
  <c r="B25" i="5"/>
  <c r="C24" i="5"/>
  <c r="F24" i="5" s="1"/>
  <c r="B24" i="5"/>
  <c r="B23" i="5"/>
  <c r="C23" i="5" s="1"/>
  <c r="F23" i="5" s="1"/>
  <c r="B22" i="5"/>
  <c r="C22" i="5" s="1"/>
  <c r="F22" i="5" s="1"/>
  <c r="B21" i="5"/>
  <c r="C21" i="5" s="1"/>
  <c r="F21" i="5" s="1"/>
  <c r="B20" i="5"/>
  <c r="C20" i="5" s="1"/>
  <c r="F20" i="5" s="1"/>
  <c r="B19" i="5"/>
  <c r="C19" i="5" s="1"/>
  <c r="F19" i="5" s="1"/>
  <c r="B18" i="5"/>
  <c r="C18" i="5" s="1"/>
  <c r="F18" i="5" s="1"/>
  <c r="B17" i="5"/>
  <c r="C17" i="5" s="1"/>
  <c r="F17" i="5" s="1"/>
  <c r="B16" i="5"/>
  <c r="C16" i="5" s="1"/>
  <c r="F16" i="5" s="1"/>
  <c r="C15" i="5"/>
  <c r="F15" i="5" s="1"/>
  <c r="B15" i="5"/>
  <c r="B14" i="5"/>
  <c r="C14" i="5" s="1"/>
  <c r="F14" i="5" s="1"/>
  <c r="B13" i="5"/>
  <c r="C13" i="5" s="1"/>
  <c r="F13" i="5" s="1"/>
  <c r="B12" i="5"/>
  <c r="C12" i="5" s="1"/>
  <c r="F12" i="5" s="1"/>
  <c r="B11" i="5"/>
  <c r="C11" i="5" s="1"/>
  <c r="F11" i="5" s="1"/>
  <c r="B10" i="5"/>
  <c r="C10" i="5" s="1"/>
  <c r="F10" i="5" s="1"/>
  <c r="B9" i="5"/>
  <c r="C9" i="5" s="1"/>
  <c r="F9" i="5" s="1"/>
  <c r="B8" i="5"/>
  <c r="C8" i="5" s="1"/>
  <c r="F8" i="5" s="1"/>
  <c r="C7" i="5"/>
  <c r="F7" i="5" s="1"/>
  <c r="B7" i="5"/>
  <c r="B6" i="5"/>
  <c r="C6" i="5" s="1"/>
  <c r="F6" i="5" s="1"/>
  <c r="B5" i="5"/>
  <c r="C5" i="5" s="1"/>
  <c r="F5" i="5" s="1"/>
  <c r="B4" i="5"/>
  <c r="C4" i="5" s="1"/>
  <c r="F4" i="5" s="1"/>
  <c r="C30" i="4"/>
  <c r="F30" i="4" s="1"/>
  <c r="C29" i="4"/>
  <c r="F29" i="4" s="1"/>
  <c r="C28" i="4"/>
  <c r="F28" i="4" s="1"/>
  <c r="C27" i="4"/>
  <c r="F27" i="4" s="1"/>
  <c r="B27" i="4"/>
  <c r="B26" i="4"/>
  <c r="C26" i="4" s="1"/>
  <c r="F26" i="4" s="1"/>
  <c r="G26" i="4" s="1"/>
  <c r="B25" i="4"/>
  <c r="C25" i="4" s="1"/>
  <c r="F25" i="4" s="1"/>
  <c r="B24" i="4"/>
  <c r="C24" i="4" s="1"/>
  <c r="F24" i="4" s="1"/>
  <c r="B23" i="4"/>
  <c r="C23" i="4" s="1"/>
  <c r="F23" i="4" s="1"/>
  <c r="B22" i="4"/>
  <c r="C22" i="4" s="1"/>
  <c r="F22" i="4" s="1"/>
  <c r="B21" i="4"/>
  <c r="C21" i="4" s="1"/>
  <c r="F21" i="4" s="1"/>
  <c r="B20" i="4"/>
  <c r="C20" i="4" s="1"/>
  <c r="F20" i="4" s="1"/>
  <c r="B19" i="4"/>
  <c r="C19" i="4" s="1"/>
  <c r="F19" i="4" s="1"/>
  <c r="B18" i="4"/>
  <c r="C18" i="4" s="1"/>
  <c r="F18" i="4" s="1"/>
  <c r="B17" i="4"/>
  <c r="C17" i="4" s="1"/>
  <c r="F17" i="4" s="1"/>
  <c r="B16" i="4"/>
  <c r="C16" i="4" s="1"/>
  <c r="F16" i="4" s="1"/>
  <c r="B15" i="4"/>
  <c r="C15" i="4" s="1"/>
  <c r="F15" i="4" s="1"/>
  <c r="B14" i="4"/>
  <c r="C14" i="4" s="1"/>
  <c r="F14" i="4" s="1"/>
  <c r="B13" i="4"/>
  <c r="C13" i="4" s="1"/>
  <c r="F13" i="4" s="1"/>
  <c r="B12" i="4"/>
  <c r="C12" i="4" s="1"/>
  <c r="F12" i="4" s="1"/>
  <c r="B11" i="4"/>
  <c r="C11" i="4" s="1"/>
  <c r="F11" i="4" s="1"/>
  <c r="B10" i="4"/>
  <c r="C10" i="4" s="1"/>
  <c r="F10" i="4" s="1"/>
  <c r="B9" i="4"/>
  <c r="C9" i="4" s="1"/>
  <c r="F9" i="4" s="1"/>
  <c r="B8" i="4"/>
  <c r="C8" i="4" s="1"/>
  <c r="F8" i="4" s="1"/>
  <c r="C7" i="4"/>
  <c r="F7" i="4" s="1"/>
  <c r="B7" i="4"/>
  <c r="B6" i="4"/>
  <c r="C6" i="4" s="1"/>
  <c r="F6" i="4" s="1"/>
  <c r="B5" i="4"/>
  <c r="C5" i="4" s="1"/>
  <c r="F5" i="4" s="1"/>
  <c r="B4" i="4"/>
  <c r="C4" i="4" s="1"/>
  <c r="F4" i="4" s="1"/>
  <c r="C30" i="3"/>
  <c r="F30" i="3" s="1"/>
  <c r="C29" i="3"/>
  <c r="F29" i="3" s="1"/>
  <c r="C28" i="3"/>
  <c r="F28" i="3" s="1"/>
  <c r="B27" i="3"/>
  <c r="C27" i="3" s="1"/>
  <c r="F27" i="3" s="1"/>
  <c r="G27" i="3" s="1"/>
  <c r="B26" i="3"/>
  <c r="C26" i="3" s="1"/>
  <c r="F26" i="3" s="1"/>
  <c r="B25" i="3"/>
  <c r="C25" i="3" s="1"/>
  <c r="F25" i="3" s="1"/>
  <c r="B24" i="3"/>
  <c r="C24" i="3" s="1"/>
  <c r="F24" i="3" s="1"/>
  <c r="B23" i="3"/>
  <c r="C23" i="3" s="1"/>
  <c r="F23" i="3" s="1"/>
  <c r="B22" i="3"/>
  <c r="C22" i="3" s="1"/>
  <c r="F22" i="3" s="1"/>
  <c r="B21" i="3"/>
  <c r="C21" i="3" s="1"/>
  <c r="F21" i="3" s="1"/>
  <c r="C20" i="3"/>
  <c r="F20" i="3" s="1"/>
  <c r="B20" i="3"/>
  <c r="B19" i="3"/>
  <c r="C19" i="3" s="1"/>
  <c r="F19" i="3" s="1"/>
  <c r="B18" i="3"/>
  <c r="C18" i="3" s="1"/>
  <c r="F18" i="3" s="1"/>
  <c r="C17" i="3"/>
  <c r="F17" i="3" s="1"/>
  <c r="B17" i="3"/>
  <c r="B16" i="3"/>
  <c r="C16" i="3" s="1"/>
  <c r="F16" i="3" s="1"/>
  <c r="B15" i="3"/>
  <c r="C15" i="3" s="1"/>
  <c r="F15" i="3" s="1"/>
  <c r="B14" i="3"/>
  <c r="C14" i="3" s="1"/>
  <c r="F14" i="3" s="1"/>
  <c r="C13" i="3"/>
  <c r="F13" i="3" s="1"/>
  <c r="B13" i="3"/>
  <c r="B12" i="3"/>
  <c r="C12" i="3" s="1"/>
  <c r="F12" i="3" s="1"/>
  <c r="B11" i="3"/>
  <c r="C11" i="3" s="1"/>
  <c r="F11" i="3" s="1"/>
  <c r="B10" i="3"/>
  <c r="C10" i="3" s="1"/>
  <c r="F10" i="3" s="1"/>
  <c r="B9" i="3"/>
  <c r="C9" i="3" s="1"/>
  <c r="F9" i="3" s="1"/>
  <c r="B8" i="3"/>
  <c r="C8" i="3" s="1"/>
  <c r="F8" i="3" s="1"/>
  <c r="B7" i="3"/>
  <c r="C7" i="3" s="1"/>
  <c r="F7" i="3" s="1"/>
  <c r="B6" i="3"/>
  <c r="C6" i="3" s="1"/>
  <c r="F6" i="3" s="1"/>
  <c r="B5" i="3"/>
  <c r="C5" i="3" s="1"/>
  <c r="F5" i="3" s="1"/>
  <c r="B4" i="3"/>
  <c r="C28" i="1"/>
  <c r="F28" i="1" s="1"/>
  <c r="H28" i="1" s="1"/>
  <c r="C29" i="1"/>
  <c r="F29" i="1" s="1"/>
  <c r="C30" i="1"/>
  <c r="F30" i="1" s="1"/>
  <c r="B5" i="1"/>
  <c r="C5" i="1" s="1"/>
  <c r="F5" i="1" s="1"/>
  <c r="B6" i="1"/>
  <c r="C6" i="1" s="1"/>
  <c r="F6" i="1" s="1"/>
  <c r="B7" i="1"/>
  <c r="C7" i="1" s="1"/>
  <c r="F7" i="1" s="1"/>
  <c r="B8" i="1"/>
  <c r="C8" i="1" s="1"/>
  <c r="F8" i="1" s="1"/>
  <c r="B9" i="1"/>
  <c r="C9" i="1" s="1"/>
  <c r="F9" i="1" s="1"/>
  <c r="B10" i="1"/>
  <c r="C10" i="1" s="1"/>
  <c r="F10" i="1" s="1"/>
  <c r="B11" i="1"/>
  <c r="C11" i="1" s="1"/>
  <c r="F11" i="1" s="1"/>
  <c r="B12" i="1"/>
  <c r="C12" i="1" s="1"/>
  <c r="F12" i="1" s="1"/>
  <c r="B13" i="1"/>
  <c r="C13" i="1" s="1"/>
  <c r="F13" i="1" s="1"/>
  <c r="B14" i="1"/>
  <c r="C14" i="1" s="1"/>
  <c r="F14" i="1" s="1"/>
  <c r="B15" i="1"/>
  <c r="C15" i="1" s="1"/>
  <c r="F15" i="1" s="1"/>
  <c r="B16" i="1"/>
  <c r="C16" i="1" s="1"/>
  <c r="F16" i="1" s="1"/>
  <c r="B17" i="1"/>
  <c r="C17" i="1" s="1"/>
  <c r="F17" i="1" s="1"/>
  <c r="B18" i="1"/>
  <c r="C18" i="1" s="1"/>
  <c r="F18" i="1" s="1"/>
  <c r="B19" i="1"/>
  <c r="C19" i="1" s="1"/>
  <c r="F19" i="1" s="1"/>
  <c r="B20" i="1"/>
  <c r="C20" i="1" s="1"/>
  <c r="F20" i="1" s="1"/>
  <c r="B21" i="1"/>
  <c r="C21" i="1" s="1"/>
  <c r="F21" i="1" s="1"/>
  <c r="B22" i="1"/>
  <c r="C22" i="1" s="1"/>
  <c r="F22" i="1" s="1"/>
  <c r="B23" i="1"/>
  <c r="C23" i="1" s="1"/>
  <c r="F23" i="1" s="1"/>
  <c r="B24" i="1"/>
  <c r="C24" i="1" s="1"/>
  <c r="F24" i="1" s="1"/>
  <c r="B25" i="1"/>
  <c r="C25" i="1" s="1"/>
  <c r="F25" i="1" s="1"/>
  <c r="B26" i="1"/>
  <c r="C26" i="1" s="1"/>
  <c r="F26" i="1" s="1"/>
  <c r="B27" i="1"/>
  <c r="C27" i="1" s="1"/>
  <c r="F27" i="1" s="1"/>
  <c r="B4" i="1"/>
  <c r="C4" i="1" s="1"/>
  <c r="F4" i="1" s="1"/>
  <c r="G25" i="5" l="1"/>
  <c r="B32" i="3"/>
  <c r="C4" i="3"/>
  <c r="G4" i="5"/>
  <c r="G28" i="5" s="1"/>
  <c r="G4" i="4"/>
  <c r="G28" i="4" s="1"/>
  <c r="C32" i="3" l="1"/>
  <c r="F4" i="3"/>
  <c r="G4" i="3" s="1"/>
  <c r="G28" i="3" s="1"/>
</calcChain>
</file>

<file path=xl/sharedStrings.xml><?xml version="1.0" encoding="utf-8"?>
<sst xmlns="http://schemas.openxmlformats.org/spreadsheetml/2006/main" count="277" uniqueCount="114">
  <si>
    <t>Hole Size</t>
  </si>
  <si>
    <t>Circum</t>
  </si>
  <si>
    <t>20ga</t>
  </si>
  <si>
    <t>3-16</t>
  </si>
  <si>
    <t>8ga</t>
  </si>
  <si>
    <t>12ga</t>
  </si>
  <si>
    <t>16ga</t>
  </si>
  <si>
    <t>Thickness:</t>
  </si>
  <si>
    <t>MM</t>
  </si>
  <si>
    <t>Length</t>
  </si>
  <si>
    <t>Time (CS)</t>
  </si>
  <si>
    <t>Tri</t>
  </si>
  <si>
    <t>Hex</t>
  </si>
  <si>
    <t>Sqr</t>
  </si>
  <si>
    <t>Overall</t>
  </si>
  <si>
    <t>CS based on 30 frames per second</t>
  </si>
  <si>
    <t>Pierce(CS)</t>
  </si>
  <si>
    <t>1 Second</t>
  </si>
  <si>
    <t>=</t>
  </si>
  <si>
    <t>30 centiseconds</t>
  </si>
  <si>
    <t>Regular Cut</t>
  </si>
  <si>
    <t>Laser Pulse</t>
  </si>
  <si>
    <t>3/16</t>
  </si>
  <si>
    <t>Re-Check</t>
  </si>
  <si>
    <t>1-2</t>
  </si>
  <si>
    <t>Time (Sec)</t>
  </si>
  <si>
    <t>Inside Cut Length</t>
  </si>
  <si>
    <t>20Ga</t>
  </si>
  <si>
    <t>16Ga</t>
  </si>
  <si>
    <t>12Ga</t>
  </si>
  <si>
    <t>8Ga</t>
  </si>
  <si>
    <t>Sheet Metal Size</t>
  </si>
  <si>
    <t>IN</t>
  </si>
  <si>
    <t>3-8</t>
  </si>
  <si>
    <t>5-8</t>
  </si>
  <si>
    <t>5-16</t>
  </si>
  <si>
    <t>1/4</t>
  </si>
  <si>
    <t>1-4</t>
  </si>
  <si>
    <t>11ga</t>
  </si>
  <si>
    <t>14Ga</t>
  </si>
  <si>
    <t>18Ga</t>
  </si>
  <si>
    <t>22Ga</t>
  </si>
  <si>
    <t>Thickness</t>
  </si>
  <si>
    <t>Time (cs)</t>
  </si>
  <si>
    <t>5/8</t>
  </si>
  <si>
    <t>1/2</t>
  </si>
  <si>
    <t>5/16</t>
  </si>
  <si>
    <t>14ga</t>
  </si>
  <si>
    <t>18ga</t>
  </si>
  <si>
    <t>22ga</t>
  </si>
  <si>
    <t>Gage</t>
  </si>
  <si>
    <t>Time/1MM</t>
  </si>
  <si>
    <t>AVERAGE TIME</t>
  </si>
  <si>
    <t>Time/1mm</t>
  </si>
  <si>
    <t>Actual Time
(Seconds)</t>
  </si>
  <si>
    <t>Feat. Time</t>
  </si>
  <si>
    <t>Trvl Time</t>
  </si>
  <si>
    <t>Hole Time-&gt;</t>
  </si>
  <si>
    <t>MS based on 30 frames per second</t>
  </si>
  <si>
    <t>4:16</t>
  </si>
  <si>
    <t>3:58</t>
  </si>
  <si>
    <t>32:14</t>
  </si>
  <si>
    <t>4:56</t>
  </si>
  <si>
    <t>4:06</t>
  </si>
  <si>
    <t>3:56</t>
  </si>
  <si>
    <t>3:52</t>
  </si>
  <si>
    <t>3:46</t>
  </si>
  <si>
    <t>3:38</t>
  </si>
  <si>
    <t>3:30</t>
  </si>
  <si>
    <t>3:22</t>
  </si>
  <si>
    <t>3:14</t>
  </si>
  <si>
    <t>3:06</t>
  </si>
  <si>
    <t>2:58</t>
  </si>
  <si>
    <t>2:50</t>
  </si>
  <si>
    <t>3:40</t>
  </si>
  <si>
    <t>3:26</t>
  </si>
  <si>
    <t>2:44</t>
  </si>
  <si>
    <t>3:28</t>
  </si>
  <si>
    <t>18:14</t>
  </si>
  <si>
    <t>16:20</t>
  </si>
  <si>
    <t>14:20</t>
  </si>
  <si>
    <t>12:08</t>
  </si>
  <si>
    <t>9:56</t>
  </si>
  <si>
    <t>Cut Time -&gt;</t>
  </si>
  <si>
    <t>pierce time -&gt;</t>
  </si>
  <si>
    <t>Travel Time</t>
  </si>
  <si>
    <t>Pierce(SEC)</t>
  </si>
  <si>
    <t>16:22</t>
  </si>
  <si>
    <t>2:00</t>
  </si>
  <si>
    <t>1:24</t>
  </si>
  <si>
    <t>2:09</t>
  </si>
  <si>
    <t>actual time: 1:12</t>
  </si>
  <si>
    <t>1:23</t>
  </si>
  <si>
    <t>1:21</t>
  </si>
  <si>
    <t>1:19</t>
  </si>
  <si>
    <t>1:16</t>
  </si>
  <si>
    <t>1:14</t>
  </si>
  <si>
    <t>1:12</t>
  </si>
  <si>
    <t>1:11</t>
  </si>
  <si>
    <t>1:08</t>
  </si>
  <si>
    <t>1:07</t>
  </si>
  <si>
    <t>1:05</t>
  </si>
  <si>
    <t>1:03</t>
  </si>
  <si>
    <t>1:00</t>
  </si>
  <si>
    <t>0:29</t>
  </si>
  <si>
    <t>0:27</t>
  </si>
  <si>
    <t>0:25</t>
  </si>
  <si>
    <t>0:23</t>
  </si>
  <si>
    <t>0:21</t>
  </si>
  <si>
    <t>0:18</t>
  </si>
  <si>
    <t>0:16</t>
  </si>
  <si>
    <t>0:14</t>
  </si>
  <si>
    <t>2:22</t>
  </si>
  <si>
    <t>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</si>
</sst>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000"/>
    <numFmt numFmtId="165" formatCode="#,##0.000000000000"/>
    <numFmt numFmtId="166" formatCode="0.000000000000"/>
  </numFmts>
  <fonts count="4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sz val="22"/>
      <color rgb="FF595959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0" fontId="0" fillId="0" borderId="2" xfId="0" applyBorder="1" applyAlignment="1">
      <alignment vertical="center"/>
    </xf>
    <xf numFmtId="0" fontId="0" fillId="0" borderId="3" xfId="0" applyFill="1" applyBorder="1"/>
    <xf numFmtId="0" fontId="0" fillId="3" borderId="0" xfId="0" applyFill="1"/>
    <xf numFmtId="0" fontId="0" fillId="3" borderId="1" xfId="0" applyFill="1" applyBorder="1"/>
    <xf numFmtId="0" fontId="0" fillId="0" borderId="0" xfId="0" quotePrefix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2" borderId="3" xfId="0" applyFill="1" applyBorder="1"/>
    <xf numFmtId="2" fontId="0" fillId="0" borderId="0" xfId="0" applyNumberFormat="1"/>
    <xf numFmtId="1" fontId="0" fillId="2" borderId="1" xfId="0" applyNumberFormat="1" applyFill="1" applyBorder="1" applyAlignment="1">
      <alignment horizontal="left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6" borderId="1" xfId="0" applyFill="1" applyBorder="1"/>
    <xf numFmtId="16" fontId="0" fillId="6" borderId="1" xfId="0" quotePrefix="1" applyNumberFormat="1" applyFill="1" applyBorder="1"/>
    <xf numFmtId="0" fontId="0" fillId="7" borderId="1" xfId="0" applyFill="1" applyBorder="1"/>
    <xf numFmtId="16" fontId="0" fillId="7" borderId="1" xfId="0" quotePrefix="1" applyNumberFormat="1" applyFill="1" applyBorder="1"/>
    <xf numFmtId="0" fontId="0" fillId="2" borderId="0" xfId="0" applyFill="1" applyBorder="1"/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0" fillId="0" borderId="2" xfId="0" applyFill="1" applyBorder="1" applyAlignment="1">
      <alignment vertical="center"/>
    </xf>
    <xf numFmtId="0" fontId="0" fillId="2" borderId="0" xfId="0" applyFill="1" applyBorder="1" applyAlignment="1">
      <alignment wrapText="1"/>
    </xf>
    <xf numFmtId="10" fontId="0" fillId="0" borderId="2" xfId="0" applyNumberFormat="1" applyFill="1" applyBorder="1" applyAlignment="1">
      <alignment vertical="center"/>
    </xf>
    <xf numFmtId="2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0" fillId="0" borderId="3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Laser Time (holes)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'20ga'!$A$4:$A$27</c:f>
              <c:numCache>
                <c:formatCode>0</c:formatCode>
                <c:ptCount val="24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</c:numCache>
            </c:numRef>
          </c:xVal>
          <c:yVal>
            <c:numRef>
              <c:f>'20ga'!$F$4:$F$27</c:f>
              <c:numCache>
                <c:formatCode>General</c:formatCode>
                <c:ptCount val="24"/>
                <c:pt idx="0">
                  <c:v>9.692872358955322E-3</c:v>
                </c:pt>
                <c:pt idx="1">
                  <c:v>9.6987841164417471E-3</c:v>
                </c:pt>
                <c:pt idx="2">
                  <c:v>9.5685106068976716E-3</c:v>
                </c:pt>
                <c:pt idx="3">
                  <c:v>9.5693727449443471E-3</c:v>
                </c:pt>
                <c:pt idx="4">
                  <c:v>1.0467533000685123E-2</c:v>
                </c:pt>
                <c:pt idx="5">
                  <c:v>1.0983518700004358E-2</c:v>
                </c:pt>
                <c:pt idx="6">
                  <c:v>1.1057882824327316E-2</c:v>
                </c:pt>
                <c:pt idx="7">
                  <c:v>1.1662585505815084E-2</c:v>
                </c:pt>
                <c:pt idx="8">
                  <c:v>1.1048284201889861E-2</c:v>
                </c:pt>
                <c:pt idx="9">
                  <c:v>1.1726655768351746E-2</c:v>
                </c:pt>
                <c:pt idx="10">
                  <c:v>1.2493781791743529E-2</c:v>
                </c:pt>
                <c:pt idx="11">
                  <c:v>1.3368299710492046E-2</c:v>
                </c:pt>
                <c:pt idx="12">
                  <c:v>1.3655735016295913E-2</c:v>
                </c:pt>
                <c:pt idx="13">
                  <c:v>1.4767179159906645E-2</c:v>
                </c:pt>
                <c:pt idx="14">
                  <c:v>1.5229491863607218E-2</c:v>
                </c:pt>
                <c:pt idx="15">
                  <c:v>1.5472247080540251E-2</c:v>
                </c:pt>
                <c:pt idx="16">
                  <c:v>1.7138351882070198E-2</c:v>
                </c:pt>
                <c:pt idx="17">
                  <c:v>1.9206582803059508E-2</c:v>
                </c:pt>
                <c:pt idx="18">
                  <c:v>1.9221403354048566E-2</c:v>
                </c:pt>
                <c:pt idx="19">
                  <c:v>2.227898195524176E-2</c:v>
                </c:pt>
                <c:pt idx="20">
                  <c:v>2.2278469312010583E-2</c:v>
                </c:pt>
                <c:pt idx="21">
                  <c:v>2.524807980833815E-2</c:v>
                </c:pt>
                <c:pt idx="22">
                  <c:v>2.9056314928989007E-2</c:v>
                </c:pt>
                <c:pt idx="23">
                  <c:v>3.3411361358048251E-2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4-4B4D-88EC-E5627400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168792"/>
        <c:axId val="800158952"/>
      </c:scatterChart>
      <c:valAx>
        <c:axId val="80016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8952"/>
        <c:crosses val="autoZero"/>
        <c:crossBetween val="midCat"/>
      </c:valAx>
      <c:valAx>
        <c:axId val="80015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6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9.9791602801596407E-2"/>
                  <c:y val="-0.437198977647819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'20ga'!$C$4:$C$27</c:f>
              <c:numCache>
                <c:formatCode>0.00</c:formatCode>
                <c:ptCount val="24"/>
                <c:pt idx="0">
                  <c:v>79.439816339744837</c:v>
                </c:pt>
                <c:pt idx="1">
                  <c:v>76.29822368615504</c:v>
                </c:pt>
                <c:pt idx="2">
                  <c:v>73.156631032565244</c:v>
                </c:pt>
                <c:pt idx="3">
                  <c:v>70.015038378975447</c:v>
                </c:pt>
                <c:pt idx="4">
                  <c:v>66.873445725385665</c:v>
                </c:pt>
                <c:pt idx="5">
                  <c:v>63.731853071795861</c:v>
                </c:pt>
                <c:pt idx="6">
                  <c:v>60.590260418206064</c:v>
                </c:pt>
                <c:pt idx="7">
                  <c:v>57.448667764616275</c:v>
                </c:pt>
                <c:pt idx="8">
                  <c:v>54.307075111026485</c:v>
                </c:pt>
                <c:pt idx="9">
                  <c:v>51.165482457436688</c:v>
                </c:pt>
                <c:pt idx="10">
                  <c:v>48.023889803846892</c:v>
                </c:pt>
                <c:pt idx="11">
                  <c:v>44.882297150257102</c:v>
                </c:pt>
                <c:pt idx="12">
                  <c:v>41.740704496667313</c:v>
                </c:pt>
                <c:pt idx="13">
                  <c:v>38.599111843077516</c:v>
                </c:pt>
                <c:pt idx="14">
                  <c:v>35.457519189487719</c:v>
                </c:pt>
                <c:pt idx="15">
                  <c:v>32.31592653589793</c:v>
                </c:pt>
                <c:pt idx="16">
                  <c:v>29.174333882308137</c:v>
                </c:pt>
                <c:pt idx="17">
                  <c:v>26.032741228718344</c:v>
                </c:pt>
                <c:pt idx="18">
                  <c:v>22.89114857512855</c:v>
                </c:pt>
                <c:pt idx="19">
                  <c:v>19.749555921538757</c:v>
                </c:pt>
                <c:pt idx="20">
                  <c:v>16.607963267948964</c:v>
                </c:pt>
                <c:pt idx="21">
                  <c:v>13.466370614359173</c:v>
                </c:pt>
                <c:pt idx="22">
                  <c:v>10.32477796076938</c:v>
                </c:pt>
                <c:pt idx="23">
                  <c:v>7.1831853071795866</c:v>
                </c:pt>
              </c:numCache>
            </c:numRef>
          </c:xVal>
          <c:yVal>
            <c:numRef>
              <c:f>'20ga'!$F$4:$F$27</c:f>
              <c:numCache>
                <c:formatCode>General</c:formatCode>
                <c:ptCount val="24"/>
                <c:pt idx="0">
                  <c:v>9.692872358955322E-3</c:v>
                </c:pt>
                <c:pt idx="1">
                  <c:v>9.6987841164417471E-3</c:v>
                </c:pt>
                <c:pt idx="2">
                  <c:v>9.5685106068976716E-3</c:v>
                </c:pt>
                <c:pt idx="3">
                  <c:v>9.5693727449443471E-3</c:v>
                </c:pt>
                <c:pt idx="4">
                  <c:v>1.0467533000685123E-2</c:v>
                </c:pt>
                <c:pt idx="5">
                  <c:v>1.0983518700004358E-2</c:v>
                </c:pt>
                <c:pt idx="6">
                  <c:v>1.1057882824327316E-2</c:v>
                </c:pt>
                <c:pt idx="7">
                  <c:v>1.1662585505815084E-2</c:v>
                </c:pt>
                <c:pt idx="8">
                  <c:v>1.1048284201889861E-2</c:v>
                </c:pt>
                <c:pt idx="9">
                  <c:v>1.1726655768351746E-2</c:v>
                </c:pt>
                <c:pt idx="10">
                  <c:v>1.2493781791743529E-2</c:v>
                </c:pt>
                <c:pt idx="11">
                  <c:v>1.3368299710492046E-2</c:v>
                </c:pt>
                <c:pt idx="12">
                  <c:v>1.3655735016295913E-2</c:v>
                </c:pt>
                <c:pt idx="13">
                  <c:v>1.4767179159906645E-2</c:v>
                </c:pt>
                <c:pt idx="14">
                  <c:v>1.5229491863607218E-2</c:v>
                </c:pt>
                <c:pt idx="15">
                  <c:v>1.5472247080540251E-2</c:v>
                </c:pt>
                <c:pt idx="16">
                  <c:v>1.7138351882070198E-2</c:v>
                </c:pt>
                <c:pt idx="17">
                  <c:v>1.9206582803059508E-2</c:v>
                </c:pt>
                <c:pt idx="18">
                  <c:v>1.9221403354048566E-2</c:v>
                </c:pt>
                <c:pt idx="19">
                  <c:v>2.227898195524176E-2</c:v>
                </c:pt>
                <c:pt idx="20">
                  <c:v>2.2278469312010583E-2</c:v>
                </c:pt>
                <c:pt idx="21">
                  <c:v>2.524807980833815E-2</c:v>
                </c:pt>
                <c:pt idx="22">
                  <c:v>2.9056314928989007E-2</c:v>
                </c:pt>
                <c:pt idx="23">
                  <c:v>3.3411361358048251E-2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0-461A-87B4-49D4029D4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805800"/>
        <c:axId val="629807440"/>
      </c:scatterChart>
      <c:valAx>
        <c:axId val="62980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7440"/>
        <c:crosses val="autoZero"/>
        <c:crossBetween val="midCat"/>
      </c:valAx>
      <c:valAx>
        <c:axId val="6298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 Holes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3013998250218721"/>
                  <c:y val="-2.243365412656751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'16ga'!$C$4:$C$26</c:f>
              <c:numCache>
                <c:formatCode>0.00</c:formatCode>
                <c:ptCount val="23"/>
                <c:pt idx="0">
                  <c:v>80.039816339744831</c:v>
                </c:pt>
                <c:pt idx="1">
                  <c:v>76.898223686155035</c:v>
                </c:pt>
                <c:pt idx="2">
                  <c:v>73.756631032565238</c:v>
                </c:pt>
                <c:pt idx="3">
                  <c:v>70.615038378975441</c:v>
                </c:pt>
                <c:pt idx="4">
                  <c:v>67.473445725385659</c:v>
                </c:pt>
                <c:pt idx="5">
                  <c:v>64.331853071795862</c:v>
                </c:pt>
                <c:pt idx="6">
                  <c:v>61.190260418206066</c:v>
                </c:pt>
                <c:pt idx="7">
                  <c:v>58.048667764616276</c:v>
                </c:pt>
                <c:pt idx="8">
                  <c:v>54.907075111026487</c:v>
                </c:pt>
                <c:pt idx="9">
                  <c:v>51.76548245743669</c:v>
                </c:pt>
                <c:pt idx="10">
                  <c:v>48.623889803846893</c:v>
                </c:pt>
                <c:pt idx="11">
                  <c:v>45.482297150257104</c:v>
                </c:pt>
                <c:pt idx="12">
                  <c:v>42.340704496667314</c:v>
                </c:pt>
                <c:pt idx="13">
                  <c:v>39.199111843077517</c:v>
                </c:pt>
                <c:pt idx="14">
                  <c:v>36.057519189487721</c:v>
                </c:pt>
                <c:pt idx="15">
                  <c:v>32.915926535897931</c:v>
                </c:pt>
                <c:pt idx="16">
                  <c:v>29.774333882308138</c:v>
                </c:pt>
                <c:pt idx="17">
                  <c:v>26.632741228718345</c:v>
                </c:pt>
                <c:pt idx="18">
                  <c:v>23.491148575128552</c:v>
                </c:pt>
                <c:pt idx="19">
                  <c:v>20.349555921538759</c:v>
                </c:pt>
                <c:pt idx="20">
                  <c:v>17.207963267948966</c:v>
                </c:pt>
                <c:pt idx="21">
                  <c:v>14.066370614359172</c:v>
                </c:pt>
                <c:pt idx="22">
                  <c:v>10.924777960769379</c:v>
                </c:pt>
              </c:numCache>
            </c:numRef>
          </c:xVal>
          <c:yVal>
            <c:numRef>
              <c:f>'16ga'!$E$4:$E$26</c:f>
              <c:numCache>
                <c:formatCode>General</c:formatCode>
                <c:ptCount val="23"/>
                <c:pt idx="0">
                  <c:v>0.9</c:v>
                </c:pt>
                <c:pt idx="1">
                  <c:v>0.9</c:v>
                </c:pt>
                <c:pt idx="2">
                  <c:v>0.8</c:v>
                </c:pt>
                <c:pt idx="3">
                  <c:v>0.79999999999999993</c:v>
                </c:pt>
                <c:pt idx="4">
                  <c:v>0.79999999999999993</c:v>
                </c:pt>
                <c:pt idx="5">
                  <c:v>0.79999999999999993</c:v>
                </c:pt>
                <c:pt idx="6">
                  <c:v>0.79999999999999993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B-47A7-A4DB-316F07082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02536"/>
        <c:axId val="657904504"/>
      </c:scatterChart>
      <c:valAx>
        <c:axId val="65790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04504"/>
        <c:crosses val="autoZero"/>
        <c:crossBetween val="midCat"/>
      </c:valAx>
      <c:valAx>
        <c:axId val="65790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layout>
        <c:manualLayout>
          <c:xMode val="edge"/>
          <c:yMode val="edge"/>
          <c:x val="0.45393744531933511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5968000874890638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'12ga'!$A$26:$A$27</c:f>
              <c:numCache>
                <c:formatCode>0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xVal>
          <c:yVal>
            <c:numRef>
              <c:f>'12ga'!$F$26:$F$27</c:f>
              <c:numCache>
                <c:formatCode>General</c:formatCode>
                <c:ptCount val="2"/>
                <c:pt idx="0">
                  <c:v>0.14845632685596669</c:v>
                </c:pt>
                <c:pt idx="1">
                  <c:v>0.13358290617036814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F-42FC-B3BF-B3DD6CCA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70944"/>
        <c:axId val="864871272"/>
      </c:scatterChart>
      <c:valAx>
        <c:axId val="86487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71272"/>
        <c:crosses val="autoZero"/>
        <c:crossBetween val="midCat"/>
      </c:valAx>
      <c:valAx>
        <c:axId val="8648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7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597602751972081"/>
                  <c:y val="2.179806045849199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0.0299x</a:t>
                    </a:r>
                    <a:r>
                      <a:rPr lang="en-US" sz="1200" baseline="30000"/>
                      <a:t>0.8622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0.9905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'12ga'!$C$4:$C$25</c:f>
              <c:numCache>
                <c:formatCode>0.00</c:formatCode>
                <c:ptCount val="22"/>
                <c:pt idx="0">
                  <c:v>81.239816339744834</c:v>
                </c:pt>
                <c:pt idx="1">
                  <c:v>78.098223686155038</c:v>
                </c:pt>
                <c:pt idx="2">
                  <c:v>74.956631032565241</c:v>
                </c:pt>
                <c:pt idx="3">
                  <c:v>71.815038378975444</c:v>
                </c:pt>
                <c:pt idx="4">
                  <c:v>68.673445725385662</c:v>
                </c:pt>
                <c:pt idx="5">
                  <c:v>65.531853071795865</c:v>
                </c:pt>
                <c:pt idx="6">
                  <c:v>62.390260418206068</c:v>
                </c:pt>
                <c:pt idx="7">
                  <c:v>59.248667764616279</c:v>
                </c:pt>
                <c:pt idx="8">
                  <c:v>56.107075111026489</c:v>
                </c:pt>
                <c:pt idx="9">
                  <c:v>52.965482457436693</c:v>
                </c:pt>
                <c:pt idx="10">
                  <c:v>49.823889803846896</c:v>
                </c:pt>
                <c:pt idx="11">
                  <c:v>46.682297150257106</c:v>
                </c:pt>
                <c:pt idx="12">
                  <c:v>43.540704496667317</c:v>
                </c:pt>
                <c:pt idx="13">
                  <c:v>40.39911184307752</c:v>
                </c:pt>
                <c:pt idx="14">
                  <c:v>37.257519189487724</c:v>
                </c:pt>
                <c:pt idx="15">
                  <c:v>34.115926535897934</c:v>
                </c:pt>
                <c:pt idx="16">
                  <c:v>30.974333882308137</c:v>
                </c:pt>
                <c:pt idx="17">
                  <c:v>27.832741228718344</c:v>
                </c:pt>
                <c:pt idx="18">
                  <c:v>24.691148575128551</c:v>
                </c:pt>
                <c:pt idx="19">
                  <c:v>21.549555921538758</c:v>
                </c:pt>
                <c:pt idx="20">
                  <c:v>18.407963267948965</c:v>
                </c:pt>
                <c:pt idx="21">
                  <c:v>15.266370614359172</c:v>
                </c:pt>
              </c:numCache>
            </c:numRef>
          </c:xVal>
          <c:yVal>
            <c:numRef>
              <c:f>'12ga'!$E$4:$E$25</c:f>
              <c:numCache>
                <c:formatCode>General</c:formatCode>
                <c:ptCount val="22"/>
                <c:pt idx="0">
                  <c:v>1.3</c:v>
                </c:pt>
                <c:pt idx="1">
                  <c:v>1.3</c:v>
                </c:pt>
                <c:pt idx="2">
                  <c:v>1.2</c:v>
                </c:pt>
                <c:pt idx="3">
                  <c:v>1.2000000000000002</c:v>
                </c:pt>
                <c:pt idx="4">
                  <c:v>1.2000000000000002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0.79999999999999993</c:v>
                </c:pt>
                <c:pt idx="13">
                  <c:v>0.7</c:v>
                </c:pt>
                <c:pt idx="14">
                  <c:v>0.7</c:v>
                </c:pt>
                <c:pt idx="15">
                  <c:v>0.6</c:v>
                </c:pt>
                <c:pt idx="16">
                  <c:v>0.6</c:v>
                </c:pt>
                <c:pt idx="17">
                  <c:v>0.5</c:v>
                </c:pt>
                <c:pt idx="18">
                  <c:v>0.5</c:v>
                </c:pt>
                <c:pt idx="19">
                  <c:v>0.4</c:v>
                </c:pt>
                <c:pt idx="20">
                  <c:v>0.4</c:v>
                </c:pt>
                <c:pt idx="2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7-43CB-AB07-0718E04AF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882160"/>
        <c:axId val="543883800"/>
      </c:scatterChart>
      <c:valAx>
        <c:axId val="54388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3800"/>
        <c:crosses val="autoZero"/>
        <c:crossBetween val="midCat"/>
      </c:valAx>
      <c:valAx>
        <c:axId val="54388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197987751531058"/>
                  <c:y val="0.118304170312044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'8ga'!$A$25:$A$27</c:f>
              <c:numCache>
                <c:formatCode>0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</c:v>
                </c:pt>
              </c:numCache>
            </c:numRef>
          </c:xVal>
          <c:yVal>
            <c:numRef>
              <c:f>'8ga'!$F$25:$F$27</c:f>
              <c:numCache>
                <c:formatCode>General</c:formatCode>
                <c:ptCount val="3"/>
                <c:pt idx="0">
                  <c:v>0.1670009606970041</c:v>
                </c:pt>
                <c:pt idx="1">
                  <c:v>0.15413095215545186</c:v>
                </c:pt>
                <c:pt idx="2">
                  <c:v>0.22893804980784987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4A-428A-9364-189A129C3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42544"/>
        <c:axId val="267745824"/>
      </c:scatterChart>
      <c:valAx>
        <c:axId val="26774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745824"/>
        <c:crosses val="autoZero"/>
        <c:crossBetween val="midCat"/>
      </c:valAx>
      <c:valAx>
        <c:axId val="26774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74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118488626421697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'8ga'!$C$4:$C$24</c:f>
              <c:numCache>
                <c:formatCode>0.00</c:formatCode>
                <c:ptCount val="21"/>
                <c:pt idx="0">
                  <c:v>82.739816339744834</c:v>
                </c:pt>
                <c:pt idx="1">
                  <c:v>79.598223686155038</c:v>
                </c:pt>
                <c:pt idx="2">
                  <c:v>76.456631032565241</c:v>
                </c:pt>
                <c:pt idx="3">
                  <c:v>73.315038378975444</c:v>
                </c:pt>
                <c:pt idx="4">
                  <c:v>70.173445725385662</c:v>
                </c:pt>
                <c:pt idx="5">
                  <c:v>67.031853071795865</c:v>
                </c:pt>
                <c:pt idx="6">
                  <c:v>63.890260418206068</c:v>
                </c:pt>
                <c:pt idx="7">
                  <c:v>60.748667764616279</c:v>
                </c:pt>
                <c:pt idx="8">
                  <c:v>57.607075111026489</c:v>
                </c:pt>
                <c:pt idx="9">
                  <c:v>54.465482457436693</c:v>
                </c:pt>
                <c:pt idx="10">
                  <c:v>51.323889803846896</c:v>
                </c:pt>
                <c:pt idx="11">
                  <c:v>48.182297150257106</c:v>
                </c:pt>
                <c:pt idx="12">
                  <c:v>45.040704496667317</c:v>
                </c:pt>
                <c:pt idx="13">
                  <c:v>41.89911184307752</c:v>
                </c:pt>
                <c:pt idx="14">
                  <c:v>38.757519189487724</c:v>
                </c:pt>
                <c:pt idx="15">
                  <c:v>35.615926535897934</c:v>
                </c:pt>
                <c:pt idx="16">
                  <c:v>32.474333882308137</c:v>
                </c:pt>
                <c:pt idx="17">
                  <c:v>29.332741228718344</c:v>
                </c:pt>
                <c:pt idx="18">
                  <c:v>26.191148575128551</c:v>
                </c:pt>
                <c:pt idx="19">
                  <c:v>23.049555921538758</c:v>
                </c:pt>
                <c:pt idx="20">
                  <c:v>19.907963267948965</c:v>
                </c:pt>
              </c:numCache>
            </c:numRef>
          </c:xVal>
          <c:yVal>
            <c:numRef>
              <c:f>'8ga'!$E$4:$E$24</c:f>
              <c:numCache>
                <c:formatCode>General</c:formatCode>
                <c:ptCount val="21"/>
                <c:pt idx="0">
                  <c:v>1.8</c:v>
                </c:pt>
                <c:pt idx="1">
                  <c:v>1.8</c:v>
                </c:pt>
                <c:pt idx="2">
                  <c:v>1.7</c:v>
                </c:pt>
                <c:pt idx="3">
                  <c:v>1.7000000000000002</c:v>
                </c:pt>
                <c:pt idx="4">
                  <c:v>1.5</c:v>
                </c:pt>
                <c:pt idx="5">
                  <c:v>1.5</c:v>
                </c:pt>
                <c:pt idx="6">
                  <c:v>1.4</c:v>
                </c:pt>
                <c:pt idx="7">
                  <c:v>1.4000000000000001</c:v>
                </c:pt>
                <c:pt idx="8">
                  <c:v>1.3</c:v>
                </c:pt>
                <c:pt idx="9">
                  <c:v>1.3</c:v>
                </c:pt>
                <c:pt idx="10">
                  <c:v>1.2000000000000002</c:v>
                </c:pt>
                <c:pt idx="11">
                  <c:v>1.1000000000000001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0.79999999999999993</c:v>
                </c:pt>
                <c:pt idx="17">
                  <c:v>0.7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B-47C8-AD61-BBA46FBE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178240"/>
        <c:axId val="686177912"/>
      </c:scatterChart>
      <c:valAx>
        <c:axId val="6861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77912"/>
        <c:crosses val="autoZero"/>
        <c:crossBetween val="midCat"/>
      </c:valAx>
      <c:valAx>
        <c:axId val="68617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7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034629108315697"/>
                  <c:y val="0.389789317166000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'8ga (2)'!$C$25:$C$27</c:f>
              <c:numCache>
                <c:formatCode>0.00</c:formatCode>
                <c:ptCount val="3"/>
                <c:pt idx="0">
                  <c:v>16.746370614359172</c:v>
                </c:pt>
                <c:pt idx="1">
                  <c:v>13.604777960769379</c:v>
                </c:pt>
                <c:pt idx="2">
                  <c:v>10.463185307179586</c:v>
                </c:pt>
              </c:numCache>
            </c:numRef>
          </c:xVal>
          <c:yVal>
            <c:numRef>
              <c:f>'8ga (2)'!$E$25:$E$27</c:f>
              <c:numCache>
                <c:formatCode>0.00</c:formatCode>
                <c:ptCount val="3"/>
                <c:pt idx="0">
                  <c:v>2.7333333333333334</c:v>
                </c:pt>
                <c:pt idx="1">
                  <c:v>2.0666666666666669</c:v>
                </c:pt>
                <c:pt idx="2">
                  <c:v>1.3666666666666667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EA-4083-93AC-D2DD121E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935040"/>
        <c:axId val="674927824"/>
      </c:scatterChart>
      <c:valAx>
        <c:axId val="67493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27824"/>
        <c:crosses val="autoZero"/>
        <c:crossBetween val="midCat"/>
      </c:valAx>
      <c:valAx>
        <c:axId val="6749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7759208223972009"/>
                  <c:y val="0.36955526392534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'8ga (2)'!$C$4:$C$24</c:f>
              <c:numCache>
                <c:formatCode>0.00</c:formatCode>
                <c:ptCount val="21"/>
                <c:pt idx="0">
                  <c:v>82.719816339744824</c:v>
                </c:pt>
                <c:pt idx="1">
                  <c:v>79.578223686155042</c:v>
                </c:pt>
                <c:pt idx="2">
                  <c:v>76.436631032565231</c:v>
                </c:pt>
                <c:pt idx="3">
                  <c:v>73.295038378975448</c:v>
                </c:pt>
                <c:pt idx="4">
                  <c:v>70.153445725385666</c:v>
                </c:pt>
                <c:pt idx="5">
                  <c:v>67.011853071795855</c:v>
                </c:pt>
                <c:pt idx="6">
                  <c:v>63.870260418206065</c:v>
                </c:pt>
                <c:pt idx="7">
                  <c:v>60.728667764616276</c:v>
                </c:pt>
                <c:pt idx="8">
                  <c:v>57.587075111026486</c:v>
                </c:pt>
                <c:pt idx="9">
                  <c:v>54.44548245743669</c:v>
                </c:pt>
                <c:pt idx="10">
                  <c:v>51.303889803846893</c:v>
                </c:pt>
                <c:pt idx="11">
                  <c:v>48.162297150257103</c:v>
                </c:pt>
                <c:pt idx="12">
                  <c:v>45.020704496667314</c:v>
                </c:pt>
                <c:pt idx="13">
                  <c:v>41.879111843077517</c:v>
                </c:pt>
                <c:pt idx="14">
                  <c:v>38.73751918948772</c:v>
                </c:pt>
                <c:pt idx="15">
                  <c:v>35.595926535897931</c:v>
                </c:pt>
                <c:pt idx="16">
                  <c:v>32.454333882308134</c:v>
                </c:pt>
                <c:pt idx="17">
                  <c:v>29.312741228718345</c:v>
                </c:pt>
                <c:pt idx="18">
                  <c:v>26.171148575128552</c:v>
                </c:pt>
                <c:pt idx="19">
                  <c:v>23.029555921538758</c:v>
                </c:pt>
                <c:pt idx="20">
                  <c:v>19.887963267948965</c:v>
                </c:pt>
              </c:numCache>
            </c:numRef>
          </c:xVal>
          <c:yVal>
            <c:numRef>
              <c:f>'8ga (2)'!$E$4:$E$24</c:f>
              <c:numCache>
                <c:formatCode>0.00</c:formatCode>
                <c:ptCount val="21"/>
                <c:pt idx="0">
                  <c:v>1.8</c:v>
                </c:pt>
                <c:pt idx="1">
                  <c:v>1.7666666666666666</c:v>
                </c:pt>
                <c:pt idx="2">
                  <c:v>1.7</c:v>
                </c:pt>
                <c:pt idx="3">
                  <c:v>1.6333333333333333</c:v>
                </c:pt>
                <c:pt idx="4">
                  <c:v>1.5333333333333332</c:v>
                </c:pt>
                <c:pt idx="5">
                  <c:v>1.4666666666666668</c:v>
                </c:pt>
                <c:pt idx="6">
                  <c:v>1.4</c:v>
                </c:pt>
                <c:pt idx="7">
                  <c:v>1.3666666666666667</c:v>
                </c:pt>
                <c:pt idx="8">
                  <c:v>1.2666666666666666</c:v>
                </c:pt>
                <c:pt idx="9">
                  <c:v>1.2333333333333334</c:v>
                </c:pt>
                <c:pt idx="10">
                  <c:v>1.1666666666666667</c:v>
                </c:pt>
                <c:pt idx="11">
                  <c:v>1.1000000000000001</c:v>
                </c:pt>
                <c:pt idx="12">
                  <c:v>1</c:v>
                </c:pt>
                <c:pt idx="13">
                  <c:v>0.96666666666666667</c:v>
                </c:pt>
                <c:pt idx="14">
                  <c:v>0.9</c:v>
                </c:pt>
                <c:pt idx="15">
                  <c:v>0.83333333333333337</c:v>
                </c:pt>
                <c:pt idx="16">
                  <c:v>0.76666666666666672</c:v>
                </c:pt>
                <c:pt idx="17">
                  <c:v>0.7</c:v>
                </c:pt>
                <c:pt idx="18">
                  <c:v>0.6</c:v>
                </c:pt>
                <c:pt idx="19">
                  <c:v>0.53333333333333333</c:v>
                </c:pt>
                <c:pt idx="20">
                  <c:v>0.46666666666666667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F-4547-903E-2E26DF51C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77960"/>
        <c:axId val="810380584"/>
      </c:scatterChart>
      <c:valAx>
        <c:axId val="81037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80584"/>
        <c:crosses val="autoZero"/>
        <c:crossBetween val="midCat"/>
      </c:valAx>
      <c:valAx>
        <c:axId val="81038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7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8365266841644793E-2"/>
                  <c:y val="0.307690653251676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'316'!$A$24:$A$26</c:f>
              <c:numCache>
                <c:formatCode>0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xVal>
          <c:yVal>
            <c:numRef>
              <c:f>'316'!$F$24:$F$26</c:f>
              <c:numCache>
                <c:formatCode>General</c:formatCode>
                <c:ptCount val="3"/>
                <c:pt idx="0">
                  <c:v>0.2486838860283398</c:v>
                </c:pt>
                <c:pt idx="1">
                  <c:v>0.2303302220610591</c:v>
                </c:pt>
                <c:pt idx="2">
                  <c:v>0.20386961455552638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7-4516-9F63-12F9DB42A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68648"/>
        <c:axId val="864869960"/>
      </c:scatterChart>
      <c:valAx>
        <c:axId val="86486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69960"/>
        <c:crosses val="autoZero"/>
        <c:crossBetween val="midCat"/>
      </c:valAx>
      <c:valAx>
        <c:axId val="86486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6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4252493438320208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'316'!$C$4:$C$23</c:f>
              <c:numCache>
                <c:formatCode>0.00</c:formatCode>
                <c:ptCount val="20"/>
                <c:pt idx="0">
                  <c:v>83.339816339744829</c:v>
                </c:pt>
                <c:pt idx="1">
                  <c:v>80.198223686155032</c:v>
                </c:pt>
                <c:pt idx="2">
                  <c:v>77.056631032565235</c:v>
                </c:pt>
                <c:pt idx="3">
                  <c:v>73.915038378975439</c:v>
                </c:pt>
                <c:pt idx="4">
                  <c:v>70.773445725385656</c:v>
                </c:pt>
                <c:pt idx="5">
                  <c:v>67.631853071795859</c:v>
                </c:pt>
                <c:pt idx="6">
                  <c:v>64.490260418206063</c:v>
                </c:pt>
                <c:pt idx="7">
                  <c:v>61.348667764616273</c:v>
                </c:pt>
                <c:pt idx="8">
                  <c:v>58.207075111026484</c:v>
                </c:pt>
                <c:pt idx="9">
                  <c:v>55.065482457436687</c:v>
                </c:pt>
                <c:pt idx="10">
                  <c:v>51.92388980384689</c:v>
                </c:pt>
                <c:pt idx="11">
                  <c:v>48.782297150257101</c:v>
                </c:pt>
                <c:pt idx="12">
                  <c:v>45.640704496667311</c:v>
                </c:pt>
                <c:pt idx="13">
                  <c:v>42.499111843077515</c:v>
                </c:pt>
                <c:pt idx="14">
                  <c:v>39.357519189487718</c:v>
                </c:pt>
                <c:pt idx="15">
                  <c:v>36.215926535897928</c:v>
                </c:pt>
                <c:pt idx="16">
                  <c:v>33.074333882308139</c:v>
                </c:pt>
                <c:pt idx="17">
                  <c:v>29.932741228718346</c:v>
                </c:pt>
                <c:pt idx="18">
                  <c:v>26.791148575128553</c:v>
                </c:pt>
                <c:pt idx="19">
                  <c:v>23.649555921538759</c:v>
                </c:pt>
              </c:numCache>
            </c:numRef>
          </c:xVal>
          <c:yVal>
            <c:numRef>
              <c:f>'316'!$E$4:$E$23</c:f>
              <c:numCache>
                <c:formatCode>General</c:formatCode>
                <c:ptCount val="20"/>
                <c:pt idx="0">
                  <c:v>1.9000000000000001</c:v>
                </c:pt>
                <c:pt idx="1">
                  <c:v>1.8</c:v>
                </c:pt>
                <c:pt idx="2">
                  <c:v>1.7</c:v>
                </c:pt>
                <c:pt idx="3">
                  <c:v>1.7000000000000002</c:v>
                </c:pt>
                <c:pt idx="4">
                  <c:v>1.6</c:v>
                </c:pt>
                <c:pt idx="5">
                  <c:v>1.5</c:v>
                </c:pt>
                <c:pt idx="6">
                  <c:v>1.4</c:v>
                </c:pt>
                <c:pt idx="7">
                  <c:v>1.4000000000000001</c:v>
                </c:pt>
                <c:pt idx="8">
                  <c:v>1.3</c:v>
                </c:pt>
                <c:pt idx="9">
                  <c:v>1.3</c:v>
                </c:pt>
                <c:pt idx="10">
                  <c:v>1.2000000000000002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</c:v>
                </c:pt>
                <c:pt idx="14">
                  <c:v>0.9</c:v>
                </c:pt>
                <c:pt idx="15">
                  <c:v>0.8</c:v>
                </c:pt>
                <c:pt idx="16">
                  <c:v>0.7</c:v>
                </c:pt>
                <c:pt idx="17">
                  <c:v>0.7</c:v>
                </c:pt>
                <c:pt idx="18">
                  <c:v>0.6</c:v>
                </c:pt>
                <c:pt idx="1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F-45B3-B812-1838305F7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66304"/>
        <c:axId val="676466632"/>
      </c:scatterChart>
      <c:valAx>
        <c:axId val="67646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66632"/>
        <c:crosses val="autoZero"/>
        <c:crossBetween val="midCat"/>
      </c:valAx>
      <c:valAx>
        <c:axId val="67646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6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034629108315697"/>
                  <c:y val="0.389789317166000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 (2)'!$C$15:$C$24</c:f>
              <c:numCache>
                <c:formatCode>0.00</c:formatCode>
                <c:ptCount val="10"/>
                <c:pt idx="0">
                  <c:v>56.682297150257099</c:v>
                </c:pt>
                <c:pt idx="1">
                  <c:v>53.540704496667317</c:v>
                </c:pt>
                <c:pt idx="2">
                  <c:v>50.39911184307752</c:v>
                </c:pt>
                <c:pt idx="3">
                  <c:v>47.257519189487724</c:v>
                </c:pt>
                <c:pt idx="4">
                  <c:v>44.115926535897927</c:v>
                </c:pt>
                <c:pt idx="5">
                  <c:v>40.974333882308137</c:v>
                </c:pt>
                <c:pt idx="6">
                  <c:v>37.832741228718348</c:v>
                </c:pt>
                <c:pt idx="7">
                  <c:v>34.691148575128551</c:v>
                </c:pt>
                <c:pt idx="8">
                  <c:v>31.549555921538758</c:v>
                </c:pt>
                <c:pt idx="9">
                  <c:v>28.407963267948965</c:v>
                </c:pt>
              </c:numCache>
            </c:numRef>
          </c:xVal>
          <c:yVal>
            <c:numRef>
              <c:f>'1-2 (2)'!$E$15:$E$24</c:f>
              <c:numCache>
                <c:formatCode>0.00</c:formatCode>
                <c:ptCount val="10"/>
                <c:pt idx="0">
                  <c:v>3.8666666666666667</c:v>
                </c:pt>
                <c:pt idx="1">
                  <c:v>3.6666666666666665</c:v>
                </c:pt>
                <c:pt idx="2">
                  <c:v>3.4333333333333336</c:v>
                </c:pt>
                <c:pt idx="3">
                  <c:v>2.7333333333333334</c:v>
                </c:pt>
                <c:pt idx="4">
                  <c:v>3.4666666666666668</c:v>
                </c:pt>
                <c:pt idx="5">
                  <c:v>18.233333333333334</c:v>
                </c:pt>
                <c:pt idx="6">
                  <c:v>16.333333333333332</c:v>
                </c:pt>
                <c:pt idx="7">
                  <c:v>14.333333333333334</c:v>
                </c:pt>
                <c:pt idx="8">
                  <c:v>12.133333333333333</c:v>
                </c:pt>
                <c:pt idx="9">
                  <c:v>9.9333333333333336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8-4FB2-B266-D71E80B7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935040"/>
        <c:axId val="674927824"/>
      </c:scatterChart>
      <c:valAx>
        <c:axId val="67493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27824"/>
        <c:crosses val="autoZero"/>
        <c:crossBetween val="midCat"/>
      </c:valAx>
      <c:valAx>
        <c:axId val="6749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7759208223972009"/>
                  <c:y val="0.36955526392534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 (2)'!$C$4:$C$19</c:f>
              <c:numCache>
                <c:formatCode>0.00</c:formatCode>
                <c:ptCount val="16"/>
                <c:pt idx="0">
                  <c:v>91.239816339744834</c:v>
                </c:pt>
                <c:pt idx="1">
                  <c:v>88.098223686155038</c:v>
                </c:pt>
                <c:pt idx="2">
                  <c:v>84.956631032565241</c:v>
                </c:pt>
                <c:pt idx="3">
                  <c:v>81.815038378975444</c:v>
                </c:pt>
                <c:pt idx="4">
                  <c:v>78.673445725385662</c:v>
                </c:pt>
                <c:pt idx="5">
                  <c:v>75.531853071795865</c:v>
                </c:pt>
                <c:pt idx="6">
                  <c:v>72.390260418206068</c:v>
                </c:pt>
                <c:pt idx="7">
                  <c:v>69.248667764616272</c:v>
                </c:pt>
                <c:pt idx="8">
                  <c:v>66.107075111026489</c:v>
                </c:pt>
                <c:pt idx="9">
                  <c:v>62.965482457436693</c:v>
                </c:pt>
                <c:pt idx="10">
                  <c:v>59.823889803846896</c:v>
                </c:pt>
                <c:pt idx="11">
                  <c:v>56.682297150257099</c:v>
                </c:pt>
                <c:pt idx="12">
                  <c:v>53.540704496667317</c:v>
                </c:pt>
                <c:pt idx="13">
                  <c:v>50.39911184307752</c:v>
                </c:pt>
                <c:pt idx="14">
                  <c:v>47.257519189487724</c:v>
                </c:pt>
                <c:pt idx="15">
                  <c:v>44.115926535897927</c:v>
                </c:pt>
              </c:numCache>
            </c:numRef>
          </c:xVal>
          <c:yVal>
            <c:numRef>
              <c:f>'1-2 (2)'!$E$4:$E$19</c:f>
              <c:numCache>
                <c:formatCode>0.00</c:formatCode>
                <c:ptCount val="16"/>
                <c:pt idx="0">
                  <c:v>4.0999999999999996</c:v>
                </c:pt>
                <c:pt idx="1">
                  <c:v>3.9333333333333336</c:v>
                </c:pt>
                <c:pt idx="2">
                  <c:v>3.8666666666666667</c:v>
                </c:pt>
                <c:pt idx="3">
                  <c:v>3.7666666666666666</c:v>
                </c:pt>
                <c:pt idx="4">
                  <c:v>3.6333333333333333</c:v>
                </c:pt>
                <c:pt idx="5">
                  <c:v>3.5</c:v>
                </c:pt>
                <c:pt idx="6">
                  <c:v>3.3666666666666667</c:v>
                </c:pt>
                <c:pt idx="7">
                  <c:v>3.2333333333333334</c:v>
                </c:pt>
                <c:pt idx="8">
                  <c:v>3.1</c:v>
                </c:pt>
                <c:pt idx="9">
                  <c:v>2.9666666666666668</c:v>
                </c:pt>
                <c:pt idx="10">
                  <c:v>2.8333333333333335</c:v>
                </c:pt>
                <c:pt idx="11">
                  <c:v>3.8666666666666667</c:v>
                </c:pt>
                <c:pt idx="12">
                  <c:v>3.6666666666666665</c:v>
                </c:pt>
                <c:pt idx="13">
                  <c:v>3.4333333333333336</c:v>
                </c:pt>
                <c:pt idx="14">
                  <c:v>2.7333333333333334</c:v>
                </c:pt>
                <c:pt idx="15">
                  <c:v>3.4666666666666668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1-42E2-BBFB-C624023B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77960"/>
        <c:axId val="810380584"/>
      </c:scatterChart>
      <c:valAx>
        <c:axId val="81037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80584"/>
        <c:crosses val="autoZero"/>
        <c:crossBetween val="midCat"/>
      </c:valAx>
      <c:valAx>
        <c:axId val="81038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7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18034629108315697"/>
                  <c:y val="0.389789317166000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'1-2'!$A$20:$A$24</c:f>
              <c:numCache>
                <c:formatCode>0</c:formatCode>
                <c:ptCount val="5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xVal>
          <c:yVal>
            <c:numRef>
              <c:f>'1-2'!$F$20:$F$24</c:f>
              <c:numCache>
                <c:formatCode>General</c:formatCode>
                <c:ptCount val="5"/>
                <c:pt idx="0">
                  <c:v>0.44662104947364523</c:v>
                </c:pt>
                <c:pt idx="1">
                  <c:v>0.43348696043074386</c:v>
                </c:pt>
                <c:pt idx="2">
                  <c:v>0.41509147409215291</c:v>
                </c:pt>
                <c:pt idx="3">
                  <c:v>0.38669324000440547</c:v>
                </c:pt>
                <c:pt idx="4">
                  <c:v>0.35201397247941435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3-4F5E-9794-FF5DEAC5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935040"/>
        <c:axId val="674927824"/>
      </c:scatterChart>
      <c:valAx>
        <c:axId val="67493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27824"/>
        <c:crosses val="autoZero"/>
        <c:crossBetween val="midCat"/>
      </c:valAx>
      <c:valAx>
        <c:axId val="6749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3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8948162729658793E-2"/>
                  <c:y val="0.24625729075532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'1-2'!$C$4:$C$19</c:f>
              <c:numCache>
                <c:formatCode>0.00</c:formatCode>
                <c:ptCount val="16"/>
                <c:pt idx="0">
                  <c:v>91.239816339744834</c:v>
                </c:pt>
                <c:pt idx="1">
                  <c:v>88.098223686155038</c:v>
                </c:pt>
                <c:pt idx="2">
                  <c:v>84.956631032565241</c:v>
                </c:pt>
                <c:pt idx="3">
                  <c:v>81.815038378975444</c:v>
                </c:pt>
                <c:pt idx="4">
                  <c:v>78.673445725385662</c:v>
                </c:pt>
                <c:pt idx="5">
                  <c:v>75.531853071795865</c:v>
                </c:pt>
                <c:pt idx="6">
                  <c:v>72.390260418206068</c:v>
                </c:pt>
                <c:pt idx="7">
                  <c:v>69.248667764616272</c:v>
                </c:pt>
                <c:pt idx="8">
                  <c:v>66.107075111026489</c:v>
                </c:pt>
                <c:pt idx="9">
                  <c:v>62.965482457436693</c:v>
                </c:pt>
                <c:pt idx="10">
                  <c:v>59.823889803846896</c:v>
                </c:pt>
                <c:pt idx="11">
                  <c:v>56.682297150257099</c:v>
                </c:pt>
                <c:pt idx="12">
                  <c:v>53.540704496667317</c:v>
                </c:pt>
                <c:pt idx="13">
                  <c:v>50.39911184307752</c:v>
                </c:pt>
                <c:pt idx="14">
                  <c:v>47.257519189487724</c:v>
                </c:pt>
                <c:pt idx="15">
                  <c:v>44.115926535897927</c:v>
                </c:pt>
              </c:numCache>
            </c:numRef>
          </c:xVal>
          <c:yVal>
            <c:numRef>
              <c:f>'1-2'!$E$4:$E$19</c:f>
              <c:numCache>
                <c:formatCode>General</c:formatCode>
                <c:ptCount val="16"/>
                <c:pt idx="0">
                  <c:v>4.0999999999999996</c:v>
                </c:pt>
                <c:pt idx="1">
                  <c:v>4</c:v>
                </c:pt>
                <c:pt idx="2">
                  <c:v>3.9</c:v>
                </c:pt>
                <c:pt idx="3">
                  <c:v>3.8000000000000003</c:v>
                </c:pt>
                <c:pt idx="4">
                  <c:v>3.7</c:v>
                </c:pt>
                <c:pt idx="5">
                  <c:v>3.5</c:v>
                </c:pt>
                <c:pt idx="6">
                  <c:v>3.4</c:v>
                </c:pt>
                <c:pt idx="7">
                  <c:v>3.3000000000000003</c:v>
                </c:pt>
                <c:pt idx="8">
                  <c:v>3.1</c:v>
                </c:pt>
                <c:pt idx="9">
                  <c:v>3</c:v>
                </c:pt>
                <c:pt idx="10">
                  <c:v>2.9</c:v>
                </c:pt>
                <c:pt idx="11">
                  <c:v>3.9</c:v>
                </c:pt>
                <c:pt idx="12">
                  <c:v>3.7</c:v>
                </c:pt>
                <c:pt idx="13">
                  <c:v>3.5</c:v>
                </c:pt>
                <c:pt idx="14">
                  <c:v>2.8000000000000003</c:v>
                </c:pt>
                <c:pt idx="1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5-4F15-838C-E860D540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77960"/>
        <c:axId val="810380584"/>
      </c:scatterChart>
      <c:valAx>
        <c:axId val="81037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80584"/>
        <c:crosses val="autoZero"/>
        <c:crossBetween val="midCat"/>
      </c:valAx>
      <c:valAx>
        <c:axId val="81038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7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'20ga'!$D$3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963493869016723E-2"/>
                  <c:y val="-4.05138779268782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'20ga'!$A$4:$A$27</c:f>
              <c:numCache>
                <c:formatCode>0</c:formatCode>
                <c:ptCount val="24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</c:numCache>
            </c:numRef>
          </c:xVal>
          <c:yVal>
            <c:numRef>
              <c:f>'20ga'!$D$4:$D$27</c:f>
              <c:numCache>
                <c:formatCode>General</c:formatCode>
                <c:ptCount val="24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17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13</c:v>
                </c:pt>
                <c:pt idx="19">
                  <c:v>13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A-411C-A135-F9D72951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61976"/>
        <c:axId val="728368208"/>
      </c:scatterChart>
      <c:valAx>
        <c:axId val="72836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68208"/>
        <c:crosses val="autoZero"/>
        <c:crossBetween val="midCat"/>
      </c:valAx>
      <c:valAx>
        <c:axId val="7283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61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'16ga'!$D$3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756313752321396E-2"/>
                  <c:y val="-5.9062644492540992E-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'16ga'!$A$4:$A$26</c:f>
              <c:numCache>
                <c:formatCode>0</c:formatCode>
                <c:ptCount val="23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</c:numCache>
            </c:numRef>
          </c:xVal>
          <c:yVal>
            <c:numRef>
              <c:f>'16ga'!$D$4:$D$26</c:f>
              <c:numCache>
                <c:formatCode>General</c:formatCode>
                <c:ptCount val="23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11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6-4002-85C0-3DB1F5FD1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922424"/>
        <c:axId val="636916520"/>
      </c:scatterChart>
      <c:valAx>
        <c:axId val="63692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16520"/>
        <c:crosses val="autoZero"/>
        <c:crossBetween val="midCat"/>
      </c:valAx>
      <c:valAx>
        <c:axId val="6369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2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'12ga'!$D$3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190569614997014E-2"/>
                  <c:y val="5.187586845761926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'12ga'!$A$4:$A$25</c:f>
              <c:numCache>
                <c:formatCode>0</c:formatCode>
                <c:ptCount val="22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</c:numCache>
            </c:numRef>
          </c:xVal>
          <c:yVal>
            <c:numRef>
              <c:f>'12ga'!$D$4:$D$25</c:f>
              <c:numCache>
                <c:formatCode>General</c:formatCode>
                <c:ptCount val="22"/>
                <c:pt idx="0">
                  <c:v>39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  <c:pt idx="7">
                  <c:v>30</c:v>
                </c:pt>
                <c:pt idx="8">
                  <c:v>27</c:v>
                </c:pt>
                <c:pt idx="9">
                  <c:v>27</c:v>
                </c:pt>
                <c:pt idx="10">
                  <c:v>25</c:v>
                </c:pt>
                <c:pt idx="11">
                  <c:v>24</c:v>
                </c:pt>
                <c:pt idx="12">
                  <c:v>22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17</c:v>
                </c:pt>
                <c:pt idx="17">
                  <c:v>15</c:v>
                </c:pt>
                <c:pt idx="18">
                  <c:v>14</c:v>
                </c:pt>
                <c:pt idx="19">
                  <c:v>12</c:v>
                </c:pt>
                <c:pt idx="20">
                  <c:v>11</c:v>
                </c:pt>
                <c:pt idx="2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F-4EBB-8CC9-47BCBF57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408552"/>
        <c:axId val="728409208"/>
      </c:scatterChart>
      <c:valAx>
        <c:axId val="72840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09208"/>
        <c:crosses val="autoZero"/>
        <c:crossBetween val="midCat"/>
      </c:valAx>
      <c:valAx>
        <c:axId val="72840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08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'8ga'!$D$3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067388700306262E-2"/>
                  <c:y val="-8.02976551008047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'8ga'!$A$4:$A$24</c:f>
              <c:numCache>
                <c:formatCode>0</c:formatCode>
                <c:ptCount val="21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</c:numCache>
            </c:numRef>
          </c:xVal>
          <c:yVal>
            <c:numRef>
              <c:f>'8ga'!$D$4:$D$24</c:f>
              <c:numCache>
                <c:formatCode>General</c:formatCode>
                <c:ptCount val="21"/>
                <c:pt idx="0">
                  <c:v>54</c:v>
                </c:pt>
                <c:pt idx="1">
                  <c:v>53</c:v>
                </c:pt>
                <c:pt idx="2">
                  <c:v>51</c:v>
                </c:pt>
                <c:pt idx="3">
                  <c:v>49</c:v>
                </c:pt>
                <c:pt idx="4">
                  <c:v>44</c:v>
                </c:pt>
                <c:pt idx="5">
                  <c:v>44</c:v>
                </c:pt>
                <c:pt idx="6">
                  <c:v>42</c:v>
                </c:pt>
                <c:pt idx="7">
                  <c:v>41</c:v>
                </c:pt>
                <c:pt idx="8">
                  <c:v>38</c:v>
                </c:pt>
                <c:pt idx="9">
                  <c:v>37</c:v>
                </c:pt>
                <c:pt idx="10">
                  <c:v>35</c:v>
                </c:pt>
                <c:pt idx="11">
                  <c:v>33</c:v>
                </c:pt>
                <c:pt idx="12">
                  <c:v>30</c:v>
                </c:pt>
                <c:pt idx="13">
                  <c:v>29</c:v>
                </c:pt>
                <c:pt idx="14">
                  <c:v>27</c:v>
                </c:pt>
                <c:pt idx="15">
                  <c:v>25</c:v>
                </c:pt>
                <c:pt idx="16">
                  <c:v>23</c:v>
                </c:pt>
                <c:pt idx="17">
                  <c:v>21</c:v>
                </c:pt>
                <c:pt idx="18">
                  <c:v>18</c:v>
                </c:pt>
                <c:pt idx="19">
                  <c:v>16</c:v>
                </c:pt>
                <c:pt idx="2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7-4618-A4C5-417BFD29F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445616"/>
        <c:axId val="728446928"/>
      </c:scatterChart>
      <c:valAx>
        <c:axId val="7284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46928"/>
        <c:crosses val="autoZero"/>
        <c:crossBetween val="midCat"/>
      </c:valAx>
      <c:valAx>
        <c:axId val="7284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4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'316'!$D$3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052788345277065E-2"/>
                  <c:y val="6.21138211382113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'316'!$A$4:$A$23</c:f>
              <c:numCache>
                <c:formatCode>0</c:formatCode>
                <c:ptCount val="20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</c:numCache>
            </c:numRef>
          </c:xVal>
          <c:yVal>
            <c:numRef>
              <c:f>'316'!$D$4:$D$23</c:f>
              <c:numCache>
                <c:formatCode>General</c:formatCode>
                <c:ptCount val="20"/>
                <c:pt idx="0">
                  <c:v>56</c:v>
                </c:pt>
                <c:pt idx="1">
                  <c:v>53</c:v>
                </c:pt>
                <c:pt idx="2">
                  <c:v>51</c:v>
                </c:pt>
                <c:pt idx="3">
                  <c:v>50</c:v>
                </c:pt>
                <c:pt idx="4">
                  <c:v>48</c:v>
                </c:pt>
                <c:pt idx="5">
                  <c:v>45</c:v>
                </c:pt>
                <c:pt idx="6">
                  <c:v>42</c:v>
                </c:pt>
                <c:pt idx="7">
                  <c:v>41</c:v>
                </c:pt>
                <c:pt idx="8">
                  <c:v>39</c:v>
                </c:pt>
                <c:pt idx="9">
                  <c:v>37</c:v>
                </c:pt>
                <c:pt idx="10">
                  <c:v>34</c:v>
                </c:pt>
                <c:pt idx="11">
                  <c:v>33</c:v>
                </c:pt>
                <c:pt idx="12">
                  <c:v>31</c:v>
                </c:pt>
                <c:pt idx="13">
                  <c:v>28</c:v>
                </c:pt>
                <c:pt idx="14">
                  <c:v>25</c:v>
                </c:pt>
                <c:pt idx="15">
                  <c:v>24</c:v>
                </c:pt>
                <c:pt idx="16">
                  <c:v>21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3-4660-B1F3-7E17CFA13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741448"/>
        <c:axId val="627740464"/>
      </c:scatterChart>
      <c:valAx>
        <c:axId val="62774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40464"/>
        <c:crosses val="autoZero"/>
        <c:crossBetween val="midCat"/>
      </c:valAx>
      <c:valAx>
        <c:axId val="6277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4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282588766104784E-2"/>
          <c:y val="3.0587414100162944E-2"/>
          <c:w val="0.93448662725667941"/>
          <c:h val="0.69635127400849262"/>
        </c:manualLayout>
      </c:layout>
      <c:lineChart>
        <c:grouping val="standard"/>
        <c:varyColors val="0"/>
        <c:ser>
          <c:idx val="0"/>
          <c:order val="0"/>
          <c:tx>
            <c:strRef>
              <c:f>'Combined Data'!$B$1</c:f>
              <c:strCache>
                <c:ptCount val="1"/>
                <c:pt idx="0">
                  <c:v>22Ga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Data'!$B$2:$B$25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A-4686-8E46-2CB72597514C}"/>
            </c:ext>
          </c:extLst>
        </c:ser>
        <c:ser>
          <c:idx val="1"/>
          <c:order val="1"/>
          <c:tx>
            <c:strRef>
              <c:f>'Combined Data'!$C$1</c:f>
              <c:strCache>
                <c:ptCount val="1"/>
                <c:pt idx="0">
                  <c:v>20Ga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Data'!$C$2:$C$25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20</c:v>
                </c:pt>
                <c:pt idx="18">
                  <c:v>21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A-4686-8E46-2CB72597514C}"/>
            </c:ext>
          </c:extLst>
        </c:ser>
        <c:ser>
          <c:idx val="2"/>
          <c:order val="2"/>
          <c:tx>
            <c:strRef>
              <c:f>'Combined Data'!$D$1</c:f>
              <c:strCache>
                <c:ptCount val="1"/>
                <c:pt idx="0">
                  <c:v>18Ga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Data'!$D$2:$D$25</c:f>
              <c:numCache>
                <c:formatCode>General</c:formatCode>
                <c:ptCount val="24"/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14.5</c:v>
                </c:pt>
                <c:pt idx="7">
                  <c:v>15</c:v>
                </c:pt>
                <c:pt idx="8">
                  <c:v>15</c:v>
                </c:pt>
                <c:pt idx="9">
                  <c:v>15.5</c:v>
                </c:pt>
                <c:pt idx="10">
                  <c:v>16.5</c:v>
                </c:pt>
                <c:pt idx="11">
                  <c:v>16.5</c:v>
                </c:pt>
                <c:pt idx="12">
                  <c:v>17.5</c:v>
                </c:pt>
                <c:pt idx="13">
                  <c:v>18</c:v>
                </c:pt>
                <c:pt idx="14">
                  <c:v>18.5</c:v>
                </c:pt>
                <c:pt idx="15">
                  <c:v>19</c:v>
                </c:pt>
                <c:pt idx="16">
                  <c:v>20.5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21.5</c:v>
                </c:pt>
                <c:pt idx="21">
                  <c:v>22.5</c:v>
                </c:pt>
                <c:pt idx="22">
                  <c:v>24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A-4686-8E46-2CB72597514C}"/>
            </c:ext>
          </c:extLst>
        </c:ser>
        <c:ser>
          <c:idx val="3"/>
          <c:order val="3"/>
          <c:tx>
            <c:strRef>
              <c:f>'Combined Data'!$E$1</c:f>
              <c:strCache>
                <c:ptCount val="1"/>
                <c:pt idx="0">
                  <c:v>16Ga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Data'!$E$2:$E$25</c:f>
              <c:numCache>
                <c:formatCode>General</c:formatCode>
                <c:ptCount val="24"/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A-4686-8E46-2CB72597514C}"/>
            </c:ext>
          </c:extLst>
        </c:ser>
        <c:ser>
          <c:idx val="4"/>
          <c:order val="4"/>
          <c:tx>
            <c:strRef>
              <c:f>'Combined Data'!$F$1</c:f>
              <c:strCache>
                <c:ptCount val="1"/>
                <c:pt idx="0">
                  <c:v>14Ga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Data'!$F$2:$F$25</c:f>
              <c:numCache>
                <c:formatCode>General</c:formatCode>
                <c:ptCount val="24"/>
                <c:pt idx="2">
                  <c:v>9.5</c:v>
                </c:pt>
                <c:pt idx="3">
                  <c:v>11</c:v>
                </c:pt>
                <c:pt idx="4">
                  <c:v>11.5</c:v>
                </c:pt>
                <c:pt idx="5">
                  <c:v>13.5</c:v>
                </c:pt>
                <c:pt idx="6">
                  <c:v>14.5</c:v>
                </c:pt>
                <c:pt idx="7">
                  <c:v>16</c:v>
                </c:pt>
                <c:pt idx="8">
                  <c:v>16.5</c:v>
                </c:pt>
                <c:pt idx="9">
                  <c:v>17</c:v>
                </c:pt>
                <c:pt idx="10">
                  <c:v>18.5</c:v>
                </c:pt>
                <c:pt idx="11">
                  <c:v>19</c:v>
                </c:pt>
                <c:pt idx="12">
                  <c:v>20.5</c:v>
                </c:pt>
                <c:pt idx="13">
                  <c:v>21.5</c:v>
                </c:pt>
                <c:pt idx="14">
                  <c:v>23</c:v>
                </c:pt>
                <c:pt idx="15">
                  <c:v>23.5</c:v>
                </c:pt>
                <c:pt idx="16">
                  <c:v>25.5</c:v>
                </c:pt>
                <c:pt idx="17">
                  <c:v>26.5</c:v>
                </c:pt>
                <c:pt idx="18">
                  <c:v>27.5</c:v>
                </c:pt>
                <c:pt idx="19">
                  <c:v>28.5</c:v>
                </c:pt>
                <c:pt idx="20">
                  <c:v>29</c:v>
                </c:pt>
                <c:pt idx="21">
                  <c:v>30</c:v>
                </c:pt>
                <c:pt idx="22">
                  <c:v>32</c:v>
                </c:pt>
                <c:pt idx="2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A-4686-8E46-2CB72597514C}"/>
            </c:ext>
          </c:extLst>
        </c:ser>
        <c:ser>
          <c:idx val="5"/>
          <c:order val="5"/>
          <c:tx>
            <c:strRef>
              <c:f>'Combined Data'!$G$1</c:f>
              <c:strCache>
                <c:ptCount val="1"/>
                <c:pt idx="0">
                  <c:v>12Ga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'Combined Data'!$G$2:$G$25</c:f>
              <c:numCache>
                <c:formatCode>General</c:formatCode>
                <c:ptCount val="24"/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27</c:v>
                </c:pt>
                <c:pt idx="15">
                  <c:v>27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38</c:v>
                </c:pt>
                <c:pt idx="2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8A-4686-8E46-2CB72597514C}"/>
            </c:ext>
          </c:extLst>
        </c:ser>
        <c:ser>
          <c:idx val="6"/>
          <c:order val="6"/>
          <c:tx>
            <c:strRef>
              <c:f>'Combined Data'!$H$1</c:f>
              <c:strCache>
                <c:ptCount val="1"/>
                <c:pt idx="0">
                  <c:v>11ga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Data'!$H$2:$H$25</c:f>
              <c:numCache>
                <c:formatCode>General</c:formatCode>
                <c:ptCount val="24"/>
                <c:pt idx="3">
                  <c:v>12.5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21.5</c:v>
                </c:pt>
                <c:pt idx="9">
                  <c:v>23</c:v>
                </c:pt>
                <c:pt idx="10">
                  <c:v>25</c:v>
                </c:pt>
                <c:pt idx="11">
                  <c:v>26</c:v>
                </c:pt>
                <c:pt idx="12">
                  <c:v>28.5</c:v>
                </c:pt>
                <c:pt idx="13">
                  <c:v>30</c:v>
                </c:pt>
                <c:pt idx="14">
                  <c:v>32</c:v>
                </c:pt>
                <c:pt idx="15">
                  <c:v>32.5</c:v>
                </c:pt>
                <c:pt idx="16">
                  <c:v>35.5</c:v>
                </c:pt>
                <c:pt idx="17">
                  <c:v>36.5</c:v>
                </c:pt>
                <c:pt idx="18">
                  <c:v>38</c:v>
                </c:pt>
                <c:pt idx="19">
                  <c:v>39</c:v>
                </c:pt>
                <c:pt idx="20">
                  <c:v>42</c:v>
                </c:pt>
                <c:pt idx="21">
                  <c:v>43.5</c:v>
                </c:pt>
                <c:pt idx="22">
                  <c:v>45.5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8A-4686-8E46-2CB72597514C}"/>
            </c:ext>
          </c:extLst>
        </c:ser>
        <c:ser>
          <c:idx val="7"/>
          <c:order val="7"/>
          <c:tx>
            <c:strRef>
              <c:f>'Combined Data'!$I$1</c:f>
              <c:strCache>
                <c:ptCount val="1"/>
                <c:pt idx="0">
                  <c:v>8Ga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Data'!$I$2:$I$25</c:f>
              <c:numCache>
                <c:formatCode>General</c:formatCode>
                <c:ptCount val="24"/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21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30</c:v>
                </c:pt>
                <c:pt idx="12">
                  <c:v>33</c:v>
                </c:pt>
                <c:pt idx="13">
                  <c:v>35</c:v>
                </c:pt>
                <c:pt idx="14">
                  <c:v>37</c:v>
                </c:pt>
                <c:pt idx="15">
                  <c:v>38</c:v>
                </c:pt>
                <c:pt idx="16">
                  <c:v>41</c:v>
                </c:pt>
                <c:pt idx="17">
                  <c:v>42</c:v>
                </c:pt>
                <c:pt idx="18">
                  <c:v>44</c:v>
                </c:pt>
                <c:pt idx="19">
                  <c:v>44</c:v>
                </c:pt>
                <c:pt idx="20">
                  <c:v>49</c:v>
                </c:pt>
                <c:pt idx="21">
                  <c:v>51</c:v>
                </c:pt>
                <c:pt idx="22">
                  <c:v>53</c:v>
                </c:pt>
                <c:pt idx="2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8A-4686-8E46-2CB72597514C}"/>
            </c:ext>
          </c:extLst>
        </c:ser>
        <c:ser>
          <c:idx val="8"/>
          <c:order val="8"/>
          <c:tx>
            <c:strRef>
              <c:f>'Combined Data'!$J$1</c:f>
              <c:strCache>
                <c:ptCount val="1"/>
                <c:pt idx="0">
                  <c:v>3-16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Data'!$J$2:$J$25</c:f>
              <c:numCache>
                <c:formatCode>General</c:formatCode>
                <c:ptCount val="24"/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24</c:v>
                </c:pt>
                <c:pt idx="9">
                  <c:v>25</c:v>
                </c:pt>
                <c:pt idx="10">
                  <c:v>28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37</c:v>
                </c:pt>
                <c:pt idx="15">
                  <c:v>39</c:v>
                </c:pt>
                <c:pt idx="16">
                  <c:v>41</c:v>
                </c:pt>
                <c:pt idx="17">
                  <c:v>42</c:v>
                </c:pt>
                <c:pt idx="18">
                  <c:v>45</c:v>
                </c:pt>
                <c:pt idx="19">
                  <c:v>48</c:v>
                </c:pt>
                <c:pt idx="20">
                  <c:v>50</c:v>
                </c:pt>
                <c:pt idx="21">
                  <c:v>51</c:v>
                </c:pt>
                <c:pt idx="22">
                  <c:v>53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8A-4686-8E46-2CB72597514C}"/>
            </c:ext>
          </c:extLst>
        </c:ser>
        <c:ser>
          <c:idx val="9"/>
          <c:order val="9"/>
          <c:tx>
            <c:strRef>
              <c:f>'Combined Data'!$K$1</c:f>
              <c:strCache>
                <c:ptCount val="1"/>
                <c:pt idx="0">
                  <c:v>1-4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Data'!$K$2:$K$25</c:f>
              <c:numCache>
                <c:formatCode>General</c:formatCode>
                <c:ptCount val="24"/>
                <c:pt idx="5">
                  <c:v>17</c:v>
                </c:pt>
                <c:pt idx="6">
                  <c:v>21.375</c:v>
                </c:pt>
                <c:pt idx="7">
                  <c:v>23.625</c:v>
                </c:pt>
                <c:pt idx="8">
                  <c:v>27</c:v>
                </c:pt>
                <c:pt idx="9">
                  <c:v>28.125</c:v>
                </c:pt>
                <c:pt idx="10">
                  <c:v>31.5</c:v>
                </c:pt>
                <c:pt idx="11">
                  <c:v>34.875</c:v>
                </c:pt>
                <c:pt idx="12">
                  <c:v>37.125</c:v>
                </c:pt>
                <c:pt idx="13">
                  <c:v>46.75</c:v>
                </c:pt>
                <c:pt idx="14">
                  <c:v>49.75</c:v>
                </c:pt>
                <c:pt idx="15">
                  <c:v>52.5</c:v>
                </c:pt>
                <c:pt idx="16">
                  <c:v>55</c:v>
                </c:pt>
                <c:pt idx="17">
                  <c:v>56.75</c:v>
                </c:pt>
                <c:pt idx="18">
                  <c:v>60</c:v>
                </c:pt>
                <c:pt idx="19">
                  <c:v>63.25</c:v>
                </c:pt>
                <c:pt idx="20">
                  <c:v>65.75</c:v>
                </c:pt>
                <c:pt idx="21">
                  <c:v>67.25</c:v>
                </c:pt>
                <c:pt idx="22">
                  <c:v>69.25</c:v>
                </c:pt>
                <c:pt idx="23">
                  <c:v>72.75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8A-4686-8E46-2CB72597514C}"/>
            </c:ext>
          </c:extLst>
        </c:ser>
        <c:ser>
          <c:idx val="10"/>
          <c:order val="10"/>
          <c:tx>
            <c:strRef>
              <c:f>'Combined Data'!$L$1</c:f>
              <c:strCache>
                <c:ptCount val="1"/>
                <c:pt idx="0">
                  <c:v>5-16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Data'!$L$2:$L$25</c:f>
              <c:numCache>
                <c:formatCode>General</c:formatCode>
                <c:ptCount val="24"/>
                <c:pt idx="6">
                  <c:v>23.75</c:v>
                </c:pt>
                <c:pt idx="7">
                  <c:v>26.25</c:v>
                </c:pt>
                <c:pt idx="8">
                  <c:v>30</c:v>
                </c:pt>
                <c:pt idx="9">
                  <c:v>31.25</c:v>
                </c:pt>
                <c:pt idx="10">
                  <c:v>35</c:v>
                </c:pt>
                <c:pt idx="11">
                  <c:v>38.75</c:v>
                </c:pt>
                <c:pt idx="12">
                  <c:v>41.25</c:v>
                </c:pt>
                <c:pt idx="13">
                  <c:v>59.5</c:v>
                </c:pt>
                <c:pt idx="14">
                  <c:v>62.5</c:v>
                </c:pt>
                <c:pt idx="15">
                  <c:v>66</c:v>
                </c:pt>
                <c:pt idx="16">
                  <c:v>69</c:v>
                </c:pt>
                <c:pt idx="17">
                  <c:v>71.5</c:v>
                </c:pt>
                <c:pt idx="18">
                  <c:v>75</c:v>
                </c:pt>
                <c:pt idx="19">
                  <c:v>78.5</c:v>
                </c:pt>
                <c:pt idx="20">
                  <c:v>81.5</c:v>
                </c:pt>
                <c:pt idx="21">
                  <c:v>83.5</c:v>
                </c:pt>
                <c:pt idx="22">
                  <c:v>85.5</c:v>
                </c:pt>
                <c:pt idx="23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8A-4686-8E46-2CB72597514C}"/>
            </c:ext>
          </c:extLst>
        </c:ser>
        <c:ser>
          <c:idx val="11"/>
          <c:order val="11"/>
          <c:tx>
            <c:strRef>
              <c:f>'Combined Data'!$M$1</c:f>
              <c:strCache>
                <c:ptCount val="1"/>
                <c:pt idx="0">
                  <c:v>1-2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Data'!$M$2:$M$25</c:f>
              <c:numCache>
                <c:formatCode>General</c:formatCode>
                <c:ptCount val="24"/>
                <c:pt idx="13">
                  <c:v>85</c:v>
                </c:pt>
                <c:pt idx="14">
                  <c:v>88</c:v>
                </c:pt>
                <c:pt idx="15">
                  <c:v>93</c:v>
                </c:pt>
                <c:pt idx="16">
                  <c:v>97</c:v>
                </c:pt>
                <c:pt idx="17">
                  <c:v>101</c:v>
                </c:pt>
                <c:pt idx="18">
                  <c:v>105</c:v>
                </c:pt>
                <c:pt idx="19">
                  <c:v>109</c:v>
                </c:pt>
                <c:pt idx="20">
                  <c:v>113</c:v>
                </c:pt>
                <c:pt idx="21">
                  <c:v>116</c:v>
                </c:pt>
                <c:pt idx="22">
                  <c:v>118</c:v>
                </c:pt>
                <c:pt idx="23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8A-4686-8E46-2CB72597514C}"/>
            </c:ext>
          </c:extLst>
        </c:ser>
        <c:ser>
          <c:idx val="12"/>
          <c:order val="12"/>
          <c:tx>
            <c:strRef>
              <c:f>'Combined Data'!$N$1</c:f>
              <c:strCache>
                <c:ptCount val="1"/>
                <c:pt idx="0">
                  <c:v>5-8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'Combined Data'!$N$2:$N$25</c:f>
              <c:numCache>
                <c:formatCode>General</c:formatCode>
                <c:ptCount val="24"/>
                <c:pt idx="13">
                  <c:v>89.25</c:v>
                </c:pt>
                <c:pt idx="14">
                  <c:v>92.4</c:v>
                </c:pt>
                <c:pt idx="15">
                  <c:v>97.65</c:v>
                </c:pt>
                <c:pt idx="16">
                  <c:v>101.85</c:v>
                </c:pt>
                <c:pt idx="17">
                  <c:v>106.05</c:v>
                </c:pt>
                <c:pt idx="18">
                  <c:v>110.25</c:v>
                </c:pt>
                <c:pt idx="19">
                  <c:v>114.45</c:v>
                </c:pt>
                <c:pt idx="20">
                  <c:v>118.65</c:v>
                </c:pt>
                <c:pt idx="21">
                  <c:v>121.8</c:v>
                </c:pt>
                <c:pt idx="22">
                  <c:v>123.9</c:v>
                </c:pt>
                <c:pt idx="23">
                  <c:v>129.15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8A-4686-8E46-2CB725975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216512"/>
        <c:axId val="731221760"/>
      </c:lineChart>
      <c:catAx>
        <c:axId val="7312165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21760"/>
        <c:crosses val="autoZero"/>
        <c:auto val="1"/>
        <c:lblAlgn val="ctr"/>
        <c:lblOffset val="100"/>
        <c:noMultiLvlLbl val="0"/>
      </c:catAx>
      <c:valAx>
        <c:axId val="7312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40437157756832E-2"/>
          <c:y val="0.76641944212235058"/>
          <c:w val="0.97684847034326461"/>
          <c:h val="0.21689651382301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'Pierce Time'!$H$1</c:f>
              <c:strCache>
                <c:ptCount val="1"/>
                <c:pt idx="0">
                  <c:v>Time (cs)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5455818022747154E-2"/>
                  <c:y val="-0.49915135608048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'Pierce Time'!$F$2:$F$7</c:f>
              <c:strCache>
                <c:ptCount val="6"/>
                <c:pt idx="0">
                  <c:v>1/2</c:v>
                </c:pt>
                <c:pt idx="1">
                  <c:v>3/16</c:v>
                </c:pt>
                <c:pt idx="2">
                  <c:v>8ga</c:v>
                </c:pt>
                <c:pt idx="3">
                  <c:v>12ga</c:v>
                </c:pt>
                <c:pt idx="4">
                  <c:v>16ga</c:v>
                </c:pt>
                <c:pt idx="5">
                  <c:v>20ga</c:v>
                </c:pt>
              </c:strCache>
            </c:strRef>
          </c:cat>
          <c:val>
            <c:numRef>
              <c:f>'Pierce Time'!$H$2:$H$7</c:f>
              <c:numCache>
                <c:formatCode>General</c:formatCode>
                <c:ptCount val="6"/>
                <c:pt idx="0">
                  <c:v>90</c:v>
                </c:pt>
                <c:pt idx="1">
                  <c:v>24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9-4730-A1D4-E23DA495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506056"/>
        <c:axId val="781502448"/>
      </c:lineChart>
      <c:catAx>
        <c:axId val="78150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2448"/>
        <c:crosses val="autoZero"/>
        <c:auto val="1"/>
        <c:lblAlgn val="ctr"/>
        <c:lblOffset val="100"/>
        <c:noMultiLvlLbl val="0"/>
      </c:catAx>
      <c:valAx>
        <c:axId val="7815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6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'Pierce Time'!$C$1</c:f>
              <c:strCache>
                <c:ptCount val="1"/>
                <c:pt idx="0">
                  <c:v>Time (cs)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5539847404160495"/>
                  <c:y val="0.268534617300705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'Pierce Time'!$A$2:$A$14</c:f>
              <c:strCache>
                <c:ptCount val="13"/>
                <c:pt idx="0">
                  <c:v>22ga</c:v>
                </c:pt>
                <c:pt idx="1">
                  <c:v>20ga</c:v>
                </c:pt>
                <c:pt idx="2">
                  <c:v>18ga</c:v>
                </c:pt>
                <c:pt idx="3">
                  <c:v>16ga</c:v>
                </c:pt>
                <c:pt idx="4">
                  <c:v>14ga</c:v>
                </c:pt>
                <c:pt idx="5">
                  <c:v>12ga</c:v>
                </c:pt>
                <c:pt idx="6">
                  <c:v>11ga</c:v>
                </c:pt>
                <c:pt idx="7">
                  <c:v>8ga</c:v>
                </c:pt>
                <c:pt idx="8">
                  <c:v>3/16</c:v>
                </c:pt>
                <c:pt idx="9">
                  <c:v>1/4</c:v>
                </c:pt>
                <c:pt idx="10">
                  <c:v>5/16</c:v>
                </c:pt>
                <c:pt idx="11">
                  <c:v>1/2</c:v>
                </c:pt>
                <c:pt idx="12">
                  <c:v>5/8</c:v>
                </c:pt>
              </c:strCache>
            </c:strRef>
          </c:cat>
          <c:val>
            <c:numRef>
              <c:f>'Pierce Time'!$C$2:$C$14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24</c:v>
                </c:pt>
                <c:pt idx="9">
                  <c:v>30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E-47F0-80B1-5ABCAF1B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05984"/>
        <c:axId val="346327032"/>
      </c:lineChart>
      <c:catAx>
        <c:axId val="4567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27032"/>
        <c:crosses val="autoZero"/>
        <c:auto val="1"/>
        <c:lblAlgn val="ctr"/>
        <c:lblOffset val="100"/>
        <c:noMultiLvlLbl val="0"/>
      </c:catAx>
      <c:valAx>
        <c:axId val="34632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'Pierce Time'!$C$1</c:f>
              <c:strCache>
                <c:ptCount val="1"/>
                <c:pt idx="0">
                  <c:v>Time (cs)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'Pierce Time'!$B$2:$B$14</c:f>
              <c:numCache>
                <c:formatCode>General</c:formatCode>
                <c:ptCount val="13"/>
                <c:pt idx="0">
                  <c:v>0.76</c:v>
                </c:pt>
                <c:pt idx="1">
                  <c:v>0.91</c:v>
                </c:pt>
                <c:pt idx="2">
                  <c:v>1.21</c:v>
                </c:pt>
                <c:pt idx="3">
                  <c:v>1.52</c:v>
                </c:pt>
                <c:pt idx="4">
                  <c:v>1.9</c:v>
                </c:pt>
                <c:pt idx="5">
                  <c:v>2.66</c:v>
                </c:pt>
                <c:pt idx="6">
                  <c:v>3.04</c:v>
                </c:pt>
                <c:pt idx="7">
                  <c:v>4.18</c:v>
                </c:pt>
                <c:pt idx="8">
                  <c:v>4.76</c:v>
                </c:pt>
                <c:pt idx="9">
                  <c:v>6.35</c:v>
                </c:pt>
                <c:pt idx="10">
                  <c:v>7.94</c:v>
                </c:pt>
                <c:pt idx="11">
                  <c:v>12.7</c:v>
                </c:pt>
                <c:pt idx="12">
                  <c:v>15.88</c:v>
                </c:pt>
              </c:numCache>
            </c:numRef>
          </c:xVal>
          <c:yVal>
            <c:numRef>
              <c:f>'Pierce Time'!$C$2:$C$14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24</c:v>
                </c:pt>
                <c:pt idx="9">
                  <c:v>30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A-4414-A8FF-5F05F540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098800"/>
        <c:axId val="470098472"/>
      </c:scatterChart>
      <c:valAx>
        <c:axId val="47009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98472"/>
        <c:crosses val="autoZero"/>
        <c:crossBetween val="midCat"/>
      </c:valAx>
      <c:valAx>
        <c:axId val="47009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9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0</xdr:row>
      <xdr:rowOff>109537</xdr:rowOff>
    </xdr:from>
    <xdr:to>
      <xdr:col>18</xdr:col>
      <xdr:colOff>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0DC52-0B37-40A8-8F35-064D4D1FE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95249</xdr:colOff>
      <xdr:row>18</xdr:row>
      <xdr:rowOff>52387</xdr:rowOff>
    </xdr:from>
    <xdr:to>
      <xdr:col>24</xdr:col>
      <xdr:colOff>123824</xdr:colOff>
      <xdr:row>43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E1B2F-19C6-409E-B496-EA8CDCAA6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0</xdr:row>
      <xdr:rowOff>42862</xdr:rowOff>
    </xdr:from>
    <xdr:to>
      <xdr:col>17</xdr:col>
      <xdr:colOff>338137</xdr:colOff>
      <xdr:row>14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BAD06-D4AC-434C-9706-3AAB30E56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252412</xdr:colOff>
      <xdr:row>20</xdr:row>
      <xdr:rowOff>166687</xdr:rowOff>
    </xdr:from>
    <xdr:to>
      <xdr:col>18</xdr:col>
      <xdr:colOff>557212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635F0-BFDA-42B6-B428-5FE3A2CB9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2</xdr:row>
      <xdr:rowOff>109537</xdr:rowOff>
    </xdr:from>
    <xdr:to>
      <xdr:col>22</xdr:col>
      <xdr:colOff>266700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EBBEB-3FAE-4895-849E-97EDD7893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519112</xdr:colOff>
      <xdr:row>21</xdr:row>
      <xdr:rowOff>23812</xdr:rowOff>
    </xdr:from>
    <xdr:to>
      <xdr:col>16</xdr:col>
      <xdr:colOff>423862</xdr:colOff>
      <xdr:row>35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39E54-34C5-44BC-AE45-5C81F13E6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300037</xdr:colOff>
      <xdr:row>1</xdr:row>
      <xdr:rowOff>157162</xdr:rowOff>
    </xdr:from>
    <xdr:to>
      <xdr:col>17</xdr:col>
      <xdr:colOff>604837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E5D9C-20D1-4A00-9756-C84FFD5B4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4761</xdr:colOff>
      <xdr:row>19</xdr:row>
      <xdr:rowOff>4761</xdr:rowOff>
    </xdr:from>
    <xdr:to>
      <xdr:col>21</xdr:col>
      <xdr:colOff>485774</xdr:colOff>
      <xdr:row>38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3A7E8-D246-4E5E-ACC1-CE12CD939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2</xdr:row>
      <xdr:rowOff>14287</xdr:rowOff>
    </xdr:from>
    <xdr:to>
      <xdr:col>19</xdr:col>
      <xdr:colOff>100012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E73DB-4DCA-4115-93B3-B48120B35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604837</xdr:colOff>
      <xdr:row>18</xdr:row>
      <xdr:rowOff>119062</xdr:rowOff>
    </xdr:from>
    <xdr:to>
      <xdr:col>16</xdr:col>
      <xdr:colOff>509587</xdr:colOff>
      <xdr:row>33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71402-37BB-4C65-BAA3-53B3C622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414337</xdr:colOff>
      <xdr:row>1</xdr:row>
      <xdr:rowOff>42862</xdr:rowOff>
    </xdr:from>
    <xdr:to>
      <xdr:col>18</xdr:col>
      <xdr:colOff>109537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609D4-2F80-4499-AEE7-FE3E0CC98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4761</xdr:colOff>
      <xdr:row>19</xdr:row>
      <xdr:rowOff>4761</xdr:rowOff>
    </xdr:from>
    <xdr:to>
      <xdr:col>21</xdr:col>
      <xdr:colOff>485774</xdr:colOff>
      <xdr:row>38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0ABAE-B0B3-4F7E-AF0E-18F1097B2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2</xdr:row>
      <xdr:rowOff>14287</xdr:rowOff>
    </xdr:from>
    <xdr:to>
      <xdr:col>19</xdr:col>
      <xdr:colOff>100012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2FD5D-0B7B-4DE7-8CC6-3A3785735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4761</xdr:colOff>
      <xdr:row>19</xdr:row>
      <xdr:rowOff>4761</xdr:rowOff>
    </xdr:from>
    <xdr:to>
      <xdr:col>21</xdr:col>
      <xdr:colOff>485774</xdr:colOff>
      <xdr:row>38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A42837-876E-4273-84F0-114E1B4EF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2</xdr:row>
      <xdr:rowOff>14287</xdr:rowOff>
    </xdr:from>
    <xdr:to>
      <xdr:col>19</xdr:col>
      <xdr:colOff>100012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9858E-20CA-4EFF-9EEB-450F8A71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85725</xdr:colOff>
      <xdr:row>20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3BE1A-601F-4A07-A8E5-0E1E34A77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0</xdr:row>
      <xdr:rowOff>0</xdr:rowOff>
    </xdr:from>
    <xdr:to>
      <xdr:col>23</xdr:col>
      <xdr:colOff>333375</xdr:colOff>
      <xdr:row>20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535ADB-6407-4944-A59B-2B3F55CAB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95249</xdr:rowOff>
    </xdr:from>
    <xdr:to>
      <xdr:col>11</xdr:col>
      <xdr:colOff>85724</xdr:colOff>
      <xdr:row>43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400B72-4425-4F66-905D-3D2713A63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104774</xdr:colOff>
      <xdr:row>20</xdr:row>
      <xdr:rowOff>114299</xdr:rowOff>
    </xdr:from>
    <xdr:to>
      <xdr:col>23</xdr:col>
      <xdr:colOff>323849</xdr:colOff>
      <xdr:row>43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909996-E5BA-4E38-8E35-2ECFA59E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114300</xdr:rowOff>
    </xdr:from>
    <xdr:to>
      <xdr:col>11</xdr:col>
      <xdr:colOff>76200</xdr:colOff>
      <xdr:row>64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45ED42-7EA3-450B-9EF8-71AD47469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42861</xdr:colOff>
      <xdr:row>1</xdr:row>
      <xdr:rowOff>33337</xdr:rowOff>
    </xdr:from>
    <xdr:to>
      <xdr:col>26</xdr:col>
      <xdr:colOff>390524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1B3B1-A3BF-412D-93A0-F6C28B93D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1</xdr:row>
      <xdr:rowOff>33337</xdr:rowOff>
    </xdr:from>
    <xdr:to>
      <xdr:col>17</xdr:col>
      <xdr:colOff>219075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F6C293-2F15-496B-B1AE-A9800FDF5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80962</xdr:colOff>
      <xdr:row>16</xdr:row>
      <xdr:rowOff>52386</xdr:rowOff>
    </xdr:from>
    <xdr:to>
      <xdr:col>11</xdr:col>
      <xdr:colOff>47625</xdr:colOff>
      <xdr:row>35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185675-A9F1-4A07-9384-CB6A419AF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20</xdr:row>
      <xdr:rowOff>34738</xdr:rowOff>
    </xdr:from>
    <xdr:to>
      <xdr:col>20</xdr:col>
      <xdr:colOff>336176</xdr:colOff>
      <xdr:row>34</xdr:row>
      <xdr:rowOff>110938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D16A9-284C-4772-8359-882AF7B66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932-57CC-487E-B2EB-135070BABFE0}">
  <dimension ref="A1:L38"/>
  <sheetViews>
    <sheetView zoomScaleNormal="100" workbookViewId="0">
      <selection activeCell="J19" sqref="J19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" bestFit="1" customWidth="1"/>
    <col min="7" max="7" width="15.85546875" bestFit="1" customWidth="1"/>
    <col min="8" max="8" width="31.42578125" bestFit="1" customWidth="1"/>
    <col min="9" max="9" width="2" bestFit="1" customWidth="1"/>
    <col min="10" max="10" width="15.140625" bestFit="1" customWidth="1"/>
  </cols>
  <sheetData>
    <row r="1" spans="1:10" x14ac:dyDescent="0.25">
      <c r="A1" t="s">
        <v>7</v>
      </c>
      <c r="B1" t="s">
        <v>2</v>
      </c>
      <c r="C1" s="1" t="s">
        <v>8</v>
      </c>
      <c r="D1">
        <v>0.9</v>
      </c>
      <c r="E1" s="1" t="s">
        <v>16</v>
      </c>
      <c r="F1">
        <v>4</v>
      </c>
      <c r="H1" t="s">
        <v>58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51</v>
      </c>
      <c r="G3" s="7"/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79.439816339744837</v>
      </c>
      <c r="D4" s="2">
        <v>23</v>
      </c>
      <c r="E4" s="2">
        <f>ROUNDUP(D4/30,2)</f>
        <v>0.77</v>
      </c>
      <c r="F4" s="6">
        <f>E4/C4</f>
        <v>9.692872358955322E-3</v>
      </c>
      <c r="G4" s="19"/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76.29822368615504</v>
      </c>
      <c r="D5" s="2">
        <v>22</v>
      </c>
      <c r="E5" s="2">
        <f t="shared" ref="E5:E30" si="2">ROUNDUP(D5/30,2)</f>
        <v>0.74</v>
      </c>
      <c r="F5" s="6">
        <f t="shared" ref="F5:F31" si="3">E5/C5</f>
        <v>9.6987841164417471E-3</v>
      </c>
      <c r="G5" s="1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73.156631032565244</v>
      </c>
      <c r="D6" s="2">
        <v>21</v>
      </c>
      <c r="E6" s="2">
        <f t="shared" si="2"/>
        <v>0.7</v>
      </c>
      <c r="F6" s="6">
        <f t="shared" si="3"/>
        <v>9.5685106068976716E-3</v>
      </c>
      <c r="G6" s="19"/>
      <c r="H6" s="19"/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70.015038378975447</v>
      </c>
      <c r="D7" s="2">
        <v>20</v>
      </c>
      <c r="E7" s="2">
        <f t="shared" si="2"/>
        <v>0.67</v>
      </c>
      <c r="F7" s="6">
        <f t="shared" si="3"/>
        <v>9.5693727449443471E-3</v>
      </c>
      <c r="G7" s="1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66.873445725385665</v>
      </c>
      <c r="D8" s="2">
        <v>21</v>
      </c>
      <c r="E8" s="2">
        <f t="shared" si="2"/>
        <v>0.7</v>
      </c>
      <c r="F8" s="6">
        <f t="shared" si="3"/>
        <v>1.0467533000685123E-2</v>
      </c>
      <c r="G8" s="19"/>
      <c r="H8" s="19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63.731853071795861</v>
      </c>
      <c r="D9" s="2">
        <v>21</v>
      </c>
      <c r="E9" s="2">
        <f t="shared" si="2"/>
        <v>0.7</v>
      </c>
      <c r="F9" s="6">
        <f t="shared" si="3"/>
        <v>1.0983518700004358E-2</v>
      </c>
      <c r="G9" s="1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60.590260418206064</v>
      </c>
      <c r="D10" s="2">
        <v>20</v>
      </c>
      <c r="E10" s="2">
        <f t="shared" si="2"/>
        <v>0.67</v>
      </c>
      <c r="F10" s="6">
        <f t="shared" si="3"/>
        <v>1.1057882824327316E-2</v>
      </c>
      <c r="G10" s="19"/>
      <c r="H10" s="19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57.448667764616275</v>
      </c>
      <c r="D11" s="2">
        <v>20</v>
      </c>
      <c r="E11" s="2">
        <f t="shared" si="2"/>
        <v>0.67</v>
      </c>
      <c r="F11" s="6">
        <f t="shared" si="3"/>
        <v>1.1662585505815084E-2</v>
      </c>
      <c r="G11" s="27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54.307075111026485</v>
      </c>
      <c r="D12" s="2">
        <v>18</v>
      </c>
      <c r="E12" s="2">
        <f t="shared" si="2"/>
        <v>0.6</v>
      </c>
      <c r="F12" s="6">
        <f t="shared" si="3"/>
        <v>1.1048284201889861E-2</v>
      </c>
      <c r="G12" s="28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51.165482457436688</v>
      </c>
      <c r="D13" s="2">
        <v>18</v>
      </c>
      <c r="E13" s="2">
        <f t="shared" si="2"/>
        <v>0.6</v>
      </c>
      <c r="F13" s="6">
        <f t="shared" si="3"/>
        <v>1.1726655768351746E-2</v>
      </c>
      <c r="G13" s="28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48.023889803846892</v>
      </c>
      <c r="D14" s="2">
        <v>18</v>
      </c>
      <c r="E14" s="2">
        <f t="shared" si="2"/>
        <v>0.6</v>
      </c>
      <c r="F14" s="6">
        <f t="shared" si="3"/>
        <v>1.2493781791743529E-2</v>
      </c>
      <c r="G14" s="28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44.882297150257102</v>
      </c>
      <c r="D15" s="2">
        <v>18</v>
      </c>
      <c r="E15" s="2">
        <f t="shared" si="2"/>
        <v>0.6</v>
      </c>
      <c r="F15" s="6">
        <f t="shared" si="3"/>
        <v>1.3368299710492046E-2</v>
      </c>
      <c r="G15" s="28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41.740704496667313</v>
      </c>
      <c r="D16" s="2">
        <v>17</v>
      </c>
      <c r="E16" s="2">
        <f t="shared" si="2"/>
        <v>0.57000000000000006</v>
      </c>
      <c r="F16" s="6">
        <f t="shared" si="3"/>
        <v>1.3655735016295913E-2</v>
      </c>
      <c r="G16" s="28"/>
    </row>
    <row r="17" spans="1:12" x14ac:dyDescent="0.25">
      <c r="A17" s="3">
        <v>12</v>
      </c>
      <c r="B17" s="4">
        <f t="shared" si="0"/>
        <v>37.699111843077517</v>
      </c>
      <c r="C17" s="4">
        <f t="shared" si="1"/>
        <v>38.599111843077516</v>
      </c>
      <c r="D17" s="2">
        <v>17</v>
      </c>
      <c r="E17" s="2">
        <f t="shared" si="2"/>
        <v>0.57000000000000006</v>
      </c>
      <c r="F17" s="6">
        <f t="shared" si="3"/>
        <v>1.4767179159906645E-2</v>
      </c>
      <c r="G17" s="28"/>
    </row>
    <row r="18" spans="1:12" x14ac:dyDescent="0.25">
      <c r="A18" s="3">
        <v>11</v>
      </c>
      <c r="B18" s="4">
        <f t="shared" si="0"/>
        <v>34.557519189487721</v>
      </c>
      <c r="C18" s="4">
        <f t="shared" si="1"/>
        <v>35.457519189487719</v>
      </c>
      <c r="D18" s="2">
        <v>16</v>
      </c>
      <c r="E18" s="2">
        <f t="shared" si="2"/>
        <v>0.54</v>
      </c>
      <c r="F18" s="6">
        <f t="shared" si="3"/>
        <v>1.5229491863607218E-2</v>
      </c>
      <c r="G18" s="28"/>
    </row>
    <row r="19" spans="1:12" x14ac:dyDescent="0.25">
      <c r="A19" s="3">
        <v>10</v>
      </c>
      <c r="B19" s="4">
        <f t="shared" si="0"/>
        <v>31.415926535897931</v>
      </c>
      <c r="C19" s="4">
        <f t="shared" si="1"/>
        <v>32.31592653589793</v>
      </c>
      <c r="D19" s="2">
        <v>15</v>
      </c>
      <c r="E19" s="2">
        <f t="shared" si="2"/>
        <v>0.5</v>
      </c>
      <c r="F19" s="6">
        <f t="shared" si="3"/>
        <v>1.5472247080540251E-2</v>
      </c>
      <c r="G19" s="28"/>
    </row>
    <row r="20" spans="1:12" x14ac:dyDescent="0.25">
      <c r="A20" s="3">
        <v>9</v>
      </c>
      <c r="B20" s="4">
        <f t="shared" si="0"/>
        <v>28.274333882308138</v>
      </c>
      <c r="C20" s="4">
        <f t="shared" si="1"/>
        <v>29.174333882308137</v>
      </c>
      <c r="D20" s="2">
        <v>15</v>
      </c>
      <c r="E20" s="2">
        <f t="shared" si="2"/>
        <v>0.5</v>
      </c>
      <c r="F20" s="6">
        <f t="shared" si="3"/>
        <v>1.7138351882070198E-2</v>
      </c>
      <c r="G20" s="19"/>
      <c r="H20" s="19"/>
    </row>
    <row r="21" spans="1:12" x14ac:dyDescent="0.25">
      <c r="A21" s="3">
        <v>8</v>
      </c>
      <c r="B21" s="4">
        <f t="shared" si="0"/>
        <v>25.132741228718345</v>
      </c>
      <c r="C21" s="4">
        <f t="shared" si="1"/>
        <v>26.032741228718344</v>
      </c>
      <c r="D21" s="2">
        <v>15</v>
      </c>
      <c r="E21" s="2">
        <f t="shared" si="2"/>
        <v>0.5</v>
      </c>
      <c r="F21" s="6">
        <f t="shared" si="3"/>
        <v>1.9206582803059508E-2</v>
      </c>
      <c r="G21" s="19"/>
      <c r="H21" s="19"/>
    </row>
    <row r="22" spans="1:12" x14ac:dyDescent="0.25">
      <c r="A22" s="3">
        <v>7</v>
      </c>
      <c r="B22" s="4">
        <f t="shared" si="0"/>
        <v>21.991148575128552</v>
      </c>
      <c r="C22" s="4">
        <f t="shared" si="1"/>
        <v>22.89114857512855</v>
      </c>
      <c r="D22" s="2">
        <v>13</v>
      </c>
      <c r="E22" s="2">
        <f t="shared" si="2"/>
        <v>0.44</v>
      </c>
      <c r="F22" s="6">
        <f t="shared" si="3"/>
        <v>1.9221403354048566E-2</v>
      </c>
      <c r="G22" s="19"/>
      <c r="H22" s="28"/>
    </row>
    <row r="23" spans="1:12" x14ac:dyDescent="0.25">
      <c r="A23" s="3">
        <v>6</v>
      </c>
      <c r="B23" s="4">
        <f t="shared" si="0"/>
        <v>18.849555921538759</v>
      </c>
      <c r="C23" s="4">
        <f t="shared" si="1"/>
        <v>19.749555921538757</v>
      </c>
      <c r="D23" s="2">
        <v>13</v>
      </c>
      <c r="E23" s="2">
        <f t="shared" si="2"/>
        <v>0.44</v>
      </c>
      <c r="F23" s="6">
        <f t="shared" si="3"/>
        <v>2.227898195524176E-2</v>
      </c>
      <c r="G23" s="19"/>
      <c r="H23" s="26"/>
    </row>
    <row r="24" spans="1:12" x14ac:dyDescent="0.25">
      <c r="A24" s="3">
        <v>5</v>
      </c>
      <c r="B24" s="4">
        <f t="shared" si="0"/>
        <v>15.707963267948966</v>
      </c>
      <c r="C24" s="4">
        <f t="shared" si="1"/>
        <v>16.607963267948964</v>
      </c>
      <c r="D24" s="2">
        <v>11</v>
      </c>
      <c r="E24" s="2">
        <f t="shared" si="2"/>
        <v>0.37</v>
      </c>
      <c r="F24" s="6">
        <f t="shared" si="3"/>
        <v>2.2278469312010583E-2</v>
      </c>
      <c r="G24" s="19"/>
      <c r="H24" s="19"/>
    </row>
    <row r="25" spans="1:12" x14ac:dyDescent="0.25">
      <c r="A25" s="3">
        <v>4</v>
      </c>
      <c r="B25" s="4">
        <f t="shared" si="0"/>
        <v>12.566370614359172</v>
      </c>
      <c r="C25" s="4">
        <f t="shared" si="1"/>
        <v>13.466370614359173</v>
      </c>
      <c r="D25" s="2">
        <v>10</v>
      </c>
      <c r="E25" s="2">
        <f t="shared" si="2"/>
        <v>0.34</v>
      </c>
      <c r="F25" s="6">
        <f t="shared" si="3"/>
        <v>2.524807980833815E-2</v>
      </c>
      <c r="G25" s="19"/>
      <c r="H25" s="19"/>
    </row>
    <row r="26" spans="1:12" x14ac:dyDescent="0.25">
      <c r="A26" s="3">
        <v>3</v>
      </c>
      <c r="B26" s="4">
        <f t="shared" si="0"/>
        <v>9.4247779607693793</v>
      </c>
      <c r="C26" s="4">
        <f t="shared" si="1"/>
        <v>10.32477796076938</v>
      </c>
      <c r="D26" s="2">
        <v>9</v>
      </c>
      <c r="E26" s="2">
        <f t="shared" si="2"/>
        <v>0.3</v>
      </c>
      <c r="F26" s="6">
        <f t="shared" si="3"/>
        <v>2.9056314928989007E-2</v>
      </c>
      <c r="G26" s="19"/>
      <c r="H26" s="19"/>
    </row>
    <row r="27" spans="1:12" ht="15.75" x14ac:dyDescent="0.25">
      <c r="A27" s="3">
        <v>2</v>
      </c>
      <c r="B27" s="4">
        <f t="shared" si="0"/>
        <v>6.2831853071795862</v>
      </c>
      <c r="C27" s="4">
        <f t="shared" si="1"/>
        <v>7.1831853071795866</v>
      </c>
      <c r="D27" s="2">
        <v>7</v>
      </c>
      <c r="E27" s="2">
        <f t="shared" si="2"/>
        <v>0.24000000000000002</v>
      </c>
      <c r="F27" s="6">
        <f t="shared" si="3"/>
        <v>3.3411361358048251E-2</v>
      </c>
      <c r="G27" s="19"/>
      <c r="H27" s="19"/>
      <c r="J27" s="29"/>
    </row>
    <row r="28" spans="1:12" x14ac:dyDescent="0.25">
      <c r="A28" s="5" t="s">
        <v>11</v>
      </c>
      <c r="B28" s="5">
        <v>86.6</v>
      </c>
      <c r="C28" s="4">
        <f t="shared" si="1"/>
        <v>87.5</v>
      </c>
      <c r="D28" s="2">
        <v>29</v>
      </c>
      <c r="E28" s="2">
        <f t="shared" si="2"/>
        <v>0.97</v>
      </c>
      <c r="F28" s="6">
        <f t="shared" si="3"/>
        <v>1.1085714285714286E-2</v>
      </c>
      <c r="G28" s="39">
        <f>SUM(E28:E31)</f>
        <v>9.1499999999999986</v>
      </c>
      <c r="H28" s="39">
        <f>AVERAGE(F28:F31)</f>
        <v>1.089656730960971E-2</v>
      </c>
    </row>
    <row r="29" spans="1:12" x14ac:dyDescent="0.25">
      <c r="A29" s="5" t="s">
        <v>12</v>
      </c>
      <c r="B29" s="5">
        <v>75</v>
      </c>
      <c r="C29" s="4">
        <f t="shared" si="1"/>
        <v>75.900000000000006</v>
      </c>
      <c r="D29" s="2">
        <v>31</v>
      </c>
      <c r="E29" s="2">
        <f t="shared" si="2"/>
        <v>1.04</v>
      </c>
      <c r="F29" s="6">
        <f t="shared" si="3"/>
        <v>1.370223978919631E-2</v>
      </c>
      <c r="G29" s="39"/>
      <c r="H29" s="39"/>
    </row>
    <row r="30" spans="1:12" x14ac:dyDescent="0.25">
      <c r="A30" s="5" t="s">
        <v>13</v>
      </c>
      <c r="B30" s="5">
        <v>100</v>
      </c>
      <c r="C30" s="4">
        <f t="shared" si="1"/>
        <v>100.9</v>
      </c>
      <c r="D30" s="2">
        <v>34</v>
      </c>
      <c r="E30" s="2">
        <f t="shared" si="2"/>
        <v>1.1399999999999999</v>
      </c>
      <c r="F30" s="6">
        <f t="shared" si="3"/>
        <v>1.1298315163528245E-2</v>
      </c>
      <c r="G30" s="39"/>
      <c r="H30" s="39"/>
    </row>
    <row r="31" spans="1:12" x14ac:dyDescent="0.25">
      <c r="A31" s="5" t="s">
        <v>14</v>
      </c>
      <c r="B31" s="5">
        <v>800</v>
      </c>
      <c r="C31" s="4">
        <v>800</v>
      </c>
      <c r="D31" s="2">
        <v>210</v>
      </c>
      <c r="E31" s="2">
        <v>6</v>
      </c>
      <c r="F31" s="6">
        <f t="shared" si="3"/>
        <v>7.4999999999999997E-3</v>
      </c>
      <c r="G31" s="39"/>
      <c r="H31" s="39"/>
    </row>
    <row r="32" spans="1:12" x14ac:dyDescent="0.25">
      <c r="D32" t="s">
        <v>55</v>
      </c>
      <c r="E32" s="7">
        <f>SUM(E4:E31)</f>
        <v>22.48</v>
      </c>
      <c r="F32" s="30" t="s">
        <v>57</v>
      </c>
      <c r="G32">
        <f>SUM(E4:E27)</f>
        <v>13.329999999999998</v>
      </c>
      <c r="H32" s="19"/>
      <c r="L32" s="17"/>
    </row>
    <row r="33" spans="1:10" ht="45" x14ac:dyDescent="0.25">
      <c r="A33" s="31" t="s">
        <v>54</v>
      </c>
      <c r="B33" s="25">
        <v>36</v>
      </c>
      <c r="D33" t="s">
        <v>56</v>
      </c>
      <c r="E33">
        <f>0.43*27</f>
        <v>11.61</v>
      </c>
      <c r="F33" s="32">
        <f>E34/B33</f>
        <v>1.0575000000000001</v>
      </c>
      <c r="J33" s="18"/>
    </row>
    <row r="34" spans="1:10" x14ac:dyDescent="0.25">
      <c r="E34">
        <v>38.07</v>
      </c>
    </row>
    <row r="35" spans="1:10" x14ac:dyDescent="0.25">
      <c r="H35" s="40">
        <v>6.9999999999999999E-6</v>
      </c>
    </row>
    <row r="36" spans="1:10" x14ac:dyDescent="0.25">
      <c r="H36" s="40"/>
    </row>
    <row r="37" spans="1:10" x14ac:dyDescent="0.25">
      <c r="H37" s="40"/>
    </row>
    <row r="38" spans="1:10" x14ac:dyDescent="0.25">
      <c r="H38" s="40"/>
    </row>
  </sheetData>
  <mergeCells count="3">
    <mergeCell ref="H28:H31"/>
    <mergeCell ref="H35:H38"/>
    <mergeCell ref="G28:G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4B55-574D-4FF7-BA4D-4D5BC6565F09}">
  <dimension ref="A1:J32"/>
  <sheetViews>
    <sheetView workbookViewId="0">
      <selection activeCell="D27" sqref="D27"/>
    </sheetView>
  </sheetViews>
  <sheetFormatPr defaultRowHeight="15" x14ac:dyDescent="0.25"/>
  <cols>
    <col min="1" max="1" width="16.42578125" bestFit="1" customWidth="1"/>
    <col min="3" max="4" width="10" bestFit="1" customWidth="1"/>
    <col min="5" max="5" width="12.85546875" bestFit="1" customWidth="1"/>
    <col min="6" max="6" width="14.7109375" bestFit="1" customWidth="1"/>
    <col min="10" max="10" width="15.140625" bestFit="1" customWidth="1"/>
  </cols>
  <sheetData>
    <row r="1" spans="1:10" x14ac:dyDescent="0.25">
      <c r="A1" t="s">
        <v>7</v>
      </c>
      <c r="B1" t="s">
        <v>6</v>
      </c>
      <c r="C1" s="1" t="s">
        <v>8</v>
      </c>
      <c r="D1">
        <v>1.5</v>
      </c>
      <c r="E1" s="1" t="s">
        <v>16</v>
      </c>
      <c r="F1">
        <v>8</v>
      </c>
      <c r="H1" t="s">
        <v>15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51</v>
      </c>
      <c r="G3" s="7" t="s">
        <v>52</v>
      </c>
    </row>
    <row r="4" spans="1:10" x14ac:dyDescent="0.25">
      <c r="A4" s="16">
        <v>25</v>
      </c>
      <c r="B4" s="4">
        <f>A4*PI()</f>
        <v>78.539816339744831</v>
      </c>
      <c r="C4" s="4">
        <f>B4+$D$1</f>
        <v>80.039816339744831</v>
      </c>
      <c r="D4" s="2">
        <v>27</v>
      </c>
      <c r="E4" s="2">
        <f>ROUNDUP(D4/30,1)</f>
        <v>0.9</v>
      </c>
      <c r="F4" s="6">
        <f>E4/C4</f>
        <v>1.1244403612569174E-2</v>
      </c>
      <c r="G4" s="39">
        <f>AVERAGE(F4:F26,F28:F31)</f>
        <v>1.4822537938308964E-2</v>
      </c>
      <c r="J4" t="s">
        <v>20</v>
      </c>
    </row>
    <row r="5" spans="1:10" x14ac:dyDescent="0.25">
      <c r="A5" s="16">
        <v>24</v>
      </c>
      <c r="B5" s="4">
        <f t="shared" ref="B5:B27" si="0">A5*PI()</f>
        <v>75.398223686155035</v>
      </c>
      <c r="C5" s="4">
        <f t="shared" ref="C5:C30" si="1">B5+$D$1</f>
        <v>76.898223686155035</v>
      </c>
      <c r="D5" s="2">
        <v>26</v>
      </c>
      <c r="E5" s="2">
        <f t="shared" ref="E5:E30" si="2">ROUNDUP(D5/30,1)</f>
        <v>0.9</v>
      </c>
      <c r="F5" s="6">
        <f t="shared" ref="F5:F31" si="3">E5/C5</f>
        <v>1.1703781399075913E-2</v>
      </c>
      <c r="G5" s="39"/>
      <c r="J5" s="8" t="s">
        <v>21</v>
      </c>
    </row>
    <row r="6" spans="1:10" x14ac:dyDescent="0.25">
      <c r="A6" s="16">
        <v>23</v>
      </c>
      <c r="B6" s="4">
        <f t="shared" si="0"/>
        <v>72.256631032565238</v>
      </c>
      <c r="C6" s="4">
        <f t="shared" si="1"/>
        <v>73.756631032565238</v>
      </c>
      <c r="D6" s="2">
        <v>24</v>
      </c>
      <c r="E6" s="2">
        <f t="shared" si="2"/>
        <v>0.8</v>
      </c>
      <c r="F6" s="6">
        <f t="shared" si="3"/>
        <v>1.0846482394874866E-2</v>
      </c>
      <c r="G6" s="39"/>
    </row>
    <row r="7" spans="1:10" x14ac:dyDescent="0.25">
      <c r="A7" s="16">
        <v>22</v>
      </c>
      <c r="B7" s="4">
        <f t="shared" si="0"/>
        <v>69.115038378975441</v>
      </c>
      <c r="C7" s="4">
        <f t="shared" si="1"/>
        <v>70.615038378975441</v>
      </c>
      <c r="D7" s="2">
        <v>23</v>
      </c>
      <c r="E7" s="2">
        <f t="shared" si="2"/>
        <v>0.79999999999999993</v>
      </c>
      <c r="F7" s="6">
        <f t="shared" si="3"/>
        <v>1.1329031582572754E-2</v>
      </c>
      <c r="G7" s="39"/>
    </row>
    <row r="8" spans="1:10" x14ac:dyDescent="0.25">
      <c r="A8" s="16">
        <v>21</v>
      </c>
      <c r="B8" s="4">
        <f t="shared" si="0"/>
        <v>65.973445725385659</v>
      </c>
      <c r="C8" s="4">
        <f t="shared" si="1"/>
        <v>67.473445725385659</v>
      </c>
      <c r="D8" s="2">
        <v>23</v>
      </c>
      <c r="E8" s="2">
        <f t="shared" si="2"/>
        <v>0.79999999999999993</v>
      </c>
      <c r="F8" s="6">
        <f t="shared" si="3"/>
        <v>1.1856516165721984E-2</v>
      </c>
      <c r="G8" s="39"/>
    </row>
    <row r="9" spans="1:10" x14ac:dyDescent="0.25">
      <c r="A9" s="16">
        <v>20</v>
      </c>
      <c r="B9" s="4">
        <f t="shared" si="0"/>
        <v>62.831853071795862</v>
      </c>
      <c r="C9" s="4">
        <f t="shared" si="1"/>
        <v>64.331853071795862</v>
      </c>
      <c r="D9" s="2">
        <v>23</v>
      </c>
      <c r="E9" s="2">
        <f t="shared" si="2"/>
        <v>0.79999999999999993</v>
      </c>
      <c r="F9" s="6">
        <f t="shared" si="3"/>
        <v>1.2435519292552962E-2</v>
      </c>
      <c r="G9" s="39"/>
    </row>
    <row r="10" spans="1:10" x14ac:dyDescent="0.25">
      <c r="A10" s="16">
        <v>19</v>
      </c>
      <c r="B10" s="4">
        <f t="shared" si="0"/>
        <v>59.690260418206066</v>
      </c>
      <c r="C10" s="4">
        <f t="shared" si="1"/>
        <v>61.190260418206066</v>
      </c>
      <c r="D10" s="2">
        <v>22</v>
      </c>
      <c r="E10" s="2">
        <f t="shared" si="2"/>
        <v>0.79999999999999993</v>
      </c>
      <c r="F10" s="6">
        <f t="shared" si="3"/>
        <v>1.3073976063059446E-2</v>
      </c>
      <c r="G10" s="39"/>
    </row>
    <row r="11" spans="1:10" x14ac:dyDescent="0.25">
      <c r="A11" s="16">
        <v>18</v>
      </c>
      <c r="B11" s="4">
        <f t="shared" si="0"/>
        <v>56.548667764616276</v>
      </c>
      <c r="C11" s="4">
        <f t="shared" si="1"/>
        <v>58.048667764616276</v>
      </c>
      <c r="D11" s="2">
        <v>21</v>
      </c>
      <c r="E11" s="2">
        <f t="shared" si="2"/>
        <v>0.7</v>
      </c>
      <c r="F11" s="6">
        <f t="shared" si="3"/>
        <v>1.2058846946125556E-2</v>
      </c>
      <c r="G11" s="39"/>
    </row>
    <row r="12" spans="1:10" x14ac:dyDescent="0.25">
      <c r="A12" s="16">
        <v>17</v>
      </c>
      <c r="B12" s="4">
        <f t="shared" si="0"/>
        <v>53.407075111026487</v>
      </c>
      <c r="C12" s="4">
        <f t="shared" si="1"/>
        <v>54.907075111026487</v>
      </c>
      <c r="D12" s="2">
        <v>20</v>
      </c>
      <c r="E12" s="2">
        <f t="shared" si="2"/>
        <v>0.7</v>
      </c>
      <c r="F12" s="6">
        <f t="shared" si="3"/>
        <v>1.2748812399577725E-2</v>
      </c>
      <c r="G12" s="39"/>
    </row>
    <row r="13" spans="1:10" x14ac:dyDescent="0.25">
      <c r="A13" s="16">
        <v>16</v>
      </c>
      <c r="B13" s="4">
        <f t="shared" si="0"/>
        <v>50.26548245743669</v>
      </c>
      <c r="C13" s="4">
        <f t="shared" si="1"/>
        <v>51.76548245743669</v>
      </c>
      <c r="D13" s="2">
        <v>19</v>
      </c>
      <c r="E13" s="2">
        <f t="shared" si="2"/>
        <v>0.7</v>
      </c>
      <c r="F13" s="6">
        <f t="shared" si="3"/>
        <v>1.3522524407563734E-2</v>
      </c>
      <c r="G13" s="39"/>
    </row>
    <row r="14" spans="1:10" x14ac:dyDescent="0.25">
      <c r="A14" s="16">
        <v>15</v>
      </c>
      <c r="B14" s="4">
        <f t="shared" si="0"/>
        <v>47.123889803846893</v>
      </c>
      <c r="C14" s="4">
        <f t="shared" si="1"/>
        <v>48.623889803846893</v>
      </c>
      <c r="D14" s="2">
        <v>18</v>
      </c>
      <c r="E14" s="2">
        <f t="shared" si="2"/>
        <v>0.6</v>
      </c>
      <c r="F14" s="6">
        <f t="shared" si="3"/>
        <v>1.2339613355090543E-2</v>
      </c>
      <c r="G14" s="39"/>
    </row>
    <row r="15" spans="1:10" x14ac:dyDescent="0.25">
      <c r="A15" s="16">
        <v>14</v>
      </c>
      <c r="B15" s="4">
        <f t="shared" si="0"/>
        <v>43.982297150257104</v>
      </c>
      <c r="C15" s="4">
        <f t="shared" si="1"/>
        <v>45.482297150257104</v>
      </c>
      <c r="D15" s="2">
        <v>17</v>
      </c>
      <c r="E15" s="2">
        <f t="shared" si="2"/>
        <v>0.6</v>
      </c>
      <c r="F15" s="6">
        <f t="shared" si="3"/>
        <v>1.3191945824939677E-2</v>
      </c>
      <c r="G15" s="39"/>
    </row>
    <row r="16" spans="1:10" x14ac:dyDescent="0.25">
      <c r="A16" s="16">
        <v>13</v>
      </c>
      <c r="B16" s="4">
        <f t="shared" si="0"/>
        <v>40.840704496667314</v>
      </c>
      <c r="C16" s="4">
        <f t="shared" si="1"/>
        <v>42.340704496667314</v>
      </c>
      <c r="D16" s="2">
        <v>16</v>
      </c>
      <c r="E16" s="2">
        <f t="shared" si="2"/>
        <v>0.6</v>
      </c>
      <c r="F16" s="6">
        <f t="shared" si="3"/>
        <v>1.4170760905672382E-2</v>
      </c>
      <c r="G16" s="39"/>
    </row>
    <row r="17" spans="1:7" x14ac:dyDescent="0.25">
      <c r="A17" s="16">
        <v>12</v>
      </c>
      <c r="B17" s="4">
        <f t="shared" si="0"/>
        <v>37.699111843077517</v>
      </c>
      <c r="C17" s="4">
        <f t="shared" si="1"/>
        <v>39.199111843077517</v>
      </c>
      <c r="D17" s="2">
        <v>16</v>
      </c>
      <c r="E17" s="2">
        <f t="shared" si="2"/>
        <v>0.6</v>
      </c>
      <c r="F17" s="6">
        <f t="shared" si="3"/>
        <v>1.5306469248638314E-2</v>
      </c>
      <c r="G17" s="39"/>
    </row>
    <row r="18" spans="1:7" x14ac:dyDescent="0.25">
      <c r="A18" s="16">
        <v>11</v>
      </c>
      <c r="B18" s="4">
        <f t="shared" si="0"/>
        <v>34.557519189487721</v>
      </c>
      <c r="C18" s="4">
        <f t="shared" si="1"/>
        <v>36.057519189487721</v>
      </c>
      <c r="D18" s="2">
        <v>15</v>
      </c>
      <c r="E18" s="2">
        <f t="shared" si="2"/>
        <v>0.5</v>
      </c>
      <c r="F18" s="6">
        <f t="shared" si="3"/>
        <v>1.3866733242861893E-2</v>
      </c>
      <c r="G18" s="39"/>
    </row>
    <row r="19" spans="1:7" x14ac:dyDescent="0.25">
      <c r="A19" s="16">
        <v>10</v>
      </c>
      <c r="B19" s="4">
        <f t="shared" si="0"/>
        <v>31.415926535897931</v>
      </c>
      <c r="C19" s="4">
        <f t="shared" si="1"/>
        <v>32.915926535897931</v>
      </c>
      <c r="D19" s="2">
        <v>15</v>
      </c>
      <c r="E19" s="2">
        <f t="shared" si="2"/>
        <v>0.5</v>
      </c>
      <c r="F19" s="6">
        <f t="shared" si="3"/>
        <v>1.5190214969483017E-2</v>
      </c>
      <c r="G19" s="39"/>
    </row>
    <row r="20" spans="1:7" x14ac:dyDescent="0.25">
      <c r="A20" s="16">
        <v>9</v>
      </c>
      <c r="B20" s="4">
        <f t="shared" si="0"/>
        <v>28.274333882308138</v>
      </c>
      <c r="C20" s="4">
        <f t="shared" si="1"/>
        <v>29.774333882308138</v>
      </c>
      <c r="D20" s="2">
        <v>15</v>
      </c>
      <c r="E20" s="2">
        <f t="shared" si="2"/>
        <v>0.5</v>
      </c>
      <c r="F20" s="6">
        <f t="shared" si="3"/>
        <v>1.6792986938898379E-2</v>
      </c>
      <c r="G20" s="39"/>
    </row>
    <row r="21" spans="1:7" x14ac:dyDescent="0.25">
      <c r="A21" s="16">
        <v>8</v>
      </c>
      <c r="B21" s="4">
        <f t="shared" si="0"/>
        <v>25.132741228718345</v>
      </c>
      <c r="C21" s="4">
        <f t="shared" si="1"/>
        <v>26.632741228718345</v>
      </c>
      <c r="D21" s="2">
        <v>14</v>
      </c>
      <c r="E21" s="2">
        <f t="shared" si="2"/>
        <v>0.5</v>
      </c>
      <c r="F21" s="6">
        <f t="shared" si="3"/>
        <v>1.8773884209141983E-2</v>
      </c>
      <c r="G21" s="39"/>
    </row>
    <row r="22" spans="1:7" x14ac:dyDescent="0.25">
      <c r="A22" s="16">
        <v>7</v>
      </c>
      <c r="B22" s="4">
        <f t="shared" si="0"/>
        <v>21.991148575128552</v>
      </c>
      <c r="C22" s="4">
        <f t="shared" si="1"/>
        <v>23.491148575128552</v>
      </c>
      <c r="D22" s="2">
        <v>13</v>
      </c>
      <c r="E22" s="2">
        <f t="shared" si="2"/>
        <v>0.5</v>
      </c>
      <c r="F22" s="6">
        <f t="shared" si="3"/>
        <v>2.128461272980833E-2</v>
      </c>
      <c r="G22" s="39"/>
    </row>
    <row r="23" spans="1:7" x14ac:dyDescent="0.25">
      <c r="A23" s="16">
        <v>6</v>
      </c>
      <c r="B23" s="4">
        <f t="shared" si="0"/>
        <v>18.849555921538759</v>
      </c>
      <c r="C23" s="4">
        <f t="shared" si="1"/>
        <v>20.349555921538759</v>
      </c>
      <c r="D23" s="2">
        <v>11</v>
      </c>
      <c r="E23" s="2">
        <f t="shared" si="2"/>
        <v>0.4</v>
      </c>
      <c r="F23" s="6">
        <f t="shared" si="3"/>
        <v>1.9656448599776298E-2</v>
      </c>
      <c r="G23" s="39"/>
    </row>
    <row r="24" spans="1:7" x14ac:dyDescent="0.25">
      <c r="A24" s="16">
        <v>5</v>
      </c>
      <c r="B24" s="4">
        <f t="shared" si="0"/>
        <v>15.707963267948966</v>
      </c>
      <c r="C24" s="4">
        <f t="shared" si="1"/>
        <v>17.207963267948966</v>
      </c>
      <c r="D24" s="2">
        <v>11</v>
      </c>
      <c r="E24" s="2">
        <f t="shared" si="2"/>
        <v>0.4</v>
      </c>
      <c r="F24" s="6">
        <f t="shared" si="3"/>
        <v>2.3245051943191208E-2</v>
      </c>
      <c r="G24" s="39"/>
    </row>
    <row r="25" spans="1:7" x14ac:dyDescent="0.25">
      <c r="A25" s="16">
        <v>4</v>
      </c>
      <c r="B25" s="4">
        <f t="shared" si="0"/>
        <v>12.566370614359172</v>
      </c>
      <c r="C25" s="4">
        <f t="shared" si="1"/>
        <v>14.066370614359172</v>
      </c>
      <c r="D25" s="2">
        <v>10</v>
      </c>
      <c r="E25" s="2">
        <f t="shared" si="2"/>
        <v>0.4</v>
      </c>
      <c r="F25" s="6">
        <f t="shared" si="3"/>
        <v>2.8436617444991371E-2</v>
      </c>
      <c r="G25" s="39"/>
    </row>
    <row r="26" spans="1:7" x14ac:dyDescent="0.25">
      <c r="A26" s="16">
        <v>3</v>
      </c>
      <c r="B26" s="4">
        <f t="shared" si="0"/>
        <v>9.4247779607693793</v>
      </c>
      <c r="C26" s="4">
        <f t="shared" si="1"/>
        <v>10.924777960769379</v>
      </c>
      <c r="D26" s="2">
        <v>9</v>
      </c>
      <c r="E26" s="2">
        <f t="shared" si="2"/>
        <v>0.3</v>
      </c>
      <c r="F26" s="6">
        <f t="shared" si="3"/>
        <v>2.7460512339682594E-2</v>
      </c>
      <c r="G26" s="39"/>
    </row>
    <row r="27" spans="1:7" x14ac:dyDescent="0.25">
      <c r="A27" s="16">
        <v>2</v>
      </c>
      <c r="B27" s="4">
        <f t="shared" si="0"/>
        <v>6.2831853071795862</v>
      </c>
      <c r="C27" s="4">
        <f t="shared" si="1"/>
        <v>7.7831853071795862</v>
      </c>
      <c r="D27" s="9">
        <v>24</v>
      </c>
      <c r="E27" s="2">
        <f t="shared" si="2"/>
        <v>0.8</v>
      </c>
      <c r="F27" s="6">
        <f t="shared" si="3"/>
        <v>0.10278568072406569</v>
      </c>
      <c r="G27" s="19">
        <f>F27</f>
        <v>0.10278568072406569</v>
      </c>
    </row>
    <row r="28" spans="1:7" x14ac:dyDescent="0.25">
      <c r="A28" s="5" t="s">
        <v>11</v>
      </c>
      <c r="B28" s="5">
        <v>86.6</v>
      </c>
      <c r="C28" s="4">
        <f t="shared" si="1"/>
        <v>88.1</v>
      </c>
      <c r="D28" s="2">
        <v>33</v>
      </c>
      <c r="E28" s="2">
        <f t="shared" si="2"/>
        <v>1.1000000000000001</v>
      </c>
      <c r="F28" s="6">
        <f t="shared" si="3"/>
        <v>1.2485811577752555E-2</v>
      </c>
      <c r="G28" s="39">
        <f>G4</f>
        <v>1.4822537938308964E-2</v>
      </c>
    </row>
    <row r="29" spans="1:7" x14ac:dyDescent="0.25">
      <c r="A29" s="5" t="s">
        <v>12</v>
      </c>
      <c r="B29" s="5">
        <v>75</v>
      </c>
      <c r="C29" s="4">
        <f t="shared" si="1"/>
        <v>76.5</v>
      </c>
      <c r="D29" s="2">
        <v>32</v>
      </c>
      <c r="E29" s="2">
        <f t="shared" si="2"/>
        <v>1.1000000000000001</v>
      </c>
      <c r="F29" s="6">
        <f t="shared" si="3"/>
        <v>1.4379084967320262E-2</v>
      </c>
      <c r="G29" s="39"/>
    </row>
    <row r="30" spans="1:7" x14ac:dyDescent="0.25">
      <c r="A30" s="5" t="s">
        <v>13</v>
      </c>
      <c r="B30" s="5">
        <v>100</v>
      </c>
      <c r="C30" s="4">
        <f t="shared" si="1"/>
        <v>101.5</v>
      </c>
      <c r="D30" s="2">
        <v>38</v>
      </c>
      <c r="E30" s="2">
        <f t="shared" si="2"/>
        <v>1.3</v>
      </c>
      <c r="F30" s="6">
        <f t="shared" si="3"/>
        <v>1.2807881773399015E-2</v>
      </c>
      <c r="G30" s="39"/>
    </row>
    <row r="31" spans="1:7" x14ac:dyDescent="0.25">
      <c r="A31" s="5" t="s">
        <v>14</v>
      </c>
      <c r="B31" s="5">
        <v>800</v>
      </c>
      <c r="C31" s="4">
        <v>800</v>
      </c>
      <c r="D31" s="2"/>
      <c r="E31" s="2"/>
      <c r="F31" s="6">
        <f t="shared" si="3"/>
        <v>0</v>
      </c>
      <c r="G31" s="39"/>
    </row>
    <row r="32" spans="1:7" x14ac:dyDescent="0.25">
      <c r="A32" s="14" t="s">
        <v>26</v>
      </c>
      <c r="B32" s="15">
        <f>SUM(B4:B30)</f>
        <v>1279.4760197630928</v>
      </c>
      <c r="C32" s="15">
        <f>SUM(C4:C30)</f>
        <v>1319.9760197630928</v>
      </c>
      <c r="E32" s="7">
        <f>SUM(E4:E30)</f>
        <v>18.600000000000005</v>
      </c>
    </row>
  </sheetData>
  <mergeCells count="2">
    <mergeCell ref="G28:G31"/>
    <mergeCell ref="G4:G2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DE02-F868-419D-A6C5-C92C29B548D2}">
  <dimension ref="A1:J31"/>
  <sheetViews>
    <sheetView workbookViewId="0">
      <selection activeCell="J30" sqref="J30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t="s">
        <v>5</v>
      </c>
      <c r="C1" s="1" t="s">
        <v>8</v>
      </c>
      <c r="D1">
        <v>2.7</v>
      </c>
      <c r="E1" s="1" t="s">
        <v>16</v>
      </c>
      <c r="F1">
        <v>7</v>
      </c>
      <c r="H1" t="s">
        <v>15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51</v>
      </c>
      <c r="G3" s="7" t="s">
        <v>52</v>
      </c>
    </row>
    <row r="4" spans="1:10" x14ac:dyDescent="0.25">
      <c r="A4" s="3">
        <v>25</v>
      </c>
      <c r="B4" s="4">
        <f>A4*PI()</f>
        <v>78.539816339744831</v>
      </c>
      <c r="C4" s="4">
        <f>B4+$D$1</f>
        <v>81.239816339744834</v>
      </c>
      <c r="D4" s="2">
        <v>39</v>
      </c>
      <c r="E4" s="2">
        <f>ROUNDUP(D4/30,1)</f>
        <v>1.3</v>
      </c>
      <c r="F4" s="6">
        <f>E4/C4</f>
        <v>1.6002005649094545E-2</v>
      </c>
      <c r="G4" s="39">
        <f>AVERAGE(F4:F25,F28:F31)</f>
        <v>1.7051594889620394E-2</v>
      </c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78.098223686155038</v>
      </c>
      <c r="D5" s="2">
        <v>38</v>
      </c>
      <c r="E5" s="2">
        <f t="shared" ref="E5:E31" si="2">ROUNDUP(D5/30,1)</f>
        <v>1.3</v>
      </c>
      <c r="F5" s="6">
        <f t="shared" ref="F5:F31" si="3">E5/C5</f>
        <v>1.6645705095984908E-2</v>
      </c>
      <c r="G5" s="3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74.956631032565241</v>
      </c>
      <c r="D6" s="2">
        <v>36</v>
      </c>
      <c r="E6" s="2">
        <f t="shared" si="2"/>
        <v>1.2</v>
      </c>
      <c r="F6" s="6">
        <f t="shared" si="3"/>
        <v>1.6009257399504182E-2</v>
      </c>
      <c r="G6" s="39"/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71.815038378975444</v>
      </c>
      <c r="D7" s="2">
        <v>35</v>
      </c>
      <c r="E7" s="2">
        <f t="shared" si="2"/>
        <v>1.2000000000000002</v>
      </c>
      <c r="F7" s="6">
        <f t="shared" si="3"/>
        <v>1.6709592128426848E-2</v>
      </c>
      <c r="G7" s="3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68.673445725385662</v>
      </c>
      <c r="D8" s="2">
        <v>34</v>
      </c>
      <c r="E8" s="2">
        <f t="shared" si="2"/>
        <v>1.2000000000000002</v>
      </c>
      <c r="F8" s="6">
        <f t="shared" si="3"/>
        <v>1.7474003049135062E-2</v>
      </c>
      <c r="G8" s="39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65.531853071795865</v>
      </c>
      <c r="D9" s="2">
        <v>32</v>
      </c>
      <c r="E9" s="2">
        <f t="shared" si="2"/>
        <v>1.1000000000000001</v>
      </c>
      <c r="F9" s="6">
        <f t="shared" si="3"/>
        <v>1.6785730121119176E-2</v>
      </c>
      <c r="G9" s="3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62.390260418206068</v>
      </c>
      <c r="D10" s="2">
        <v>31</v>
      </c>
      <c r="E10" s="2">
        <f t="shared" si="2"/>
        <v>1.1000000000000001</v>
      </c>
      <c r="F10" s="6">
        <f t="shared" si="3"/>
        <v>1.763095702160284E-2</v>
      </c>
      <c r="G10" s="39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59.248667764616279</v>
      </c>
      <c r="D11" s="2">
        <v>30</v>
      </c>
      <c r="E11" s="2">
        <f t="shared" si="2"/>
        <v>1</v>
      </c>
      <c r="F11" s="6">
        <f t="shared" si="3"/>
        <v>1.6878016632758907E-2</v>
      </c>
      <c r="G11" s="3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56.107075111026489</v>
      </c>
      <c r="D12" s="2">
        <v>27</v>
      </c>
      <c r="E12" s="2">
        <f t="shared" si="2"/>
        <v>0.9</v>
      </c>
      <c r="F12" s="6">
        <f t="shared" si="3"/>
        <v>1.6040757751478774E-2</v>
      </c>
      <c r="G12" s="3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52.965482457436693</v>
      </c>
      <c r="D13" s="2">
        <v>27</v>
      </c>
      <c r="E13" s="2">
        <f t="shared" si="2"/>
        <v>0.9</v>
      </c>
      <c r="F13" s="6">
        <f t="shared" si="3"/>
        <v>1.6992198659254058E-2</v>
      </c>
      <c r="G13" s="3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49.823889803846896</v>
      </c>
      <c r="D14" s="2">
        <v>25</v>
      </c>
      <c r="E14" s="2">
        <f t="shared" si="2"/>
        <v>0.9</v>
      </c>
      <c r="F14" s="6">
        <f t="shared" si="3"/>
        <v>1.8063623766495066E-2</v>
      </c>
      <c r="G14" s="3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46.682297150257106</v>
      </c>
      <c r="D15" s="2">
        <v>24</v>
      </c>
      <c r="E15" s="2">
        <f t="shared" si="2"/>
        <v>0.8</v>
      </c>
      <c r="F15" s="6">
        <f t="shared" si="3"/>
        <v>1.713711725507051E-2</v>
      </c>
      <c r="G15" s="3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43.540704496667317</v>
      </c>
      <c r="D16" s="2">
        <v>22</v>
      </c>
      <c r="E16" s="2">
        <f t="shared" si="2"/>
        <v>0.79999999999999993</v>
      </c>
      <c r="F16" s="6">
        <f t="shared" si="3"/>
        <v>1.8373611755896906E-2</v>
      </c>
      <c r="G16" s="39"/>
    </row>
    <row r="17" spans="1:7" x14ac:dyDescent="0.25">
      <c r="A17" s="3">
        <v>12</v>
      </c>
      <c r="B17" s="4">
        <f t="shared" si="0"/>
        <v>37.699111843077517</v>
      </c>
      <c r="C17" s="4">
        <f t="shared" si="1"/>
        <v>40.39911184307752</v>
      </c>
      <c r="D17" s="2">
        <v>21</v>
      </c>
      <c r="E17" s="2">
        <f t="shared" si="2"/>
        <v>0.7</v>
      </c>
      <c r="F17" s="6">
        <f t="shared" si="3"/>
        <v>1.7327113593957551E-2</v>
      </c>
      <c r="G17" s="39"/>
    </row>
    <row r="18" spans="1:7" x14ac:dyDescent="0.25">
      <c r="A18" s="3">
        <v>11</v>
      </c>
      <c r="B18" s="4">
        <f t="shared" si="0"/>
        <v>34.557519189487721</v>
      </c>
      <c r="C18" s="4">
        <f t="shared" si="1"/>
        <v>37.257519189487724</v>
      </c>
      <c r="D18" s="2">
        <v>19</v>
      </c>
      <c r="E18" s="2">
        <f t="shared" si="2"/>
        <v>0.7</v>
      </c>
      <c r="F18" s="6">
        <f t="shared" si="3"/>
        <v>1.8788153780177244E-2</v>
      </c>
      <c r="G18" s="39"/>
    </row>
    <row r="19" spans="1:7" x14ac:dyDescent="0.25">
      <c r="A19" s="3">
        <v>10</v>
      </c>
      <c r="B19" s="4">
        <f t="shared" si="0"/>
        <v>31.415926535897931</v>
      </c>
      <c r="C19" s="4">
        <f t="shared" si="1"/>
        <v>34.115926535897934</v>
      </c>
      <c r="D19" s="2">
        <v>18</v>
      </c>
      <c r="E19" s="2">
        <f t="shared" si="2"/>
        <v>0.6</v>
      </c>
      <c r="F19" s="6">
        <f t="shared" si="3"/>
        <v>1.7587093798219423E-2</v>
      </c>
      <c r="G19" s="39"/>
    </row>
    <row r="20" spans="1:7" x14ac:dyDescent="0.25">
      <c r="A20" s="3">
        <v>9</v>
      </c>
      <c r="B20" s="4">
        <f t="shared" si="0"/>
        <v>28.274333882308138</v>
      </c>
      <c r="C20" s="4">
        <f t="shared" si="1"/>
        <v>30.974333882308137</v>
      </c>
      <c r="D20" s="2">
        <v>17</v>
      </c>
      <c r="E20" s="2">
        <f t="shared" si="2"/>
        <v>0.6</v>
      </c>
      <c r="F20" s="6">
        <f t="shared" si="3"/>
        <v>1.9370876619326006E-2</v>
      </c>
      <c r="G20" s="39"/>
    </row>
    <row r="21" spans="1:7" x14ac:dyDescent="0.25">
      <c r="A21" s="3">
        <v>8</v>
      </c>
      <c r="B21" s="4">
        <f t="shared" si="0"/>
        <v>25.132741228718345</v>
      </c>
      <c r="C21" s="4">
        <f t="shared" si="1"/>
        <v>27.832741228718344</v>
      </c>
      <c r="D21" s="2">
        <v>15</v>
      </c>
      <c r="E21" s="2">
        <f t="shared" si="2"/>
        <v>0.5</v>
      </c>
      <c r="F21" s="6">
        <f t="shared" si="3"/>
        <v>1.7964454018064544E-2</v>
      </c>
      <c r="G21" s="39"/>
    </row>
    <row r="22" spans="1:7" x14ac:dyDescent="0.25">
      <c r="A22" s="3">
        <v>7</v>
      </c>
      <c r="B22" s="4">
        <f t="shared" si="0"/>
        <v>21.991148575128552</v>
      </c>
      <c r="C22" s="4">
        <f t="shared" si="1"/>
        <v>24.691148575128551</v>
      </c>
      <c r="D22" s="2">
        <v>14</v>
      </c>
      <c r="E22" s="2">
        <f t="shared" si="2"/>
        <v>0.5</v>
      </c>
      <c r="F22" s="6">
        <f t="shared" si="3"/>
        <v>2.0250171776279826E-2</v>
      </c>
      <c r="G22" s="39"/>
    </row>
    <row r="23" spans="1:7" x14ac:dyDescent="0.25">
      <c r="A23" s="3">
        <v>6</v>
      </c>
      <c r="B23" s="4">
        <f t="shared" si="0"/>
        <v>18.849555921538759</v>
      </c>
      <c r="C23" s="4">
        <f t="shared" si="1"/>
        <v>21.549555921538758</v>
      </c>
      <c r="D23" s="2">
        <v>12</v>
      </c>
      <c r="E23" s="2">
        <f t="shared" si="2"/>
        <v>0.4</v>
      </c>
      <c r="F23" s="6">
        <f t="shared" si="3"/>
        <v>1.8561867421137919E-2</v>
      </c>
      <c r="G23" s="39"/>
    </row>
    <row r="24" spans="1:7" x14ac:dyDescent="0.25">
      <c r="A24" s="3">
        <v>5</v>
      </c>
      <c r="B24" s="4">
        <f t="shared" si="0"/>
        <v>15.707963267948966</v>
      </c>
      <c r="C24" s="4">
        <f t="shared" si="1"/>
        <v>18.407963267948965</v>
      </c>
      <c r="D24" s="2">
        <v>11</v>
      </c>
      <c r="E24" s="2">
        <f t="shared" si="2"/>
        <v>0.4</v>
      </c>
      <c r="F24" s="6">
        <f t="shared" si="3"/>
        <v>2.1729726106986546E-2</v>
      </c>
      <c r="G24" s="39"/>
    </row>
    <row r="25" spans="1:7" x14ac:dyDescent="0.25">
      <c r="A25" s="3">
        <v>4</v>
      </c>
      <c r="B25" s="4">
        <f t="shared" si="0"/>
        <v>12.566370614359172</v>
      </c>
      <c r="C25" s="4">
        <f t="shared" si="1"/>
        <v>15.266370614359172</v>
      </c>
      <c r="D25" s="2">
        <v>9</v>
      </c>
      <c r="E25" s="2">
        <f t="shared" si="2"/>
        <v>0.3</v>
      </c>
      <c r="F25" s="6">
        <f t="shared" si="3"/>
        <v>1.965103609615159E-2</v>
      </c>
      <c r="G25" s="39"/>
    </row>
    <row r="26" spans="1:7" x14ac:dyDescent="0.25">
      <c r="A26" s="3">
        <v>3</v>
      </c>
      <c r="B26" s="4">
        <f t="shared" si="0"/>
        <v>9.4247779607693793</v>
      </c>
      <c r="C26" s="4">
        <f t="shared" si="1"/>
        <v>12.124777960769379</v>
      </c>
      <c r="D26" s="9">
        <v>53</v>
      </c>
      <c r="E26" s="2">
        <f t="shared" si="2"/>
        <v>1.8</v>
      </c>
      <c r="F26" s="6">
        <f t="shared" si="3"/>
        <v>0.14845632685596669</v>
      </c>
      <c r="G26" s="39">
        <f>AVERAGE(F26:F27)</f>
        <v>0.14101961651316741</v>
      </c>
    </row>
    <row r="27" spans="1:7" x14ac:dyDescent="0.25">
      <c r="A27" s="3">
        <v>2</v>
      </c>
      <c r="B27" s="4">
        <f t="shared" si="0"/>
        <v>6.2831853071795862</v>
      </c>
      <c r="C27" s="4">
        <f t="shared" si="1"/>
        <v>8.9831853071795855</v>
      </c>
      <c r="D27" s="9">
        <v>34</v>
      </c>
      <c r="E27" s="2">
        <f t="shared" si="2"/>
        <v>1.2000000000000002</v>
      </c>
      <c r="F27" s="6">
        <f t="shared" si="3"/>
        <v>0.13358290617036814</v>
      </c>
      <c r="G27" s="39"/>
    </row>
    <row r="28" spans="1:7" x14ac:dyDescent="0.25">
      <c r="A28" s="5" t="s">
        <v>11</v>
      </c>
      <c r="B28" s="5">
        <v>86.6</v>
      </c>
      <c r="C28" s="4">
        <f t="shared" si="1"/>
        <v>89.3</v>
      </c>
      <c r="D28" s="2">
        <v>45</v>
      </c>
      <c r="E28" s="2">
        <f t="shared" si="2"/>
        <v>1.5</v>
      </c>
      <c r="F28" s="6">
        <f t="shared" si="3"/>
        <v>1.6797312430011199E-2</v>
      </c>
      <c r="G28" s="39">
        <f>G4</f>
        <v>1.7051594889620394E-2</v>
      </c>
    </row>
    <row r="29" spans="1:7" x14ac:dyDescent="0.25">
      <c r="A29" s="5" t="s">
        <v>12</v>
      </c>
      <c r="B29" s="5">
        <v>75</v>
      </c>
      <c r="C29" s="4">
        <f t="shared" si="1"/>
        <v>77.7</v>
      </c>
      <c r="D29" s="2">
        <v>41</v>
      </c>
      <c r="E29" s="2">
        <f t="shared" si="2"/>
        <v>1.4000000000000001</v>
      </c>
      <c r="F29" s="6">
        <f t="shared" si="3"/>
        <v>1.8018018018018018E-2</v>
      </c>
      <c r="G29" s="39"/>
    </row>
    <row r="30" spans="1:7" x14ac:dyDescent="0.25">
      <c r="A30" s="5" t="s">
        <v>13</v>
      </c>
      <c r="B30" s="5">
        <v>100</v>
      </c>
      <c r="C30" s="4">
        <f t="shared" si="1"/>
        <v>102.7</v>
      </c>
      <c r="D30" s="2">
        <v>51</v>
      </c>
      <c r="E30" s="2">
        <f t="shared" si="2"/>
        <v>1.7</v>
      </c>
      <c r="F30" s="6">
        <f t="shared" si="3"/>
        <v>1.6553067185978577E-2</v>
      </c>
      <c r="G30" s="39"/>
    </row>
    <row r="31" spans="1:7" x14ac:dyDescent="0.25">
      <c r="A31" s="5" t="s">
        <v>14</v>
      </c>
      <c r="B31" s="5">
        <v>800</v>
      </c>
      <c r="C31" s="4">
        <v>800</v>
      </c>
      <c r="D31" s="2"/>
      <c r="E31" s="2">
        <f t="shared" si="2"/>
        <v>0</v>
      </c>
      <c r="F31" s="6">
        <f t="shared" si="3"/>
        <v>0</v>
      </c>
      <c r="G31" s="39"/>
    </row>
  </sheetData>
  <mergeCells count="3">
    <mergeCell ref="G28:G31"/>
    <mergeCell ref="G4:G25"/>
    <mergeCell ref="G26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9A3A-8C1F-445B-80C3-6FF30197E327}">
  <dimension ref="A1:J31"/>
  <sheetViews>
    <sheetView workbookViewId="0">
      <selection activeCell="U17" sqref="U17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t="s">
        <v>4</v>
      </c>
      <c r="C1" s="1" t="s">
        <v>8</v>
      </c>
      <c r="D1">
        <v>4.2</v>
      </c>
      <c r="E1" s="1" t="s">
        <v>16</v>
      </c>
      <c r="F1">
        <v>9</v>
      </c>
      <c r="H1" t="s">
        <v>15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53</v>
      </c>
      <c r="G3" s="7" t="s">
        <v>52</v>
      </c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82.739816339744834</v>
      </c>
      <c r="D4" s="2">
        <v>54</v>
      </c>
      <c r="E4" s="2">
        <f>ROUNDUP(D4/30,1)</f>
        <v>1.8</v>
      </c>
      <c r="F4" s="6">
        <f>E4/C4</f>
        <v>2.1754943141387581E-2</v>
      </c>
      <c r="G4" s="39">
        <f>AVERAGE(F4:F24,F28:F31)</f>
        <v>2.2203545682231759E-2</v>
      </c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79.598223686155038</v>
      </c>
      <c r="D5" s="2">
        <v>53</v>
      </c>
      <c r="E5" s="2">
        <f t="shared" ref="E5:E31" si="2">ROUNDUP(D5/30,1)</f>
        <v>1.8</v>
      </c>
      <c r="F5" s="6">
        <f t="shared" ref="F5:F31" si="3">E5/C5</f>
        <v>2.2613569959766378E-2</v>
      </c>
      <c r="G5" s="3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76.456631032565241</v>
      </c>
      <c r="D6" s="2">
        <v>51</v>
      </c>
      <c r="E6" s="2">
        <f t="shared" si="2"/>
        <v>1.7</v>
      </c>
      <c r="F6" s="6">
        <f t="shared" si="3"/>
        <v>2.223482747069927E-2</v>
      </c>
      <c r="G6" s="39"/>
      <c r="H6" s="19"/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73.315038378975444</v>
      </c>
      <c r="D7" s="2">
        <v>49</v>
      </c>
      <c r="E7" s="2">
        <f t="shared" si="2"/>
        <v>1.7000000000000002</v>
      </c>
      <c r="F7" s="6">
        <f t="shared" si="3"/>
        <v>2.3187602947330778E-2</v>
      </c>
      <c r="G7" s="3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70.173445725385662</v>
      </c>
      <c r="D8" s="2">
        <v>44</v>
      </c>
      <c r="E8" s="2">
        <f t="shared" si="2"/>
        <v>1.5</v>
      </c>
      <c r="F8" s="6">
        <f t="shared" si="3"/>
        <v>2.1375607033322093E-2</v>
      </c>
      <c r="G8" s="39"/>
      <c r="H8" s="19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67.031853071795865</v>
      </c>
      <c r="D9" s="2">
        <v>44</v>
      </c>
      <c r="E9" s="2">
        <f t="shared" si="2"/>
        <v>1.5</v>
      </c>
      <c r="F9" s="6">
        <f t="shared" si="3"/>
        <v>2.2377421050756179E-2</v>
      </c>
      <c r="G9" s="3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63.890260418206068</v>
      </c>
      <c r="D10" s="2">
        <v>42</v>
      </c>
      <c r="E10" s="2">
        <f t="shared" si="2"/>
        <v>1.4</v>
      </c>
      <c r="F10" s="6">
        <f t="shared" si="3"/>
        <v>2.1912573071952265E-2</v>
      </c>
      <c r="G10" s="39"/>
      <c r="H10" s="19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60.748667764616279</v>
      </c>
      <c r="D11" s="2">
        <v>41</v>
      </c>
      <c r="E11" s="2">
        <f t="shared" si="2"/>
        <v>1.4000000000000001</v>
      </c>
      <c r="F11" s="6">
        <f t="shared" si="3"/>
        <v>2.3045772878914808E-2</v>
      </c>
      <c r="G11" s="39"/>
      <c r="H11" s="1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57.607075111026489</v>
      </c>
      <c r="D12" s="2">
        <v>38</v>
      </c>
      <c r="E12" s="2">
        <f t="shared" si="2"/>
        <v>1.3</v>
      </c>
      <c r="F12" s="6">
        <f t="shared" si="3"/>
        <v>2.2566672539692419E-2</v>
      </c>
      <c r="G12" s="39"/>
      <c r="H12" s="1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54.465482457436693</v>
      </c>
      <c r="D13" s="2">
        <v>37</v>
      </c>
      <c r="E13" s="2">
        <f t="shared" si="2"/>
        <v>1.3</v>
      </c>
      <c r="F13" s="6">
        <f t="shared" si="3"/>
        <v>2.3868328000507755E-2</v>
      </c>
      <c r="G13" s="39"/>
      <c r="H13" s="1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51.323889803846896</v>
      </c>
      <c r="D14" s="2">
        <v>35</v>
      </c>
      <c r="E14" s="2">
        <f t="shared" si="2"/>
        <v>1.2000000000000002</v>
      </c>
      <c r="F14" s="6">
        <f t="shared" si="3"/>
        <v>2.3380924645155329E-2</v>
      </c>
      <c r="G14" s="39"/>
      <c r="H14" s="1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48.182297150257106</v>
      </c>
      <c r="D15" s="2">
        <v>33</v>
      </c>
      <c r="E15" s="2">
        <f t="shared" si="2"/>
        <v>1.1000000000000001</v>
      </c>
      <c r="F15" s="6">
        <f t="shared" si="3"/>
        <v>2.2829961729919936E-2</v>
      </c>
      <c r="G15" s="39"/>
      <c r="H15" s="1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45.040704496667317</v>
      </c>
      <c r="D16" s="2">
        <v>30</v>
      </c>
      <c r="E16" s="2">
        <f t="shared" si="2"/>
        <v>1</v>
      </c>
      <c r="F16" s="6">
        <f t="shared" si="3"/>
        <v>2.2202139402015628E-2</v>
      </c>
      <c r="G16" s="39"/>
      <c r="H16" s="19"/>
    </row>
    <row r="17" spans="1:8" x14ac:dyDescent="0.25">
      <c r="A17" s="3">
        <v>12</v>
      </c>
      <c r="B17" s="4">
        <f t="shared" si="0"/>
        <v>37.699111843077517</v>
      </c>
      <c r="C17" s="4">
        <f t="shared" si="1"/>
        <v>41.89911184307752</v>
      </c>
      <c r="D17" s="2">
        <v>29</v>
      </c>
      <c r="E17" s="2">
        <f t="shared" si="2"/>
        <v>1</v>
      </c>
      <c r="F17" s="6">
        <f t="shared" si="3"/>
        <v>2.3866854355892936E-2</v>
      </c>
      <c r="G17" s="39"/>
      <c r="H17" s="19"/>
    </row>
    <row r="18" spans="1:8" x14ac:dyDescent="0.25">
      <c r="A18" s="3">
        <v>11</v>
      </c>
      <c r="B18" s="4">
        <f t="shared" si="0"/>
        <v>34.557519189487721</v>
      </c>
      <c r="C18" s="4">
        <f t="shared" si="1"/>
        <v>38.757519189487724</v>
      </c>
      <c r="D18" s="2">
        <v>27</v>
      </c>
      <c r="E18" s="2">
        <f t="shared" si="2"/>
        <v>0.9</v>
      </c>
      <c r="F18" s="6">
        <f t="shared" si="3"/>
        <v>2.3221300506873224E-2</v>
      </c>
      <c r="G18" s="39"/>
      <c r="H18" s="19"/>
    </row>
    <row r="19" spans="1:8" x14ac:dyDescent="0.25">
      <c r="A19" s="3">
        <v>10</v>
      </c>
      <c r="B19" s="4">
        <f t="shared" si="0"/>
        <v>31.415926535897931</v>
      </c>
      <c r="C19" s="4">
        <f t="shared" si="1"/>
        <v>35.615926535897934</v>
      </c>
      <c r="D19" s="2">
        <v>25</v>
      </c>
      <c r="E19" s="2">
        <f t="shared" si="2"/>
        <v>0.9</v>
      </c>
      <c r="F19" s="6">
        <f t="shared" si="3"/>
        <v>2.5269593901842587E-2</v>
      </c>
      <c r="G19" s="39"/>
      <c r="H19" s="19"/>
    </row>
    <row r="20" spans="1:8" x14ac:dyDescent="0.25">
      <c r="A20" s="3">
        <v>9</v>
      </c>
      <c r="B20" s="4">
        <f t="shared" si="0"/>
        <v>28.274333882308138</v>
      </c>
      <c r="C20" s="4">
        <f t="shared" si="1"/>
        <v>32.474333882308137</v>
      </c>
      <c r="D20" s="2">
        <v>23</v>
      </c>
      <c r="E20" s="2">
        <f t="shared" si="2"/>
        <v>0.79999999999999993</v>
      </c>
      <c r="F20" s="6">
        <f t="shared" si="3"/>
        <v>2.4634839405769493E-2</v>
      </c>
      <c r="G20" s="39"/>
      <c r="H20" s="19"/>
    </row>
    <row r="21" spans="1:8" x14ac:dyDescent="0.25">
      <c r="A21" s="3">
        <v>8</v>
      </c>
      <c r="B21" s="4">
        <f t="shared" si="0"/>
        <v>25.132741228718345</v>
      </c>
      <c r="C21" s="4">
        <f t="shared" si="1"/>
        <v>29.332741228718344</v>
      </c>
      <c r="D21" s="2">
        <v>21</v>
      </c>
      <c r="E21" s="2">
        <f t="shared" si="2"/>
        <v>0.7</v>
      </c>
      <c r="F21" s="6">
        <f t="shared" si="3"/>
        <v>2.3864118070037792E-2</v>
      </c>
      <c r="G21" s="39"/>
      <c r="H21" s="19"/>
    </row>
    <row r="22" spans="1:8" x14ac:dyDescent="0.25">
      <c r="A22" s="3">
        <v>7</v>
      </c>
      <c r="B22" s="4">
        <f t="shared" si="0"/>
        <v>21.991148575128552</v>
      </c>
      <c r="C22" s="4">
        <f t="shared" si="1"/>
        <v>26.191148575128551</v>
      </c>
      <c r="D22" s="2">
        <v>18</v>
      </c>
      <c r="E22" s="2">
        <f t="shared" si="2"/>
        <v>0.6</v>
      </c>
      <c r="F22" s="6">
        <f t="shared" si="3"/>
        <v>2.2908502782110429E-2</v>
      </c>
      <c r="G22" s="39"/>
      <c r="H22" s="19"/>
    </row>
    <row r="23" spans="1:8" x14ac:dyDescent="0.25">
      <c r="A23" s="3">
        <v>6</v>
      </c>
      <c r="B23" s="4">
        <f t="shared" si="0"/>
        <v>18.849555921538759</v>
      </c>
      <c r="C23" s="4">
        <f t="shared" si="1"/>
        <v>23.049555921538758</v>
      </c>
      <c r="D23" s="2">
        <v>16</v>
      </c>
      <c r="E23" s="2">
        <f t="shared" si="2"/>
        <v>0.6</v>
      </c>
      <c r="F23" s="6">
        <f t="shared" si="3"/>
        <v>2.6030870271098253E-2</v>
      </c>
      <c r="G23" s="39"/>
      <c r="H23" s="19"/>
    </row>
    <row r="24" spans="1:8" x14ac:dyDescent="0.25">
      <c r="A24" s="3">
        <v>5</v>
      </c>
      <c r="B24" s="4">
        <f t="shared" si="0"/>
        <v>15.707963267948966</v>
      </c>
      <c r="C24" s="4">
        <f t="shared" si="1"/>
        <v>19.907963267948965</v>
      </c>
      <c r="D24" s="2">
        <v>14</v>
      </c>
      <c r="E24" s="2">
        <f t="shared" si="2"/>
        <v>0.5</v>
      </c>
      <c r="F24" s="6">
        <f t="shared" si="3"/>
        <v>2.5115577785145921E-2</v>
      </c>
      <c r="G24" s="39"/>
      <c r="H24" s="19"/>
    </row>
    <row r="25" spans="1:8" x14ac:dyDescent="0.25">
      <c r="A25" s="3">
        <v>4</v>
      </c>
      <c r="B25" s="4">
        <f t="shared" si="0"/>
        <v>12.566370614359172</v>
      </c>
      <c r="C25" s="4">
        <f t="shared" si="1"/>
        <v>16.766370614359172</v>
      </c>
      <c r="D25" s="9">
        <v>82</v>
      </c>
      <c r="E25" s="2">
        <f t="shared" si="2"/>
        <v>2.8000000000000003</v>
      </c>
      <c r="F25" s="6">
        <f t="shared" si="3"/>
        <v>0.1670009606970041</v>
      </c>
      <c r="G25" s="39">
        <f>AVERAGE(F25:F27)</f>
        <v>0.18335665422010194</v>
      </c>
      <c r="H25" s="19"/>
    </row>
    <row r="26" spans="1:8" x14ac:dyDescent="0.25">
      <c r="A26" s="3">
        <v>3</v>
      </c>
      <c r="B26" s="4">
        <f t="shared" si="0"/>
        <v>9.4247779607693793</v>
      </c>
      <c r="C26" s="4">
        <f t="shared" si="1"/>
        <v>13.624777960769379</v>
      </c>
      <c r="D26" s="9">
        <v>62</v>
      </c>
      <c r="E26" s="2">
        <f t="shared" si="2"/>
        <v>2.1</v>
      </c>
      <c r="F26" s="6">
        <f t="shared" si="3"/>
        <v>0.15413095215545186</v>
      </c>
      <c r="G26" s="39"/>
      <c r="H26" s="19"/>
    </row>
    <row r="27" spans="1:8" x14ac:dyDescent="0.25">
      <c r="A27" s="3">
        <v>2</v>
      </c>
      <c r="B27" s="4">
        <f t="shared" si="0"/>
        <v>6.2831853071795862</v>
      </c>
      <c r="C27" s="4">
        <f t="shared" si="1"/>
        <v>10.483185307179586</v>
      </c>
      <c r="D27" s="9">
        <v>71</v>
      </c>
      <c r="E27" s="2">
        <f t="shared" si="2"/>
        <v>2.4</v>
      </c>
      <c r="F27" s="6">
        <f t="shared" si="3"/>
        <v>0.22893804980784987</v>
      </c>
      <c r="G27" s="39"/>
      <c r="H27" s="19"/>
    </row>
    <row r="28" spans="1:8" x14ac:dyDescent="0.25">
      <c r="A28" s="5" t="s">
        <v>11</v>
      </c>
      <c r="B28" s="5">
        <v>86.6</v>
      </c>
      <c r="C28" s="4">
        <f t="shared" si="1"/>
        <v>90.8</v>
      </c>
      <c r="D28" s="2">
        <v>60</v>
      </c>
      <c r="E28" s="2">
        <f t="shared" si="2"/>
        <v>2</v>
      </c>
      <c r="F28" s="6">
        <f t="shared" si="3"/>
        <v>2.2026431718061675E-2</v>
      </c>
      <c r="G28" s="39">
        <f>G4</f>
        <v>2.2203545682231759E-2</v>
      </c>
      <c r="H28" s="19"/>
    </row>
    <row r="29" spans="1:8" x14ac:dyDescent="0.25">
      <c r="A29" s="5" t="s">
        <v>12</v>
      </c>
      <c r="B29" s="5">
        <v>75</v>
      </c>
      <c r="C29" s="4">
        <f t="shared" si="1"/>
        <v>79.2</v>
      </c>
      <c r="D29" s="2">
        <v>54</v>
      </c>
      <c r="E29" s="2">
        <f t="shared" si="2"/>
        <v>1.8</v>
      </c>
      <c r="F29" s="6">
        <f t="shared" si="3"/>
        <v>2.2727272727272728E-2</v>
      </c>
      <c r="G29" s="39"/>
      <c r="H29" s="19"/>
    </row>
    <row r="30" spans="1:8" x14ac:dyDescent="0.25">
      <c r="A30" s="5" t="s">
        <v>13</v>
      </c>
      <c r="B30" s="5">
        <v>100</v>
      </c>
      <c r="C30" s="4">
        <f t="shared" si="1"/>
        <v>104.2</v>
      </c>
      <c r="D30" s="2">
        <v>69</v>
      </c>
      <c r="E30" s="2">
        <f t="shared" si="2"/>
        <v>2.2999999999999998</v>
      </c>
      <c r="F30" s="6">
        <f t="shared" si="3"/>
        <v>2.2072936660268713E-2</v>
      </c>
      <c r="G30" s="39"/>
      <c r="H30" s="19"/>
    </row>
    <row r="31" spans="1:8" x14ac:dyDescent="0.25">
      <c r="A31" s="5" t="s">
        <v>14</v>
      </c>
      <c r="B31" s="5">
        <v>800</v>
      </c>
      <c r="C31" s="4">
        <v>800</v>
      </c>
      <c r="D31" s="2"/>
      <c r="E31" s="2">
        <f t="shared" si="2"/>
        <v>0</v>
      </c>
      <c r="F31" s="6">
        <f t="shared" si="3"/>
        <v>0</v>
      </c>
      <c r="G31" s="39"/>
      <c r="H31" s="19"/>
    </row>
  </sheetData>
  <mergeCells count="3">
    <mergeCell ref="G28:G31"/>
    <mergeCell ref="G4:G24"/>
    <mergeCell ref="G25:G2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5CBB-AE9B-4C93-A106-DC7F98F640E3}">
  <dimension ref="A1:J34"/>
  <sheetViews>
    <sheetView workbookViewId="0">
      <selection activeCell="D34" sqref="D34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s="10" t="s">
        <v>4</v>
      </c>
      <c r="C1" s="1" t="s">
        <v>8</v>
      </c>
      <c r="D1">
        <v>4.18</v>
      </c>
      <c r="E1" s="1" t="s">
        <v>86</v>
      </c>
      <c r="F1">
        <v>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53</v>
      </c>
      <c r="G3" s="7" t="s">
        <v>52</v>
      </c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82.719816339744824</v>
      </c>
      <c r="D4" s="34" t="s">
        <v>89</v>
      </c>
      <c r="E4" s="33">
        <f>((LEFT(D4,SEARCH(":",D4)-1))+((RIGHT(D4,2))/30))</f>
        <v>1.8</v>
      </c>
      <c r="F4" s="6">
        <f>E4/C4</f>
        <v>2.1760203052278111E-2</v>
      </c>
      <c r="G4" s="39">
        <f>AVERAGE(F4:F24)</f>
        <v>2.2660589537672707E-2</v>
      </c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79.578223686155042</v>
      </c>
      <c r="D5" s="34" t="s">
        <v>92</v>
      </c>
      <c r="E5" s="33">
        <f t="shared" ref="E5:E31" si="2">((LEFT(D5,SEARCH(":",D5)-1))+((RIGHT(D5,2))/30))</f>
        <v>1.7666666666666666</v>
      </c>
      <c r="F5" s="6">
        <f t="shared" ref="F5:F31" si="3">E5/C5</f>
        <v>2.2200378254661018E-2</v>
      </c>
      <c r="G5" s="3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76.436631032565231</v>
      </c>
      <c r="D6" s="34" t="s">
        <v>93</v>
      </c>
      <c r="E6" s="33">
        <f t="shared" si="2"/>
        <v>1.7</v>
      </c>
      <c r="F6" s="6">
        <f t="shared" si="3"/>
        <v>2.2240645316716382E-2</v>
      </c>
      <c r="G6" s="39"/>
      <c r="H6" s="19"/>
      <c r="J6" s="12" t="s">
        <v>23</v>
      </c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73.295038378975448</v>
      </c>
      <c r="D7" s="34" t="s">
        <v>94</v>
      </c>
      <c r="E7" s="33">
        <f t="shared" si="2"/>
        <v>1.6333333333333333</v>
      </c>
      <c r="F7" s="6">
        <f t="shared" si="3"/>
        <v>2.2284364255164262E-2</v>
      </c>
      <c r="G7" s="3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70.153445725385666</v>
      </c>
      <c r="D8" s="34" t="s">
        <v>95</v>
      </c>
      <c r="E8" s="33">
        <f t="shared" si="2"/>
        <v>1.5333333333333332</v>
      </c>
      <c r="F8" s="6">
        <f t="shared" si="3"/>
        <v>2.1856849902078045E-2</v>
      </c>
      <c r="G8" s="39"/>
      <c r="H8" s="19"/>
      <c r="J8" s="15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67.011853071795855</v>
      </c>
      <c r="D9" s="34" t="s">
        <v>96</v>
      </c>
      <c r="E9" s="33">
        <f t="shared" si="2"/>
        <v>1.4666666666666668</v>
      </c>
      <c r="F9" s="6">
        <f t="shared" si="3"/>
        <v>2.1886675258708251E-2</v>
      </c>
      <c r="G9" s="3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63.870260418206065</v>
      </c>
      <c r="D10" s="34" t="s">
        <v>97</v>
      </c>
      <c r="E10" s="33">
        <f t="shared" si="2"/>
        <v>1.4</v>
      </c>
      <c r="F10" s="6">
        <f t="shared" si="3"/>
        <v>2.1919434660719394E-2</v>
      </c>
      <c r="G10" s="39"/>
      <c r="H10" s="19"/>
      <c r="J10" s="15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60.728667764616276</v>
      </c>
      <c r="D11" s="34" t="s">
        <v>98</v>
      </c>
      <c r="E11" s="33">
        <f t="shared" si="2"/>
        <v>1.3666666666666667</v>
      </c>
      <c r="F11" s="6">
        <f t="shared" si="3"/>
        <v>2.25044730433385E-2</v>
      </c>
      <c r="G11" s="39"/>
      <c r="H11" s="1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57.587075111026486</v>
      </c>
      <c r="D12" s="34" t="s">
        <v>99</v>
      </c>
      <c r="E12" s="33">
        <f t="shared" si="2"/>
        <v>1.2666666666666666</v>
      </c>
      <c r="F12" s="6">
        <f t="shared" si="3"/>
        <v>2.1995676360095803E-2</v>
      </c>
      <c r="G12" s="39"/>
      <c r="H12" s="1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54.44548245743669</v>
      </c>
      <c r="D13" s="34" t="s">
        <v>100</v>
      </c>
      <c r="E13" s="33">
        <f t="shared" si="2"/>
        <v>1.2333333333333334</v>
      </c>
      <c r="F13" s="6">
        <f t="shared" si="3"/>
        <v>2.2652629339771288E-2</v>
      </c>
      <c r="G13" s="39"/>
      <c r="H13" s="1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51.303889803846893</v>
      </c>
      <c r="D14" s="34" t="s">
        <v>101</v>
      </c>
      <c r="E14" s="33">
        <f t="shared" si="2"/>
        <v>1.1666666666666667</v>
      </c>
      <c r="F14" s="6">
        <f t="shared" si="3"/>
        <v>2.2740316009707068E-2</v>
      </c>
      <c r="G14" s="39"/>
      <c r="H14" s="1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48.162297150257103</v>
      </c>
      <c r="D15" s="38" t="s">
        <v>102</v>
      </c>
      <c r="E15" s="33">
        <f t="shared" si="2"/>
        <v>1.1000000000000001</v>
      </c>
      <c r="F15" s="6">
        <f t="shared" si="3"/>
        <v>2.2839442158836643E-2</v>
      </c>
      <c r="G15" s="39"/>
      <c r="H15" s="1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45.020704496667314</v>
      </c>
      <c r="D16" s="38" t="s">
        <v>103</v>
      </c>
      <c r="E16" s="33">
        <f t="shared" si="2"/>
        <v>1</v>
      </c>
      <c r="F16" s="6">
        <f t="shared" si="3"/>
        <v>2.2212002481525488E-2</v>
      </c>
      <c r="G16" s="39"/>
      <c r="H16" s="19"/>
    </row>
    <row r="17" spans="1:10" x14ac:dyDescent="0.25">
      <c r="A17" s="3">
        <v>12</v>
      </c>
      <c r="B17" s="4">
        <f t="shared" si="0"/>
        <v>37.699111843077517</v>
      </c>
      <c r="C17" s="4">
        <f t="shared" si="1"/>
        <v>41.879111843077517</v>
      </c>
      <c r="D17" s="38" t="s">
        <v>104</v>
      </c>
      <c r="E17" s="33">
        <f t="shared" si="2"/>
        <v>0.96666666666666667</v>
      </c>
      <c r="F17" s="6">
        <f t="shared" si="3"/>
        <v>2.3082310586929354E-2</v>
      </c>
      <c r="G17" s="39"/>
      <c r="H17" s="19"/>
    </row>
    <row r="18" spans="1:10" x14ac:dyDescent="0.25">
      <c r="A18" s="3">
        <v>11</v>
      </c>
      <c r="B18" s="4">
        <f t="shared" si="0"/>
        <v>34.557519189487721</v>
      </c>
      <c r="C18" s="4">
        <f t="shared" si="1"/>
        <v>38.73751918948772</v>
      </c>
      <c r="D18" s="38" t="s">
        <v>105</v>
      </c>
      <c r="E18" s="33">
        <f t="shared" si="2"/>
        <v>0.9</v>
      </c>
      <c r="F18" s="6">
        <f t="shared" si="3"/>
        <v>2.3233289555729598E-2</v>
      </c>
      <c r="G18" s="39"/>
      <c r="H18" s="19"/>
    </row>
    <row r="19" spans="1:10" x14ac:dyDescent="0.25">
      <c r="A19" s="3">
        <v>10</v>
      </c>
      <c r="B19" s="4">
        <f t="shared" si="0"/>
        <v>31.415926535897931</v>
      </c>
      <c r="C19" s="4">
        <f t="shared" si="1"/>
        <v>35.595926535897931</v>
      </c>
      <c r="D19" s="38" t="s">
        <v>106</v>
      </c>
      <c r="E19" s="33">
        <f t="shared" si="2"/>
        <v>0.83333333333333337</v>
      </c>
      <c r="F19" s="6">
        <f t="shared" si="3"/>
        <v>2.3410918451383191E-2</v>
      </c>
      <c r="G19" s="39"/>
      <c r="H19" s="19"/>
    </row>
    <row r="20" spans="1:10" x14ac:dyDescent="0.25">
      <c r="A20" s="3">
        <v>9</v>
      </c>
      <c r="B20" s="4">
        <f t="shared" si="0"/>
        <v>28.274333882308138</v>
      </c>
      <c r="C20" s="4">
        <f t="shared" si="1"/>
        <v>32.454333882308134</v>
      </c>
      <c r="D20" s="38" t="s">
        <v>107</v>
      </c>
      <c r="E20" s="33">
        <f t="shared" si="2"/>
        <v>0.76666666666666672</v>
      </c>
      <c r="F20" s="6">
        <f t="shared" si="3"/>
        <v>2.362293644500282E-2</v>
      </c>
      <c r="G20" s="39"/>
      <c r="H20" s="19"/>
    </row>
    <row r="21" spans="1:10" x14ac:dyDescent="0.25">
      <c r="A21" s="3">
        <v>8</v>
      </c>
      <c r="B21" s="4">
        <f t="shared" si="0"/>
        <v>25.132741228718345</v>
      </c>
      <c r="C21" s="4">
        <f t="shared" si="1"/>
        <v>29.312741228718345</v>
      </c>
      <c r="D21" s="38" t="s">
        <v>108</v>
      </c>
      <c r="E21" s="33">
        <f t="shared" si="2"/>
        <v>0.7</v>
      </c>
      <c r="F21" s="6">
        <f t="shared" si="3"/>
        <v>2.3880400489947846E-2</v>
      </c>
      <c r="G21" s="39"/>
      <c r="H21" s="19"/>
    </row>
    <row r="22" spans="1:10" x14ac:dyDescent="0.25">
      <c r="A22" s="3">
        <v>7</v>
      </c>
      <c r="B22" s="4">
        <f t="shared" si="0"/>
        <v>21.991148575128552</v>
      </c>
      <c r="C22" s="4">
        <f t="shared" si="1"/>
        <v>26.171148575128552</v>
      </c>
      <c r="D22" s="38" t="s">
        <v>109</v>
      </c>
      <c r="E22" s="33">
        <f t="shared" si="2"/>
        <v>0.6</v>
      </c>
      <c r="F22" s="6">
        <f t="shared" si="3"/>
        <v>2.2926009467165803E-2</v>
      </c>
      <c r="G22" s="39"/>
      <c r="H22" s="19"/>
    </row>
    <row r="23" spans="1:10" x14ac:dyDescent="0.25">
      <c r="A23" s="3">
        <v>6</v>
      </c>
      <c r="B23" s="4">
        <f t="shared" si="0"/>
        <v>18.849555921538759</v>
      </c>
      <c r="C23" s="4">
        <f t="shared" si="1"/>
        <v>23.029555921538758</v>
      </c>
      <c r="D23" s="38" t="s">
        <v>110</v>
      </c>
      <c r="E23" s="33">
        <f t="shared" si="2"/>
        <v>0.53333333333333333</v>
      </c>
      <c r="F23" s="6">
        <f t="shared" si="3"/>
        <v>2.3158646009084561E-2</v>
      </c>
      <c r="G23" s="39"/>
      <c r="H23" s="19"/>
    </row>
    <row r="24" spans="1:10" x14ac:dyDescent="0.25">
      <c r="A24" s="3">
        <v>5</v>
      </c>
      <c r="B24" s="4">
        <f t="shared" si="0"/>
        <v>15.707963267948966</v>
      </c>
      <c r="C24" s="4">
        <f t="shared" si="1"/>
        <v>19.887963267948965</v>
      </c>
      <c r="D24" s="38" t="s">
        <v>111</v>
      </c>
      <c r="E24" s="33">
        <f t="shared" si="2"/>
        <v>0.46666666666666667</v>
      </c>
      <c r="F24" s="6">
        <f t="shared" si="3"/>
        <v>2.3464779192283462E-2</v>
      </c>
      <c r="G24" s="39"/>
      <c r="H24" s="19"/>
    </row>
    <row r="25" spans="1:10" x14ac:dyDescent="0.25">
      <c r="A25" s="3">
        <v>4</v>
      </c>
      <c r="B25" s="4">
        <f t="shared" si="0"/>
        <v>12.566370614359172</v>
      </c>
      <c r="C25" s="4">
        <f t="shared" si="1"/>
        <v>16.746370614359172</v>
      </c>
      <c r="D25" s="35" t="s">
        <v>112</v>
      </c>
      <c r="E25" s="33">
        <f t="shared" si="2"/>
        <v>2.7333333333333334</v>
      </c>
      <c r="F25" s="6">
        <f t="shared" si="3"/>
        <v>0.16321944594906057</v>
      </c>
      <c r="G25" s="39">
        <f>AVERAGE(F25:F27)</f>
        <v>0.14858118513171872</v>
      </c>
      <c r="H25" s="19"/>
    </row>
    <row r="26" spans="1:10" x14ac:dyDescent="0.25">
      <c r="A26" s="3">
        <v>3</v>
      </c>
      <c r="B26" s="4">
        <f t="shared" si="0"/>
        <v>9.4247779607693793</v>
      </c>
      <c r="C26" s="4">
        <f t="shared" si="1"/>
        <v>13.604777960769379</v>
      </c>
      <c r="D26" s="35" t="s">
        <v>113</v>
      </c>
      <c r="E26" s="33">
        <f t="shared" si="2"/>
        <v>2.0666666666666669</v>
      </c>
      <c r="F26" s="6">
        <f t="shared" si="3"/>
        <v>0.15190741610234942</v>
      </c>
      <c r="G26" s="39"/>
      <c r="H26" s="19"/>
    </row>
    <row r="27" spans="1:10" x14ac:dyDescent="0.25">
      <c r="A27" s="3">
        <v>2</v>
      </c>
      <c r="B27" s="4">
        <f t="shared" si="0"/>
        <v>6.2831853071795862</v>
      </c>
      <c r="C27" s="4">
        <f t="shared" si="1"/>
        <v>10.463185307179586</v>
      </c>
      <c r="D27" s="35" t="s">
        <v>98</v>
      </c>
      <c r="E27" s="33">
        <f t="shared" si="2"/>
        <v>1.3666666666666667</v>
      </c>
      <c r="F27" s="6">
        <f t="shared" si="3"/>
        <v>0.13061669334374618</v>
      </c>
      <c r="G27" s="39"/>
      <c r="H27" s="19"/>
    </row>
    <row r="28" spans="1:10" x14ac:dyDescent="0.25">
      <c r="A28" s="5" t="s">
        <v>11</v>
      </c>
      <c r="B28" s="5">
        <v>86.6</v>
      </c>
      <c r="C28" s="4">
        <f t="shared" si="1"/>
        <v>90.78</v>
      </c>
      <c r="D28" s="34" t="s">
        <v>88</v>
      </c>
      <c r="E28" s="33">
        <f t="shared" si="2"/>
        <v>2</v>
      </c>
      <c r="F28" s="6">
        <f t="shared" si="3"/>
        <v>2.203128442388191E-2</v>
      </c>
      <c r="G28" s="19"/>
      <c r="H28" s="19"/>
    </row>
    <row r="29" spans="1:10" x14ac:dyDescent="0.25">
      <c r="A29" s="5" t="s">
        <v>12</v>
      </c>
      <c r="B29" s="5">
        <v>75</v>
      </c>
      <c r="C29" s="4">
        <f t="shared" si="1"/>
        <v>79.180000000000007</v>
      </c>
      <c r="D29" s="34" t="s">
        <v>89</v>
      </c>
      <c r="E29" s="33">
        <f t="shared" si="2"/>
        <v>1.8</v>
      </c>
      <c r="F29" s="6">
        <f t="shared" si="3"/>
        <v>2.2733013387218993E-2</v>
      </c>
      <c r="G29" s="19"/>
      <c r="H29" s="19"/>
      <c r="J29" s="15"/>
    </row>
    <row r="30" spans="1:10" x14ac:dyDescent="0.25">
      <c r="A30" s="5" t="s">
        <v>13</v>
      </c>
      <c r="B30" s="5">
        <v>100</v>
      </c>
      <c r="C30" s="4">
        <f t="shared" si="1"/>
        <v>104.18</v>
      </c>
      <c r="D30" s="34" t="s">
        <v>90</v>
      </c>
      <c r="E30" s="33">
        <f t="shared" si="2"/>
        <v>2.2999999999999998</v>
      </c>
      <c r="F30" s="6">
        <f t="shared" si="3"/>
        <v>2.2077174121712416E-2</v>
      </c>
      <c r="G30" s="19"/>
      <c r="H30" s="19"/>
    </row>
    <row r="31" spans="1:10" x14ac:dyDescent="0.25">
      <c r="A31" s="5" t="s">
        <v>14</v>
      </c>
      <c r="B31" s="5">
        <v>800</v>
      </c>
      <c r="C31" s="4">
        <v>800</v>
      </c>
      <c r="D31" s="34" t="s">
        <v>87</v>
      </c>
      <c r="E31" s="33">
        <f t="shared" si="2"/>
        <v>16.733333333333334</v>
      </c>
      <c r="F31" s="6">
        <f t="shared" si="3"/>
        <v>2.0916666666666667E-2</v>
      </c>
      <c r="G31" s="19"/>
      <c r="H31" s="19"/>
    </row>
    <row r="32" spans="1:10" x14ac:dyDescent="0.25">
      <c r="A32" s="14" t="s">
        <v>91</v>
      </c>
      <c r="D32" s="37" t="s">
        <v>83</v>
      </c>
      <c r="E32" s="15">
        <f>SUM(E4:E24,E28:E31)</f>
        <v>47.033333333333331</v>
      </c>
      <c r="F32" s="30">
        <f>(E32+E33+E34)/60</f>
        <v>5.1845555555555558</v>
      </c>
    </row>
    <row r="33" spans="3:5" x14ac:dyDescent="0.25">
      <c r="C33" t="s">
        <v>84</v>
      </c>
      <c r="E33" s="30">
        <f>F1*D34</f>
        <v>252</v>
      </c>
    </row>
    <row r="34" spans="3:5" x14ac:dyDescent="0.25">
      <c r="C34" t="s">
        <v>85</v>
      </c>
      <c r="D34">
        <v>28</v>
      </c>
      <c r="E34">
        <f>D34*0.43</f>
        <v>12.04</v>
      </c>
    </row>
  </sheetData>
  <mergeCells count="2">
    <mergeCell ref="G4:G24"/>
    <mergeCell ref="G25:G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0F2B-CF8A-4901-99AC-A97B369AA6F2}">
  <dimension ref="A1:J31"/>
  <sheetViews>
    <sheetView workbookViewId="0">
      <selection activeCell="I30" sqref="I30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s="10" t="s">
        <v>22</v>
      </c>
      <c r="C1" s="1" t="s">
        <v>8</v>
      </c>
      <c r="D1">
        <v>4.8</v>
      </c>
      <c r="E1" s="1" t="s">
        <v>16</v>
      </c>
      <c r="F1">
        <v>5</v>
      </c>
      <c r="H1" t="s">
        <v>15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53</v>
      </c>
      <c r="G3" s="7" t="s">
        <v>52</v>
      </c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83.339816339744829</v>
      </c>
      <c r="D4" s="2">
        <v>56</v>
      </c>
      <c r="E4" s="2">
        <f>ROUNDUP(D4/30,1)</f>
        <v>1.9000000000000001</v>
      </c>
      <c r="F4" s="6">
        <f>E4/C4</f>
        <v>2.2798226387425916E-2</v>
      </c>
      <c r="G4" s="39">
        <f>AVERAGE(F4:F23,F28:F30)</f>
        <v>2.2629969795407129E-2</v>
      </c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80.198223686155032</v>
      </c>
      <c r="D5" s="2">
        <v>53</v>
      </c>
      <c r="E5" s="2">
        <f t="shared" ref="E5:E31" si="2">ROUNDUP(D5/30,1)</f>
        <v>1.8</v>
      </c>
      <c r="F5" s="6">
        <f t="shared" ref="F5:F31" si="3">E5/C5</f>
        <v>2.2444387384988201E-2</v>
      </c>
      <c r="G5" s="3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77.056631032565235</v>
      </c>
      <c r="D6" s="2">
        <v>51</v>
      </c>
      <c r="E6" s="2">
        <f t="shared" si="2"/>
        <v>1.7</v>
      </c>
      <c r="F6" s="6">
        <f t="shared" si="3"/>
        <v>2.2061696407172999E-2</v>
      </c>
      <c r="G6" s="39"/>
      <c r="H6" s="19"/>
      <c r="J6" s="12" t="s">
        <v>23</v>
      </c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73.915038378975439</v>
      </c>
      <c r="D7" s="2">
        <v>50</v>
      </c>
      <c r="E7" s="2">
        <f t="shared" si="2"/>
        <v>1.7000000000000002</v>
      </c>
      <c r="F7" s="6">
        <f t="shared" si="3"/>
        <v>2.2999379250590393E-2</v>
      </c>
      <c r="G7" s="3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70.773445725385656</v>
      </c>
      <c r="D8" s="2">
        <v>48</v>
      </c>
      <c r="E8" s="2">
        <f t="shared" si="2"/>
        <v>1.6</v>
      </c>
      <c r="F8" s="6">
        <f t="shared" si="3"/>
        <v>2.2607349177377944E-2</v>
      </c>
      <c r="G8" s="39"/>
      <c r="H8" s="19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67.631853071795859</v>
      </c>
      <c r="D9" s="2">
        <v>45</v>
      </c>
      <c r="E9" s="2">
        <f t="shared" si="2"/>
        <v>1.5</v>
      </c>
      <c r="F9" s="6">
        <f t="shared" si="3"/>
        <v>2.2178898431300515E-2</v>
      </c>
      <c r="G9" s="3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64.490260418206063</v>
      </c>
      <c r="D10" s="2">
        <v>42</v>
      </c>
      <c r="E10" s="2">
        <f t="shared" si="2"/>
        <v>1.4</v>
      </c>
      <c r="F10" s="6">
        <f t="shared" si="3"/>
        <v>2.1708704398482624E-2</v>
      </c>
      <c r="G10" s="39"/>
      <c r="H10" s="19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61.348667764616273</v>
      </c>
      <c r="D11" s="2">
        <v>41</v>
      </c>
      <c r="E11" s="2">
        <f t="shared" si="2"/>
        <v>1.4000000000000001</v>
      </c>
      <c r="F11" s="6">
        <f t="shared" si="3"/>
        <v>2.2820381452642893E-2</v>
      </c>
      <c r="G11" s="39"/>
      <c r="H11" s="1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58.207075111026484</v>
      </c>
      <c r="D12" s="2">
        <v>39</v>
      </c>
      <c r="E12" s="2">
        <f t="shared" si="2"/>
        <v>1.3</v>
      </c>
      <c r="F12" s="6">
        <f t="shared" si="3"/>
        <v>2.2334054709334365E-2</v>
      </c>
      <c r="G12" s="39"/>
      <c r="H12" s="1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55.065482457436687</v>
      </c>
      <c r="D13" s="2">
        <v>37</v>
      </c>
      <c r="E13" s="2">
        <f t="shared" si="2"/>
        <v>1.3</v>
      </c>
      <c r="F13" s="6">
        <f t="shared" si="3"/>
        <v>2.3608255879803572E-2</v>
      </c>
      <c r="G13" s="39"/>
      <c r="H13" s="1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51.92388980384689</v>
      </c>
      <c r="D14" s="2">
        <v>34</v>
      </c>
      <c r="E14" s="2">
        <f t="shared" si="2"/>
        <v>1.2000000000000002</v>
      </c>
      <c r="F14" s="6">
        <f t="shared" si="3"/>
        <v>2.311074930120308E-2</v>
      </c>
      <c r="G14" s="39"/>
      <c r="H14" s="1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48.782297150257101</v>
      </c>
      <c r="D15" s="11">
        <v>33</v>
      </c>
      <c r="E15" s="2">
        <f t="shared" si="2"/>
        <v>1.1000000000000001</v>
      </c>
      <c r="F15" s="6">
        <f t="shared" si="3"/>
        <v>2.2549163615887709E-2</v>
      </c>
      <c r="G15" s="39"/>
      <c r="H15" s="1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45.640704496667311</v>
      </c>
      <c r="D16" s="11">
        <v>31</v>
      </c>
      <c r="E16" s="2">
        <f t="shared" si="2"/>
        <v>1.1000000000000001</v>
      </c>
      <c r="F16" s="6">
        <f t="shared" si="3"/>
        <v>2.410129317965112E-2</v>
      </c>
      <c r="G16" s="39"/>
      <c r="H16" s="19"/>
    </row>
    <row r="17" spans="1:8" x14ac:dyDescent="0.25">
      <c r="A17" s="3">
        <v>12</v>
      </c>
      <c r="B17" s="4">
        <f t="shared" si="0"/>
        <v>37.699111843077517</v>
      </c>
      <c r="C17" s="4">
        <f t="shared" si="1"/>
        <v>42.499111843077515</v>
      </c>
      <c r="D17" s="11">
        <v>28</v>
      </c>
      <c r="E17" s="2">
        <f t="shared" si="2"/>
        <v>1</v>
      </c>
      <c r="F17" s="6">
        <f t="shared" si="3"/>
        <v>2.3529903488156905E-2</v>
      </c>
      <c r="G17" s="39"/>
      <c r="H17" s="19"/>
    </row>
    <row r="18" spans="1:8" x14ac:dyDescent="0.25">
      <c r="A18" s="3">
        <v>11</v>
      </c>
      <c r="B18" s="4">
        <f t="shared" si="0"/>
        <v>34.557519189487721</v>
      </c>
      <c r="C18" s="4">
        <f t="shared" si="1"/>
        <v>39.357519189487718</v>
      </c>
      <c r="D18" s="11">
        <v>25</v>
      </c>
      <c r="E18" s="2">
        <f t="shared" si="2"/>
        <v>0.9</v>
      </c>
      <c r="F18" s="6">
        <f t="shared" si="3"/>
        <v>2.2867294954921534E-2</v>
      </c>
      <c r="G18" s="39"/>
      <c r="H18" s="19"/>
    </row>
    <row r="19" spans="1:8" x14ac:dyDescent="0.25">
      <c r="A19" s="3">
        <v>10</v>
      </c>
      <c r="B19" s="4">
        <f t="shared" si="0"/>
        <v>31.415926535897931</v>
      </c>
      <c r="C19" s="4">
        <f t="shared" si="1"/>
        <v>36.215926535897928</v>
      </c>
      <c r="D19" s="11">
        <v>24</v>
      </c>
      <c r="E19" s="2">
        <f t="shared" si="2"/>
        <v>0.8</v>
      </c>
      <c r="F19" s="6">
        <f t="shared" si="3"/>
        <v>2.2089728926499356E-2</v>
      </c>
      <c r="G19" s="39"/>
      <c r="H19" s="19"/>
    </row>
    <row r="20" spans="1:8" x14ac:dyDescent="0.25">
      <c r="A20" s="3">
        <v>9</v>
      </c>
      <c r="B20" s="4">
        <f t="shared" si="0"/>
        <v>28.274333882308138</v>
      </c>
      <c r="C20" s="4">
        <f t="shared" si="1"/>
        <v>33.074333882308139</v>
      </c>
      <c r="D20" s="11">
        <v>21</v>
      </c>
      <c r="E20" s="2">
        <f t="shared" si="2"/>
        <v>0.7</v>
      </c>
      <c r="F20" s="6">
        <f t="shared" si="3"/>
        <v>2.1164447407796123E-2</v>
      </c>
      <c r="G20" s="39"/>
      <c r="H20" s="19"/>
    </row>
    <row r="21" spans="1:8" x14ac:dyDescent="0.25">
      <c r="A21" s="3">
        <v>8</v>
      </c>
      <c r="B21" s="4">
        <f t="shared" si="0"/>
        <v>25.132741228718345</v>
      </c>
      <c r="C21" s="4">
        <f t="shared" si="1"/>
        <v>29.932741228718346</v>
      </c>
      <c r="D21" s="11">
        <v>19</v>
      </c>
      <c r="E21" s="2">
        <f t="shared" si="2"/>
        <v>0.7</v>
      </c>
      <c r="F21" s="6">
        <f t="shared" si="3"/>
        <v>2.3385763256737725E-2</v>
      </c>
      <c r="G21" s="39"/>
      <c r="H21" s="19"/>
    </row>
    <row r="22" spans="1:8" x14ac:dyDescent="0.25">
      <c r="A22" s="3">
        <v>7</v>
      </c>
      <c r="B22" s="4">
        <f t="shared" si="0"/>
        <v>21.991148575128552</v>
      </c>
      <c r="C22" s="4">
        <f t="shared" si="1"/>
        <v>26.791148575128553</v>
      </c>
      <c r="D22" s="11">
        <v>17</v>
      </c>
      <c r="E22" s="2">
        <f t="shared" si="2"/>
        <v>0.6</v>
      </c>
      <c r="F22" s="6">
        <f t="shared" si="3"/>
        <v>2.2395456406710663E-2</v>
      </c>
      <c r="G22" s="39"/>
      <c r="H22" s="19"/>
    </row>
    <row r="23" spans="1:8" x14ac:dyDescent="0.25">
      <c r="A23" s="3">
        <v>6</v>
      </c>
      <c r="B23" s="4">
        <f t="shared" si="0"/>
        <v>18.849555921538759</v>
      </c>
      <c r="C23" s="4">
        <f t="shared" si="1"/>
        <v>23.649555921538759</v>
      </c>
      <c r="D23" s="11">
        <v>15</v>
      </c>
      <c r="E23" s="2">
        <f t="shared" si="2"/>
        <v>0.5</v>
      </c>
      <c r="F23" s="6">
        <f t="shared" si="3"/>
        <v>2.1142046034979732E-2</v>
      </c>
      <c r="G23" s="39"/>
      <c r="H23" s="19"/>
    </row>
    <row r="24" spans="1:8" x14ac:dyDescent="0.25">
      <c r="A24" s="3">
        <v>5</v>
      </c>
      <c r="B24" s="4">
        <f t="shared" si="0"/>
        <v>15.707963267948966</v>
      </c>
      <c r="C24" s="4">
        <f t="shared" si="1"/>
        <v>20.507963267948966</v>
      </c>
      <c r="D24" s="9">
        <v>151</v>
      </c>
      <c r="E24" s="2">
        <f t="shared" si="2"/>
        <v>5.0999999999999996</v>
      </c>
      <c r="F24" s="6">
        <f t="shared" si="3"/>
        <v>0.2486838860283398</v>
      </c>
      <c r="G24" s="39">
        <f>AVERAGE(F24:F26)</f>
        <v>0.22762790754830844</v>
      </c>
      <c r="H24" s="19"/>
    </row>
    <row r="25" spans="1:8" x14ac:dyDescent="0.25">
      <c r="A25" s="3">
        <v>4</v>
      </c>
      <c r="B25" s="4">
        <f t="shared" si="0"/>
        <v>12.566370614359172</v>
      </c>
      <c r="C25" s="4">
        <f t="shared" si="1"/>
        <v>17.366370614359173</v>
      </c>
      <c r="D25" s="9">
        <v>120</v>
      </c>
      <c r="E25" s="2">
        <f t="shared" si="2"/>
        <v>4</v>
      </c>
      <c r="F25" s="6">
        <f t="shared" si="3"/>
        <v>0.2303302220610591</v>
      </c>
      <c r="G25" s="39"/>
      <c r="H25" s="19"/>
    </row>
    <row r="26" spans="1:8" x14ac:dyDescent="0.25">
      <c r="A26" s="3">
        <v>3</v>
      </c>
      <c r="B26" s="4">
        <f t="shared" si="0"/>
        <v>9.4247779607693793</v>
      </c>
      <c r="C26" s="4">
        <f t="shared" si="1"/>
        <v>14.22477796076938</v>
      </c>
      <c r="D26" s="9">
        <v>87</v>
      </c>
      <c r="E26" s="2">
        <f t="shared" si="2"/>
        <v>2.9</v>
      </c>
      <c r="F26" s="6">
        <f t="shared" si="3"/>
        <v>0.20386961455552638</v>
      </c>
      <c r="G26" s="39"/>
      <c r="H26" s="19"/>
    </row>
    <row r="27" spans="1:8" x14ac:dyDescent="0.25">
      <c r="A27" s="3">
        <v>2</v>
      </c>
      <c r="B27" s="4">
        <f t="shared" si="0"/>
        <v>6.2831853071795862</v>
      </c>
      <c r="C27" s="4">
        <f t="shared" si="1"/>
        <v>11.083185307179587</v>
      </c>
      <c r="D27" s="11">
        <v>0</v>
      </c>
      <c r="E27" s="2">
        <f t="shared" si="2"/>
        <v>0</v>
      </c>
      <c r="F27" s="6">
        <f t="shared" si="3"/>
        <v>0</v>
      </c>
      <c r="G27" s="39">
        <f>G4</f>
        <v>2.2629969795407129E-2</v>
      </c>
      <c r="H27" s="19"/>
    </row>
    <row r="28" spans="1:8" x14ac:dyDescent="0.25">
      <c r="A28" s="5" t="s">
        <v>11</v>
      </c>
      <c r="B28" s="5">
        <v>86.6</v>
      </c>
      <c r="C28" s="4">
        <f t="shared" si="1"/>
        <v>91.399999999999991</v>
      </c>
      <c r="D28" s="2">
        <v>60</v>
      </c>
      <c r="E28" s="2">
        <f t="shared" si="2"/>
        <v>2</v>
      </c>
      <c r="F28" s="6">
        <f t="shared" si="3"/>
        <v>2.1881838074398252E-2</v>
      </c>
      <c r="G28" s="39"/>
      <c r="H28" s="19"/>
    </row>
    <row r="29" spans="1:8" x14ac:dyDescent="0.25">
      <c r="A29" s="5" t="s">
        <v>12</v>
      </c>
      <c r="B29" s="5">
        <v>75</v>
      </c>
      <c r="C29" s="4">
        <f t="shared" si="1"/>
        <v>79.8</v>
      </c>
      <c r="D29" s="2">
        <v>55</v>
      </c>
      <c r="E29" s="2">
        <f t="shared" si="2"/>
        <v>1.9000000000000001</v>
      </c>
      <c r="F29" s="6">
        <f t="shared" si="3"/>
        <v>2.3809523809523812E-2</v>
      </c>
      <c r="G29" s="39"/>
      <c r="H29" s="19"/>
    </row>
    <row r="30" spans="1:8" x14ac:dyDescent="0.25">
      <c r="A30" s="5" t="s">
        <v>13</v>
      </c>
      <c r="B30" s="5">
        <v>100</v>
      </c>
      <c r="C30" s="4">
        <f t="shared" si="1"/>
        <v>104.8</v>
      </c>
      <c r="D30" s="2">
        <v>70</v>
      </c>
      <c r="E30" s="2">
        <f t="shared" si="2"/>
        <v>2.4</v>
      </c>
      <c r="F30" s="6">
        <f t="shared" si="3"/>
        <v>2.2900763358778626E-2</v>
      </c>
      <c r="G30" s="39"/>
      <c r="H30" s="19"/>
    </row>
    <row r="31" spans="1:8" x14ac:dyDescent="0.25">
      <c r="A31" s="5" t="s">
        <v>14</v>
      </c>
      <c r="B31" s="5">
        <v>800</v>
      </c>
      <c r="C31" s="4">
        <v>800</v>
      </c>
      <c r="D31" s="2"/>
      <c r="E31" s="2">
        <f t="shared" si="2"/>
        <v>0</v>
      </c>
      <c r="F31" s="6">
        <f t="shared" si="3"/>
        <v>0</v>
      </c>
      <c r="G31" s="39"/>
      <c r="H31" s="19"/>
    </row>
  </sheetData>
  <mergeCells count="3">
    <mergeCell ref="G27:G31"/>
    <mergeCell ref="G4:G23"/>
    <mergeCell ref="G24:G2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C207-9ED9-4C59-99FC-B70D9B38CA32}">
  <dimension ref="A1:J34"/>
  <sheetViews>
    <sheetView workbookViewId="0">
      <selection activeCell="E18" sqref="E18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s="10" t="s">
        <v>24</v>
      </c>
      <c r="C1" s="1" t="s">
        <v>8</v>
      </c>
      <c r="D1">
        <v>12.7</v>
      </c>
      <c r="E1" s="1" t="s">
        <v>86</v>
      </c>
      <c r="F1">
        <v>3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53</v>
      </c>
      <c r="G3" s="7" t="s">
        <v>52</v>
      </c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91.239816339744834</v>
      </c>
      <c r="D4" s="34" t="s">
        <v>63</v>
      </c>
      <c r="E4" s="33">
        <f>((LEFT(D4,SEARCH(":",D4)-1))+((RIGHT(D4,2))/60))</f>
        <v>4.0999999999999996</v>
      </c>
      <c r="F4" s="6">
        <f>E4/C4</f>
        <v>4.4936521844071327E-2</v>
      </c>
      <c r="G4" s="39">
        <f>AVERAGE(F4:F19,F28:F30)</f>
        <v>5.165475314107535E-2</v>
      </c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88.098223686155038</v>
      </c>
      <c r="D5" s="34" t="s">
        <v>64</v>
      </c>
      <c r="E5" s="33">
        <f t="shared" ref="E5:E31" si="2">((LEFT(D5,SEARCH(":",D5)-1))+((RIGHT(D5,2))/60))</f>
        <v>3.9333333333333336</v>
      </c>
      <c r="F5" s="6">
        <f t="shared" ref="F5:F31" si="3">E5/C5</f>
        <v>4.4647135535281754E-2</v>
      </c>
      <c r="G5" s="3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84.956631032565241</v>
      </c>
      <c r="D6" s="34" t="s">
        <v>65</v>
      </c>
      <c r="E6" s="33">
        <f t="shared" si="2"/>
        <v>3.8666666666666667</v>
      </c>
      <c r="F6" s="6">
        <f t="shared" si="3"/>
        <v>4.5513418077801501E-2</v>
      </c>
      <c r="G6" s="39"/>
      <c r="H6" s="19"/>
      <c r="J6" s="12" t="s">
        <v>23</v>
      </c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81.815038378975444</v>
      </c>
      <c r="D7" s="34" t="s">
        <v>66</v>
      </c>
      <c r="E7" s="33">
        <f t="shared" si="2"/>
        <v>3.7666666666666666</v>
      </c>
      <c r="F7" s="6">
        <f t="shared" si="3"/>
        <v>4.6038805839326138E-2</v>
      </c>
      <c r="G7" s="3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78.673445725385662</v>
      </c>
      <c r="D8" s="34" t="s">
        <v>67</v>
      </c>
      <c r="E8" s="33">
        <f t="shared" si="2"/>
        <v>3.6333333333333333</v>
      </c>
      <c r="F8" s="6">
        <f t="shared" si="3"/>
        <v>4.6182460928630216E-2</v>
      </c>
      <c r="G8" s="39"/>
      <c r="H8" s="19"/>
      <c r="J8" s="15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75.531853071795865</v>
      </c>
      <c r="D9" s="34" t="s">
        <v>68</v>
      </c>
      <c r="E9" s="33">
        <f t="shared" si="2"/>
        <v>3.5</v>
      </c>
      <c r="F9" s="6">
        <f t="shared" si="3"/>
        <v>4.633806609607629E-2</v>
      </c>
      <c r="G9" s="3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72.390260418206068</v>
      </c>
      <c r="D10" s="34" t="s">
        <v>69</v>
      </c>
      <c r="E10" s="33">
        <f t="shared" si="2"/>
        <v>3.3666666666666667</v>
      </c>
      <c r="F10" s="6">
        <f t="shared" si="3"/>
        <v>4.6507177170203327E-2</v>
      </c>
      <c r="G10" s="39"/>
      <c r="H10" s="19"/>
      <c r="J10" s="15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69.248667764616272</v>
      </c>
      <c r="D11" s="34" t="s">
        <v>70</v>
      </c>
      <c r="E11" s="33">
        <f t="shared" si="2"/>
        <v>3.2333333333333334</v>
      </c>
      <c r="F11" s="6">
        <f t="shared" si="3"/>
        <v>4.6691632311595996E-2</v>
      </c>
      <c r="G11" s="39"/>
      <c r="H11" s="1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66.107075111026489</v>
      </c>
      <c r="D12" s="34" t="s">
        <v>71</v>
      </c>
      <c r="E12" s="33">
        <f t="shared" si="2"/>
        <v>3.1</v>
      </c>
      <c r="F12" s="6">
        <f t="shared" si="3"/>
        <v>4.689361909891742E-2</v>
      </c>
      <c r="G12" s="39"/>
      <c r="H12" s="1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62.965482457436693</v>
      </c>
      <c r="D13" s="34" t="s">
        <v>72</v>
      </c>
      <c r="E13" s="33">
        <f t="shared" si="2"/>
        <v>2.9666666666666668</v>
      </c>
      <c r="F13" s="6">
        <f t="shared" si="3"/>
        <v>4.7115761698039389E-2</v>
      </c>
      <c r="G13" s="39"/>
      <c r="H13" s="1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59.823889803846896</v>
      </c>
      <c r="D14" s="34" t="s">
        <v>73</v>
      </c>
      <c r="E14" s="33">
        <f t="shared" si="2"/>
        <v>2.8333333333333335</v>
      </c>
      <c r="F14" s="6">
        <f t="shared" si="3"/>
        <v>4.7361235496778745E-2</v>
      </c>
      <c r="G14" s="39"/>
      <c r="H14" s="1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56.682297150257099</v>
      </c>
      <c r="D15" s="38" t="s">
        <v>65</v>
      </c>
      <c r="E15" s="33">
        <f t="shared" si="2"/>
        <v>3.8666666666666667</v>
      </c>
      <c r="F15" s="6">
        <f t="shared" si="3"/>
        <v>6.8216477825813179E-2</v>
      </c>
      <c r="G15" s="39"/>
      <c r="H15" s="1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53.540704496667317</v>
      </c>
      <c r="D16" s="38" t="s">
        <v>74</v>
      </c>
      <c r="E16" s="33">
        <f t="shared" si="2"/>
        <v>3.6666666666666665</v>
      </c>
      <c r="F16" s="6">
        <f t="shared" si="3"/>
        <v>6.8483720958413999E-2</v>
      </c>
      <c r="G16" s="39"/>
      <c r="H16" s="19"/>
    </row>
    <row r="17" spans="1:10" x14ac:dyDescent="0.25">
      <c r="A17" s="3">
        <v>12</v>
      </c>
      <c r="B17" s="4">
        <f t="shared" si="0"/>
        <v>37.699111843077517</v>
      </c>
      <c r="C17" s="4">
        <f t="shared" si="1"/>
        <v>50.39911184307752</v>
      </c>
      <c r="D17" s="38" t="s">
        <v>75</v>
      </c>
      <c r="E17" s="33">
        <f t="shared" si="2"/>
        <v>3.4333333333333336</v>
      </c>
      <c r="F17" s="6">
        <f t="shared" si="3"/>
        <v>6.812289359430275E-2</v>
      </c>
      <c r="G17" s="39"/>
      <c r="H17" s="19"/>
    </row>
    <row r="18" spans="1:10" x14ac:dyDescent="0.25">
      <c r="A18" s="3">
        <v>11</v>
      </c>
      <c r="B18" s="4">
        <f t="shared" si="0"/>
        <v>34.557519189487721</v>
      </c>
      <c r="C18" s="4">
        <f t="shared" si="1"/>
        <v>47.257519189487724</v>
      </c>
      <c r="D18" s="38" t="s">
        <v>76</v>
      </c>
      <c r="E18" s="33">
        <f t="shared" si="2"/>
        <v>2.7333333333333334</v>
      </c>
      <c r="F18" s="6">
        <f t="shared" si="3"/>
        <v>5.7839120212246652E-2</v>
      </c>
      <c r="G18" s="39"/>
      <c r="H18" s="19"/>
    </row>
    <row r="19" spans="1:10" x14ac:dyDescent="0.25">
      <c r="A19" s="3">
        <v>10</v>
      </c>
      <c r="B19" s="4">
        <f t="shared" si="0"/>
        <v>31.415926535897931</v>
      </c>
      <c r="C19" s="4">
        <f t="shared" si="1"/>
        <v>44.115926535897927</v>
      </c>
      <c r="D19" s="38" t="s">
        <v>77</v>
      </c>
      <c r="E19" s="33">
        <f t="shared" si="2"/>
        <v>3.4666666666666668</v>
      </c>
      <c r="F19" s="6">
        <f t="shared" si="3"/>
        <v>7.8580842314300653E-2</v>
      </c>
      <c r="G19" s="39"/>
      <c r="H19" s="19"/>
    </row>
    <row r="20" spans="1:10" x14ac:dyDescent="0.25">
      <c r="A20" s="3">
        <v>9</v>
      </c>
      <c r="B20" s="4">
        <f t="shared" si="0"/>
        <v>28.274333882308138</v>
      </c>
      <c r="C20" s="4">
        <f t="shared" si="1"/>
        <v>40.974333882308137</v>
      </c>
      <c r="D20" s="35" t="s">
        <v>78</v>
      </c>
      <c r="E20" s="33">
        <f t="shared" si="2"/>
        <v>18.233333333333334</v>
      </c>
      <c r="F20" s="6">
        <f t="shared" si="3"/>
        <v>0.44499401468503452</v>
      </c>
      <c r="G20" s="39">
        <f>AVERAGE(F20:F24)</f>
        <v>0.40482719243159082</v>
      </c>
      <c r="H20" s="19"/>
    </row>
    <row r="21" spans="1:10" x14ac:dyDescent="0.25">
      <c r="A21" s="3">
        <v>8</v>
      </c>
      <c r="B21" s="4">
        <f t="shared" si="0"/>
        <v>25.132741228718345</v>
      </c>
      <c r="C21" s="4">
        <f t="shared" si="1"/>
        <v>37.832741228718348</v>
      </c>
      <c r="D21" s="35" t="s">
        <v>79</v>
      </c>
      <c r="E21" s="33">
        <f t="shared" si="2"/>
        <v>16.333333333333332</v>
      </c>
      <c r="F21" s="6">
        <f t="shared" si="3"/>
        <v>0.43172481831517162</v>
      </c>
      <c r="G21" s="39"/>
      <c r="H21" s="19"/>
    </row>
    <row r="22" spans="1:10" x14ac:dyDescent="0.25">
      <c r="A22" s="3">
        <v>7</v>
      </c>
      <c r="B22" s="4">
        <f t="shared" si="0"/>
        <v>21.991148575128552</v>
      </c>
      <c r="C22" s="4">
        <f t="shared" si="1"/>
        <v>34.691148575128551</v>
      </c>
      <c r="D22" s="35" t="s">
        <v>80</v>
      </c>
      <c r="E22" s="33">
        <f t="shared" si="2"/>
        <v>14.333333333333334</v>
      </c>
      <c r="F22" s="6">
        <f t="shared" si="3"/>
        <v>0.41316975430468927</v>
      </c>
      <c r="G22" s="39"/>
      <c r="H22" s="19"/>
    </row>
    <row r="23" spans="1:10" x14ac:dyDescent="0.25">
      <c r="A23" s="3">
        <v>6</v>
      </c>
      <c r="B23" s="4">
        <f t="shared" si="0"/>
        <v>18.849555921538759</v>
      </c>
      <c r="C23" s="4">
        <f t="shared" si="1"/>
        <v>31.549555921538758</v>
      </c>
      <c r="D23" s="35" t="s">
        <v>81</v>
      </c>
      <c r="E23" s="33">
        <f t="shared" si="2"/>
        <v>12.133333333333333</v>
      </c>
      <c r="F23" s="6">
        <f t="shared" si="3"/>
        <v>0.38458016219017377</v>
      </c>
      <c r="G23" s="39"/>
      <c r="H23" s="19"/>
    </row>
    <row r="24" spans="1:10" x14ac:dyDescent="0.25">
      <c r="A24" s="3">
        <v>5</v>
      </c>
      <c r="B24" s="4">
        <f t="shared" si="0"/>
        <v>15.707963267948966</v>
      </c>
      <c r="C24" s="4">
        <f t="shared" si="1"/>
        <v>28.407963267948965</v>
      </c>
      <c r="D24" s="35" t="s">
        <v>82</v>
      </c>
      <c r="E24" s="33">
        <f t="shared" si="2"/>
        <v>9.9333333333333336</v>
      </c>
      <c r="F24" s="6">
        <f t="shared" si="3"/>
        <v>0.34966721266288492</v>
      </c>
      <c r="G24" s="39"/>
      <c r="H24" s="19"/>
    </row>
    <row r="25" spans="1:10" x14ac:dyDescent="0.25">
      <c r="A25" s="3">
        <v>4</v>
      </c>
      <c r="B25" s="4">
        <f t="shared" si="0"/>
        <v>12.566370614359172</v>
      </c>
      <c r="C25" s="4">
        <f t="shared" si="1"/>
        <v>25.266370614359172</v>
      </c>
      <c r="D25" s="36">
        <v>0</v>
      </c>
      <c r="E25" s="33" t="e">
        <f t="shared" si="2"/>
        <v>#VALUE!</v>
      </c>
      <c r="F25" s="6" t="e">
        <f t="shared" si="3"/>
        <v>#VALUE!</v>
      </c>
      <c r="G25" s="39">
        <f>G4</f>
        <v>5.165475314107535E-2</v>
      </c>
      <c r="H25" s="19"/>
    </row>
    <row r="26" spans="1:10" x14ac:dyDescent="0.25">
      <c r="A26" s="3">
        <v>3</v>
      </c>
      <c r="B26" s="4">
        <f t="shared" si="0"/>
        <v>9.4247779607693793</v>
      </c>
      <c r="C26" s="4">
        <f t="shared" si="1"/>
        <v>22.124777960769379</v>
      </c>
      <c r="D26" s="36">
        <v>0</v>
      </c>
      <c r="E26" s="33" t="e">
        <f t="shared" si="2"/>
        <v>#VALUE!</v>
      </c>
      <c r="F26" s="6" t="e">
        <f t="shared" si="3"/>
        <v>#VALUE!</v>
      </c>
      <c r="G26" s="39"/>
      <c r="H26" s="19"/>
    </row>
    <row r="27" spans="1:10" x14ac:dyDescent="0.25">
      <c r="A27" s="3">
        <v>2</v>
      </c>
      <c r="B27" s="4">
        <f t="shared" si="0"/>
        <v>6.2831853071795862</v>
      </c>
      <c r="C27" s="4">
        <f t="shared" si="1"/>
        <v>18.983185307179586</v>
      </c>
      <c r="D27" s="36">
        <v>0</v>
      </c>
      <c r="E27" s="33" t="e">
        <f t="shared" si="2"/>
        <v>#VALUE!</v>
      </c>
      <c r="F27" s="6" t="e">
        <f t="shared" si="3"/>
        <v>#VALUE!</v>
      </c>
      <c r="G27" s="39"/>
      <c r="H27" s="19"/>
    </row>
    <row r="28" spans="1:10" x14ac:dyDescent="0.25">
      <c r="A28" s="5" t="s">
        <v>11</v>
      </c>
      <c r="B28" s="5">
        <v>86.6</v>
      </c>
      <c r="C28" s="4">
        <f t="shared" si="1"/>
        <v>99.3</v>
      </c>
      <c r="D28" s="34" t="s">
        <v>59</v>
      </c>
      <c r="E28" s="33">
        <f t="shared" si="2"/>
        <v>4.2666666666666666</v>
      </c>
      <c r="F28" s="6">
        <f t="shared" si="3"/>
        <v>4.2967438737831487E-2</v>
      </c>
      <c r="G28" s="39"/>
      <c r="H28" s="19"/>
    </row>
    <row r="29" spans="1:10" x14ac:dyDescent="0.25">
      <c r="A29" s="5" t="s">
        <v>12</v>
      </c>
      <c r="B29" s="5">
        <v>75</v>
      </c>
      <c r="C29" s="4">
        <f t="shared" si="1"/>
        <v>87.7</v>
      </c>
      <c r="D29" s="34" t="s">
        <v>60</v>
      </c>
      <c r="E29" s="33">
        <f t="shared" si="2"/>
        <v>3.9666666666666668</v>
      </c>
      <c r="F29" s="6">
        <f t="shared" si="3"/>
        <v>4.5229950589129611E-2</v>
      </c>
      <c r="G29" s="39"/>
      <c r="H29" s="19"/>
      <c r="J29" s="15"/>
    </row>
    <row r="30" spans="1:10" x14ac:dyDescent="0.25">
      <c r="A30" s="5" t="s">
        <v>13</v>
      </c>
      <c r="B30" s="5">
        <v>100</v>
      </c>
      <c r="C30" s="4">
        <f t="shared" si="1"/>
        <v>112.7</v>
      </c>
      <c r="D30" s="34" t="s">
        <v>62</v>
      </c>
      <c r="E30" s="33">
        <f t="shared" si="2"/>
        <v>4.9333333333333336</v>
      </c>
      <c r="F30" s="6">
        <f t="shared" si="3"/>
        <v>4.3774031351671107E-2</v>
      </c>
      <c r="G30" s="39"/>
      <c r="H30" s="19"/>
    </row>
    <row r="31" spans="1:10" x14ac:dyDescent="0.25">
      <c r="A31" s="5" t="s">
        <v>14</v>
      </c>
      <c r="B31" s="5">
        <v>800</v>
      </c>
      <c r="C31" s="4">
        <v>800</v>
      </c>
      <c r="D31" s="34" t="s">
        <v>61</v>
      </c>
      <c r="E31" s="33">
        <f t="shared" si="2"/>
        <v>32.233333333333334</v>
      </c>
      <c r="F31" s="6">
        <f t="shared" si="3"/>
        <v>4.029166666666667E-2</v>
      </c>
      <c r="G31" s="39"/>
      <c r="H31" s="19"/>
    </row>
    <row r="32" spans="1:10" x14ac:dyDescent="0.25">
      <c r="D32" s="37" t="s">
        <v>83</v>
      </c>
      <c r="E32" s="15">
        <f>SUM(E4:E24,E28:E31)</f>
        <v>171.83333333333337</v>
      </c>
      <c r="F32" s="30">
        <f>(E32+E33+E34)/60</f>
        <v>4.3145555555555566</v>
      </c>
    </row>
    <row r="33" spans="3:5" x14ac:dyDescent="0.25">
      <c r="C33" t="s">
        <v>84</v>
      </c>
      <c r="D33">
        <v>3</v>
      </c>
      <c r="E33" s="30">
        <f>D33*25</f>
        <v>75</v>
      </c>
    </row>
    <row r="34" spans="3:5" x14ac:dyDescent="0.25">
      <c r="C34" t="s">
        <v>85</v>
      </c>
      <c r="D34">
        <v>28</v>
      </c>
      <c r="E34">
        <f>D34*0.43</f>
        <v>12.04</v>
      </c>
    </row>
  </sheetData>
  <mergeCells count="3">
    <mergeCell ref="G4:G19"/>
    <mergeCell ref="G20:G24"/>
    <mergeCell ref="G25:G3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AEE8-4B68-4A6D-B9CE-476FD00EF1E1}">
  <dimension ref="A1:J31"/>
  <sheetViews>
    <sheetView workbookViewId="0">
      <selection activeCell="H28" sqref="H28"/>
    </sheetView>
  </sheetViews>
  <sheetFormatPr defaultRowHeight="15" x14ac:dyDescent="0.25"/>
  <cols>
    <col min="1" max="1" width="10.140625" bestFit="1" customWidth="1"/>
    <col min="3" max="4" width="10" bestFit="1" customWidth="1"/>
    <col min="5" max="5" width="12.85546875" bestFit="1" customWidth="1"/>
    <col min="6" max="6" width="12.7109375" bestFit="1" customWidth="1"/>
    <col min="10" max="10" width="15.140625" bestFit="1" customWidth="1"/>
  </cols>
  <sheetData>
    <row r="1" spans="1:10" x14ac:dyDescent="0.25">
      <c r="A1" t="s">
        <v>7</v>
      </c>
      <c r="B1" s="10" t="s">
        <v>24</v>
      </c>
      <c r="C1" s="1" t="s">
        <v>8</v>
      </c>
      <c r="D1">
        <v>12.7</v>
      </c>
      <c r="E1" s="1" t="s">
        <v>16</v>
      </c>
      <c r="F1">
        <v>90</v>
      </c>
      <c r="H1" t="s">
        <v>15</v>
      </c>
    </row>
    <row r="2" spans="1:10" x14ac:dyDescent="0.25">
      <c r="H2" t="s">
        <v>17</v>
      </c>
      <c r="I2" t="s">
        <v>18</v>
      </c>
      <c r="J2" t="s">
        <v>19</v>
      </c>
    </row>
    <row r="3" spans="1:10" x14ac:dyDescent="0.25">
      <c r="A3" s="2" t="s">
        <v>0</v>
      </c>
      <c r="B3" s="2" t="s">
        <v>1</v>
      </c>
      <c r="C3" s="2" t="s">
        <v>9</v>
      </c>
      <c r="D3" s="2" t="s">
        <v>10</v>
      </c>
      <c r="E3" s="2" t="s">
        <v>25</v>
      </c>
      <c r="F3" s="7" t="s">
        <v>53</v>
      </c>
      <c r="G3" s="7" t="s">
        <v>52</v>
      </c>
      <c r="H3" s="7"/>
    </row>
    <row r="4" spans="1:10" x14ac:dyDescent="0.25">
      <c r="A4" s="3">
        <v>25</v>
      </c>
      <c r="B4" s="4">
        <f>A4*PI()</f>
        <v>78.539816339744831</v>
      </c>
      <c r="C4" s="4">
        <f>B4+$D$1</f>
        <v>91.239816339744834</v>
      </c>
      <c r="D4" s="2">
        <v>123</v>
      </c>
      <c r="E4" s="2">
        <f>ROUNDUP(D4/30,1)</f>
        <v>4.0999999999999996</v>
      </c>
      <c r="F4" s="6">
        <f>E4/C4</f>
        <v>4.4936521844071327E-2</v>
      </c>
      <c r="G4" s="39">
        <f>AVERAGE(F4:F19,F28:F30)</f>
        <v>5.225885206515677E-2</v>
      </c>
      <c r="H4" s="19"/>
      <c r="J4" t="s">
        <v>20</v>
      </c>
    </row>
    <row r="5" spans="1:10" x14ac:dyDescent="0.25">
      <c r="A5" s="3">
        <v>24</v>
      </c>
      <c r="B5" s="4">
        <f t="shared" ref="B5:B27" si="0">A5*PI()</f>
        <v>75.398223686155035</v>
      </c>
      <c r="C5" s="4">
        <f t="shared" ref="C5:C30" si="1">B5+$D$1</f>
        <v>88.098223686155038</v>
      </c>
      <c r="D5" s="2">
        <v>118</v>
      </c>
      <c r="E5" s="2">
        <f t="shared" ref="E5:E30" si="2">ROUNDUP(D5/30,1)</f>
        <v>4</v>
      </c>
      <c r="F5" s="6">
        <f t="shared" ref="F5:F31" si="3">E5/C5</f>
        <v>4.5403866646049243E-2</v>
      </c>
      <c r="G5" s="39"/>
      <c r="H5" s="19"/>
      <c r="J5" s="8" t="s">
        <v>21</v>
      </c>
    </row>
    <row r="6" spans="1:10" x14ac:dyDescent="0.25">
      <c r="A6" s="3">
        <v>23</v>
      </c>
      <c r="B6" s="4">
        <f t="shared" si="0"/>
        <v>72.256631032565238</v>
      </c>
      <c r="C6" s="4">
        <f t="shared" si="1"/>
        <v>84.956631032565241</v>
      </c>
      <c r="D6" s="2">
        <v>116</v>
      </c>
      <c r="E6" s="2">
        <f t="shared" si="2"/>
        <v>3.9</v>
      </c>
      <c r="F6" s="6">
        <f t="shared" si="3"/>
        <v>4.5905775130196336E-2</v>
      </c>
      <c r="G6" s="39"/>
      <c r="H6" s="19"/>
      <c r="J6" s="12" t="s">
        <v>23</v>
      </c>
    </row>
    <row r="7" spans="1:10" x14ac:dyDescent="0.25">
      <c r="A7" s="3">
        <v>22</v>
      </c>
      <c r="B7" s="4">
        <f t="shared" si="0"/>
        <v>69.115038378975441</v>
      </c>
      <c r="C7" s="4">
        <f t="shared" si="1"/>
        <v>81.815038378975444</v>
      </c>
      <c r="D7" s="2">
        <v>113</v>
      </c>
      <c r="E7" s="2">
        <f t="shared" si="2"/>
        <v>3.8000000000000003</v>
      </c>
      <c r="F7" s="6">
        <f t="shared" si="3"/>
        <v>4.6446228899851151E-2</v>
      </c>
      <c r="G7" s="39"/>
      <c r="H7" s="19"/>
    </row>
    <row r="8" spans="1:10" x14ac:dyDescent="0.25">
      <c r="A8" s="3">
        <v>21</v>
      </c>
      <c r="B8" s="4">
        <f t="shared" si="0"/>
        <v>65.973445725385659</v>
      </c>
      <c r="C8" s="4">
        <f t="shared" si="1"/>
        <v>78.673445725385662</v>
      </c>
      <c r="D8" s="2">
        <v>109</v>
      </c>
      <c r="E8" s="2">
        <f t="shared" si="2"/>
        <v>3.7</v>
      </c>
      <c r="F8" s="6">
        <f t="shared" si="3"/>
        <v>4.7029845532825271E-2</v>
      </c>
      <c r="G8" s="39"/>
      <c r="H8" s="19"/>
    </row>
    <row r="9" spans="1:10" x14ac:dyDescent="0.25">
      <c r="A9" s="3">
        <v>20</v>
      </c>
      <c r="B9" s="4">
        <f t="shared" si="0"/>
        <v>62.831853071795862</v>
      </c>
      <c r="C9" s="4">
        <f t="shared" si="1"/>
        <v>75.531853071795865</v>
      </c>
      <c r="D9" s="2">
        <v>105</v>
      </c>
      <c r="E9" s="2">
        <f t="shared" si="2"/>
        <v>3.5</v>
      </c>
      <c r="F9" s="6">
        <f t="shared" si="3"/>
        <v>4.633806609607629E-2</v>
      </c>
      <c r="G9" s="39"/>
      <c r="H9" s="19"/>
    </row>
    <row r="10" spans="1:10" x14ac:dyDescent="0.25">
      <c r="A10" s="3">
        <v>19</v>
      </c>
      <c r="B10" s="4">
        <f t="shared" si="0"/>
        <v>59.690260418206066</v>
      </c>
      <c r="C10" s="4">
        <f t="shared" si="1"/>
        <v>72.390260418206068</v>
      </c>
      <c r="D10" s="2">
        <v>101</v>
      </c>
      <c r="E10" s="2">
        <f t="shared" si="2"/>
        <v>3.4</v>
      </c>
      <c r="F10" s="6">
        <f t="shared" si="3"/>
        <v>4.6967644270898404E-2</v>
      </c>
      <c r="G10" s="39"/>
      <c r="H10" s="19"/>
    </row>
    <row r="11" spans="1:10" x14ac:dyDescent="0.25">
      <c r="A11" s="3">
        <v>18</v>
      </c>
      <c r="B11" s="4">
        <f t="shared" si="0"/>
        <v>56.548667764616276</v>
      </c>
      <c r="C11" s="4">
        <f t="shared" si="1"/>
        <v>69.248667764616272</v>
      </c>
      <c r="D11" s="2">
        <v>97</v>
      </c>
      <c r="E11" s="2">
        <f t="shared" si="2"/>
        <v>3.3000000000000003</v>
      </c>
      <c r="F11" s="6">
        <f t="shared" si="3"/>
        <v>4.7654346379876332E-2</v>
      </c>
      <c r="G11" s="39"/>
      <c r="H11" s="19"/>
    </row>
    <row r="12" spans="1:10" x14ac:dyDescent="0.25">
      <c r="A12" s="3">
        <v>17</v>
      </c>
      <c r="B12" s="4">
        <f t="shared" si="0"/>
        <v>53.407075111026487</v>
      </c>
      <c r="C12" s="4">
        <f t="shared" si="1"/>
        <v>66.107075111026489</v>
      </c>
      <c r="D12" s="2">
        <v>93</v>
      </c>
      <c r="E12" s="2">
        <f t="shared" si="2"/>
        <v>3.1</v>
      </c>
      <c r="F12" s="6">
        <f t="shared" si="3"/>
        <v>4.689361909891742E-2</v>
      </c>
      <c r="G12" s="39"/>
      <c r="H12" s="19"/>
    </row>
    <row r="13" spans="1:10" x14ac:dyDescent="0.25">
      <c r="A13" s="3">
        <v>16</v>
      </c>
      <c r="B13" s="4">
        <f t="shared" si="0"/>
        <v>50.26548245743669</v>
      </c>
      <c r="C13" s="4">
        <f t="shared" si="1"/>
        <v>62.965482457436693</v>
      </c>
      <c r="D13" s="2">
        <v>88</v>
      </c>
      <c r="E13" s="2">
        <f t="shared" si="2"/>
        <v>3</v>
      </c>
      <c r="F13" s="6">
        <f t="shared" si="3"/>
        <v>4.7645152278916234E-2</v>
      </c>
      <c r="G13" s="39"/>
      <c r="H13" s="19"/>
    </row>
    <row r="14" spans="1:10" x14ac:dyDescent="0.25">
      <c r="A14" s="3">
        <v>15</v>
      </c>
      <c r="B14" s="4">
        <f t="shared" si="0"/>
        <v>47.123889803846893</v>
      </c>
      <c r="C14" s="4">
        <f t="shared" si="1"/>
        <v>59.823889803846896</v>
      </c>
      <c r="D14" s="2">
        <v>85</v>
      </c>
      <c r="E14" s="2">
        <f t="shared" si="2"/>
        <v>2.9</v>
      </c>
      <c r="F14" s="6">
        <f t="shared" si="3"/>
        <v>4.8475617508467649E-2</v>
      </c>
      <c r="G14" s="39"/>
      <c r="H14" s="19"/>
    </row>
    <row r="15" spans="1:10" x14ac:dyDescent="0.25">
      <c r="A15" s="3">
        <v>14</v>
      </c>
      <c r="B15" s="4">
        <f t="shared" si="0"/>
        <v>43.982297150257104</v>
      </c>
      <c r="C15" s="4">
        <f t="shared" si="1"/>
        <v>56.682297150257099</v>
      </c>
      <c r="D15" s="13">
        <v>116</v>
      </c>
      <c r="E15" s="2">
        <f t="shared" si="2"/>
        <v>3.9</v>
      </c>
      <c r="F15" s="6">
        <f t="shared" si="3"/>
        <v>6.8804550910518458E-2</v>
      </c>
      <c r="G15" s="39"/>
      <c r="H15" s="19"/>
    </row>
    <row r="16" spans="1:10" x14ac:dyDescent="0.25">
      <c r="A16" s="3">
        <v>13</v>
      </c>
      <c r="B16" s="4">
        <f t="shared" si="0"/>
        <v>40.840704496667314</v>
      </c>
      <c r="C16" s="4">
        <f t="shared" si="1"/>
        <v>53.540704496667317</v>
      </c>
      <c r="D16" s="13">
        <v>110</v>
      </c>
      <c r="E16" s="2">
        <f t="shared" si="2"/>
        <v>3.7</v>
      </c>
      <c r="F16" s="6">
        <f t="shared" si="3"/>
        <v>6.9106300239854132E-2</v>
      </c>
      <c r="G16" s="39"/>
      <c r="H16" s="19"/>
    </row>
    <row r="17" spans="1:8" x14ac:dyDescent="0.25">
      <c r="A17" s="3">
        <v>12</v>
      </c>
      <c r="B17" s="4">
        <f t="shared" si="0"/>
        <v>37.699111843077517</v>
      </c>
      <c r="C17" s="4">
        <f t="shared" si="1"/>
        <v>50.39911184307752</v>
      </c>
      <c r="D17" s="13">
        <v>103</v>
      </c>
      <c r="E17" s="2">
        <f t="shared" si="2"/>
        <v>3.5</v>
      </c>
      <c r="F17" s="6">
        <f t="shared" si="3"/>
        <v>6.9445668227201829E-2</v>
      </c>
      <c r="G17" s="39"/>
      <c r="H17" s="19"/>
    </row>
    <row r="18" spans="1:8" x14ac:dyDescent="0.25">
      <c r="A18" s="3">
        <v>11</v>
      </c>
      <c r="B18" s="4">
        <f t="shared" si="0"/>
        <v>34.557519189487721</v>
      </c>
      <c r="C18" s="4">
        <f t="shared" si="1"/>
        <v>47.257519189487724</v>
      </c>
      <c r="D18" s="13">
        <v>82</v>
      </c>
      <c r="E18" s="2">
        <f t="shared" si="2"/>
        <v>2.8000000000000003</v>
      </c>
      <c r="F18" s="6">
        <f t="shared" si="3"/>
        <v>5.9249830461325842E-2</v>
      </c>
      <c r="G18" s="39"/>
      <c r="H18" s="19"/>
    </row>
    <row r="19" spans="1:8" x14ac:dyDescent="0.25">
      <c r="A19" s="3">
        <v>10</v>
      </c>
      <c r="B19" s="4">
        <f t="shared" si="0"/>
        <v>31.415926535897931</v>
      </c>
      <c r="C19" s="4">
        <f t="shared" si="1"/>
        <v>44.115926535897927</v>
      </c>
      <c r="D19" s="13">
        <v>104</v>
      </c>
      <c r="E19" s="2">
        <f t="shared" si="2"/>
        <v>3.5</v>
      </c>
      <c r="F19" s="6">
        <f t="shared" si="3"/>
        <v>7.9336427336553536E-2</v>
      </c>
      <c r="G19" s="39"/>
      <c r="H19" s="19"/>
    </row>
    <row r="20" spans="1:8" x14ac:dyDescent="0.25">
      <c r="A20" s="3">
        <v>9</v>
      </c>
      <c r="B20" s="4">
        <f t="shared" si="0"/>
        <v>28.274333882308138</v>
      </c>
      <c r="C20" s="4">
        <f t="shared" si="1"/>
        <v>40.974333882308137</v>
      </c>
      <c r="D20" s="9">
        <v>547</v>
      </c>
      <c r="E20" s="2">
        <f t="shared" si="2"/>
        <v>18.3</v>
      </c>
      <c r="F20" s="6">
        <f t="shared" si="3"/>
        <v>0.44662104947364523</v>
      </c>
      <c r="G20" s="39">
        <f>AVERAGE(F20:F24)</f>
        <v>0.40678133929607235</v>
      </c>
      <c r="H20" s="19"/>
    </row>
    <row r="21" spans="1:8" x14ac:dyDescent="0.25">
      <c r="A21" s="3">
        <v>8</v>
      </c>
      <c r="B21" s="4">
        <f t="shared" si="0"/>
        <v>25.132741228718345</v>
      </c>
      <c r="C21" s="4">
        <f t="shared" si="1"/>
        <v>37.832741228718348</v>
      </c>
      <c r="D21" s="9">
        <v>490</v>
      </c>
      <c r="E21" s="2">
        <f t="shared" si="2"/>
        <v>16.400000000000002</v>
      </c>
      <c r="F21" s="6">
        <f t="shared" si="3"/>
        <v>0.43348696043074386</v>
      </c>
      <c r="G21" s="39"/>
      <c r="H21" s="19"/>
    </row>
    <row r="22" spans="1:8" x14ac:dyDescent="0.25">
      <c r="A22" s="3">
        <v>7</v>
      </c>
      <c r="B22" s="4">
        <f t="shared" si="0"/>
        <v>21.991148575128552</v>
      </c>
      <c r="C22" s="4">
        <f t="shared" si="1"/>
        <v>34.691148575128551</v>
      </c>
      <c r="D22" s="9">
        <v>430</v>
      </c>
      <c r="E22" s="2">
        <f t="shared" si="2"/>
        <v>14.4</v>
      </c>
      <c r="F22" s="6">
        <f t="shared" si="3"/>
        <v>0.41509147409215291</v>
      </c>
      <c r="G22" s="39"/>
      <c r="H22" s="19"/>
    </row>
    <row r="23" spans="1:8" x14ac:dyDescent="0.25">
      <c r="A23" s="3">
        <v>6</v>
      </c>
      <c r="B23" s="4">
        <f t="shared" si="0"/>
        <v>18.849555921538759</v>
      </c>
      <c r="C23" s="4">
        <f t="shared" si="1"/>
        <v>31.549555921538758</v>
      </c>
      <c r="D23" s="9">
        <v>364</v>
      </c>
      <c r="E23" s="2">
        <f t="shared" si="2"/>
        <v>12.2</v>
      </c>
      <c r="F23" s="6">
        <f t="shared" si="3"/>
        <v>0.38669324000440547</v>
      </c>
      <c r="G23" s="39"/>
      <c r="H23" s="19"/>
    </row>
    <row r="24" spans="1:8" x14ac:dyDescent="0.25">
      <c r="A24" s="3">
        <v>5</v>
      </c>
      <c r="B24" s="4">
        <f t="shared" si="0"/>
        <v>15.707963267948966</v>
      </c>
      <c r="C24" s="4">
        <f t="shared" si="1"/>
        <v>28.407963267948965</v>
      </c>
      <c r="D24" s="9">
        <v>298</v>
      </c>
      <c r="E24" s="2">
        <f t="shared" si="2"/>
        <v>10</v>
      </c>
      <c r="F24" s="6">
        <f t="shared" si="3"/>
        <v>0.35201397247941435</v>
      </c>
      <c r="G24" s="39"/>
      <c r="H24" s="19"/>
    </row>
    <row r="25" spans="1:8" x14ac:dyDescent="0.25">
      <c r="A25" s="3">
        <v>4</v>
      </c>
      <c r="B25" s="4">
        <f t="shared" si="0"/>
        <v>12.566370614359172</v>
      </c>
      <c r="C25" s="4">
        <f t="shared" si="1"/>
        <v>25.266370614359172</v>
      </c>
      <c r="D25" s="11">
        <v>0</v>
      </c>
      <c r="E25" s="2">
        <f t="shared" si="2"/>
        <v>0</v>
      </c>
      <c r="F25" s="6">
        <f t="shared" si="3"/>
        <v>0</v>
      </c>
      <c r="G25" s="39">
        <f>G4</f>
        <v>5.225885206515677E-2</v>
      </c>
      <c r="H25" s="19"/>
    </row>
    <row r="26" spans="1:8" x14ac:dyDescent="0.25">
      <c r="A26" s="3">
        <v>3</v>
      </c>
      <c r="B26" s="4">
        <f t="shared" si="0"/>
        <v>9.4247779607693793</v>
      </c>
      <c r="C26" s="4">
        <f t="shared" si="1"/>
        <v>22.124777960769379</v>
      </c>
      <c r="D26" s="11">
        <v>0</v>
      </c>
      <c r="E26" s="2">
        <f t="shared" si="2"/>
        <v>0</v>
      </c>
      <c r="F26" s="6">
        <f t="shared" si="3"/>
        <v>0</v>
      </c>
      <c r="G26" s="39"/>
      <c r="H26" s="19"/>
    </row>
    <row r="27" spans="1:8" x14ac:dyDescent="0.25">
      <c r="A27" s="3">
        <v>2</v>
      </c>
      <c r="B27" s="4">
        <f t="shared" si="0"/>
        <v>6.2831853071795862</v>
      </c>
      <c r="C27" s="4">
        <f t="shared" si="1"/>
        <v>18.983185307179586</v>
      </c>
      <c r="D27" s="11">
        <v>0</v>
      </c>
      <c r="E27" s="2">
        <f t="shared" si="2"/>
        <v>0</v>
      </c>
      <c r="F27" s="6">
        <f t="shared" si="3"/>
        <v>0</v>
      </c>
      <c r="G27" s="39"/>
      <c r="H27" s="19"/>
    </row>
    <row r="28" spans="1:8" x14ac:dyDescent="0.25">
      <c r="A28" s="5" t="s">
        <v>11</v>
      </c>
      <c r="B28" s="5">
        <v>86.6</v>
      </c>
      <c r="C28" s="4">
        <f t="shared" si="1"/>
        <v>99.3</v>
      </c>
      <c r="D28" s="2">
        <v>128</v>
      </c>
      <c r="E28" s="2">
        <f t="shared" si="2"/>
        <v>4.3</v>
      </c>
      <c r="F28" s="6">
        <f t="shared" si="3"/>
        <v>4.3303121852970798E-2</v>
      </c>
      <c r="G28" s="39"/>
      <c r="H28" s="19"/>
    </row>
    <row r="29" spans="1:8" x14ac:dyDescent="0.25">
      <c r="A29" s="5" t="s">
        <v>12</v>
      </c>
      <c r="B29" s="5">
        <v>75</v>
      </c>
      <c r="C29" s="4">
        <f t="shared" si="1"/>
        <v>87.7</v>
      </c>
      <c r="D29" s="2">
        <v>119</v>
      </c>
      <c r="E29" s="2">
        <f t="shared" si="2"/>
        <v>4</v>
      </c>
      <c r="F29" s="6">
        <f t="shared" si="3"/>
        <v>4.5610034207525657E-2</v>
      </c>
      <c r="G29" s="39"/>
      <c r="H29" s="19"/>
    </row>
    <row r="30" spans="1:8" x14ac:dyDescent="0.25">
      <c r="A30" s="5" t="s">
        <v>13</v>
      </c>
      <c r="B30" s="5">
        <v>100</v>
      </c>
      <c r="C30" s="4">
        <f t="shared" si="1"/>
        <v>112.7</v>
      </c>
      <c r="D30" s="2">
        <v>148</v>
      </c>
      <c r="E30" s="2">
        <f t="shared" si="2"/>
        <v>5</v>
      </c>
      <c r="F30" s="6">
        <f t="shared" si="3"/>
        <v>4.4365572315882874E-2</v>
      </c>
      <c r="G30" s="39"/>
      <c r="H30" s="19"/>
    </row>
    <row r="31" spans="1:8" x14ac:dyDescent="0.25">
      <c r="A31" s="5" t="s">
        <v>14</v>
      </c>
      <c r="B31" s="5">
        <v>800</v>
      </c>
      <c r="C31" s="4">
        <v>800</v>
      </c>
      <c r="D31" s="2"/>
      <c r="E31" s="2">
        <v>32.299999999999997</v>
      </c>
      <c r="F31" s="6">
        <f t="shared" si="3"/>
        <v>4.0374999999999994E-2</v>
      </c>
      <c r="G31" s="39"/>
      <c r="H31" s="19"/>
    </row>
  </sheetData>
  <mergeCells count="3">
    <mergeCell ref="G25:G31"/>
    <mergeCell ref="G4:G19"/>
    <mergeCell ref="G20:G2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6169-F2A0-451E-8C0A-AAC38428217E}">
  <dimension ref="A1"/>
  <sheetViews>
    <sheetView tabSelected="1" zoomScaleNormal="100" workbookViewId="0">
      <selection activeCell="Y27" sqref="Y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F1-DD33-4B3D-8CC6-2D8D2B932A21}">
  <dimension ref="A1:N25"/>
  <sheetViews>
    <sheetView zoomScale="160" zoomScaleNormal="160" workbookViewId="0">
      <selection activeCell="M9" sqref="M9"/>
    </sheetView>
  </sheetViews>
  <sheetFormatPr defaultRowHeight="15" x14ac:dyDescent="0.25"/>
  <sheetData>
    <row r="1" spans="1:14" x14ac:dyDescent="0.25">
      <c r="A1" s="2" t="s">
        <v>0</v>
      </c>
      <c r="B1" s="23" t="s">
        <v>41</v>
      </c>
      <c r="C1" s="21" t="s">
        <v>27</v>
      </c>
      <c r="D1" s="23" t="s">
        <v>40</v>
      </c>
      <c r="E1" s="21" t="s">
        <v>28</v>
      </c>
      <c r="F1" s="23" t="s">
        <v>39</v>
      </c>
      <c r="G1" s="21" t="s">
        <v>29</v>
      </c>
      <c r="H1" s="23" t="s">
        <v>38</v>
      </c>
      <c r="I1" s="21" t="s">
        <v>30</v>
      </c>
      <c r="J1" s="22" t="s">
        <v>3</v>
      </c>
      <c r="K1" s="24" t="s">
        <v>37</v>
      </c>
      <c r="L1" s="24" t="s">
        <v>35</v>
      </c>
      <c r="M1" s="22" t="s">
        <v>24</v>
      </c>
      <c r="N1" s="24" t="s">
        <v>34</v>
      </c>
    </row>
    <row r="2" spans="1:14" x14ac:dyDescent="0.25">
      <c r="A2" s="3">
        <v>2</v>
      </c>
      <c r="B2" s="23">
        <v>7</v>
      </c>
      <c r="C2" s="21">
        <v>7</v>
      </c>
      <c r="D2" s="23"/>
      <c r="E2" s="21"/>
      <c r="F2" s="23"/>
      <c r="G2" s="21"/>
      <c r="H2" s="23"/>
      <c r="I2" s="21"/>
      <c r="J2" s="21"/>
      <c r="K2" s="23"/>
      <c r="L2" s="23"/>
      <c r="M2" s="21"/>
      <c r="N2" s="23"/>
    </row>
    <row r="3" spans="1:14" x14ac:dyDescent="0.25">
      <c r="A3" s="3">
        <v>3</v>
      </c>
      <c r="B3" s="23">
        <v>9</v>
      </c>
      <c r="C3" s="21">
        <v>9</v>
      </c>
      <c r="D3" s="23">
        <f>AVERAGE(C3,E3)</f>
        <v>9</v>
      </c>
      <c r="E3" s="21">
        <v>9</v>
      </c>
      <c r="F3" s="23"/>
      <c r="G3" s="21"/>
      <c r="H3" s="23"/>
      <c r="I3" s="21"/>
      <c r="J3" s="21"/>
      <c r="K3" s="23"/>
      <c r="L3" s="23"/>
      <c r="M3" s="21"/>
      <c r="N3" s="23"/>
    </row>
    <row r="4" spans="1:14" x14ac:dyDescent="0.25">
      <c r="A4" s="3">
        <v>4</v>
      </c>
      <c r="B4" s="23">
        <v>10</v>
      </c>
      <c r="C4" s="21">
        <v>10</v>
      </c>
      <c r="D4" s="23">
        <f t="shared" ref="D4:D25" si="0">AVERAGE(C4,E4)</f>
        <v>10</v>
      </c>
      <c r="E4" s="21">
        <v>10</v>
      </c>
      <c r="F4" s="23">
        <f>AVERAGE(E4,G4)</f>
        <v>9.5</v>
      </c>
      <c r="G4" s="21">
        <v>9</v>
      </c>
      <c r="H4" s="23"/>
      <c r="I4" s="21"/>
      <c r="J4" s="21"/>
      <c r="K4" s="23"/>
      <c r="L4" s="23"/>
      <c r="M4" s="21"/>
      <c r="N4" s="23"/>
    </row>
    <row r="5" spans="1:14" x14ac:dyDescent="0.25">
      <c r="A5" s="3">
        <v>5</v>
      </c>
      <c r="B5" s="23">
        <v>11</v>
      </c>
      <c r="C5" s="21">
        <v>11</v>
      </c>
      <c r="D5" s="23">
        <f t="shared" si="0"/>
        <v>11</v>
      </c>
      <c r="E5" s="21">
        <v>11</v>
      </c>
      <c r="F5" s="23">
        <f t="shared" ref="F5:F25" si="1">AVERAGE(E5,G5)</f>
        <v>11</v>
      </c>
      <c r="G5" s="21">
        <v>11</v>
      </c>
      <c r="H5" s="23">
        <f>AVERAGE((G5,I5))</f>
        <v>12.5</v>
      </c>
      <c r="I5" s="21">
        <v>14</v>
      </c>
      <c r="J5" s="21"/>
      <c r="K5" s="23"/>
      <c r="L5" s="23"/>
      <c r="M5" s="21"/>
      <c r="N5" s="23"/>
    </row>
    <row r="6" spans="1:14" x14ac:dyDescent="0.25">
      <c r="A6" s="3">
        <v>6</v>
      </c>
      <c r="B6" s="23">
        <v>13</v>
      </c>
      <c r="C6" s="21">
        <v>13</v>
      </c>
      <c r="D6" s="23">
        <f t="shared" si="0"/>
        <v>12</v>
      </c>
      <c r="E6" s="21">
        <v>11</v>
      </c>
      <c r="F6" s="23">
        <f t="shared" si="1"/>
        <v>11.5</v>
      </c>
      <c r="G6" s="21">
        <v>12</v>
      </c>
      <c r="H6" s="23">
        <f>AVERAGE((G6,I6))</f>
        <v>14</v>
      </c>
      <c r="I6" s="21">
        <v>16</v>
      </c>
      <c r="J6" s="21">
        <v>15</v>
      </c>
      <c r="K6" s="23"/>
      <c r="L6" s="23"/>
      <c r="M6" s="21"/>
      <c r="N6" s="23"/>
    </row>
    <row r="7" spans="1:14" x14ac:dyDescent="0.25">
      <c r="A7" s="3">
        <v>7</v>
      </c>
      <c r="B7" s="23">
        <v>13</v>
      </c>
      <c r="C7" s="21">
        <v>13</v>
      </c>
      <c r="D7" s="23">
        <f t="shared" si="0"/>
        <v>13</v>
      </c>
      <c r="E7" s="21">
        <v>13</v>
      </c>
      <c r="F7" s="23">
        <f t="shared" si="1"/>
        <v>13.5</v>
      </c>
      <c r="G7" s="21">
        <v>14</v>
      </c>
      <c r="H7" s="23">
        <f>AVERAGE((G7,I7))</f>
        <v>16</v>
      </c>
      <c r="I7" s="21">
        <v>18</v>
      </c>
      <c r="J7" s="21">
        <v>17</v>
      </c>
      <c r="K7" s="23">
        <f>AVERAGE(J7,L7)</f>
        <v>17</v>
      </c>
      <c r="L7" s="23"/>
      <c r="M7" s="21"/>
      <c r="N7" s="23"/>
    </row>
    <row r="8" spans="1:14" x14ac:dyDescent="0.25">
      <c r="A8" s="3">
        <v>8</v>
      </c>
      <c r="B8" s="23">
        <v>15</v>
      </c>
      <c r="C8" s="21">
        <v>15</v>
      </c>
      <c r="D8" s="23">
        <f t="shared" si="0"/>
        <v>14.5</v>
      </c>
      <c r="E8" s="21">
        <v>14</v>
      </c>
      <c r="F8" s="23">
        <f t="shared" si="1"/>
        <v>14.5</v>
      </c>
      <c r="G8" s="21">
        <v>15</v>
      </c>
      <c r="H8" s="23">
        <f>AVERAGE((G8,I8))</f>
        <v>18</v>
      </c>
      <c r="I8" s="21">
        <v>21</v>
      </c>
      <c r="J8" s="21">
        <v>19</v>
      </c>
      <c r="K8" s="23">
        <f t="shared" ref="K8:K25" si="2">AVERAGE(J8,L8)</f>
        <v>21.375</v>
      </c>
      <c r="L8" s="23">
        <f t="shared" ref="L8:L13" si="3">J8+(J8*0.25)</f>
        <v>23.75</v>
      </c>
      <c r="M8" s="21"/>
      <c r="N8" s="23"/>
    </row>
    <row r="9" spans="1:14" x14ac:dyDescent="0.25">
      <c r="A9" s="3">
        <v>9</v>
      </c>
      <c r="B9" s="23">
        <v>15</v>
      </c>
      <c r="C9" s="21">
        <v>15</v>
      </c>
      <c r="D9" s="23">
        <f t="shared" si="0"/>
        <v>15</v>
      </c>
      <c r="E9" s="21">
        <v>15</v>
      </c>
      <c r="F9" s="23">
        <f t="shared" si="1"/>
        <v>16</v>
      </c>
      <c r="G9" s="21">
        <v>17</v>
      </c>
      <c r="H9" s="23">
        <f>AVERAGE((G9,I9))</f>
        <v>20</v>
      </c>
      <c r="I9" s="21">
        <v>23</v>
      </c>
      <c r="J9" s="21">
        <v>21</v>
      </c>
      <c r="K9" s="23">
        <f t="shared" si="2"/>
        <v>23.625</v>
      </c>
      <c r="L9" s="23">
        <f t="shared" si="3"/>
        <v>26.25</v>
      </c>
      <c r="M9" s="21"/>
      <c r="N9" s="23"/>
    </row>
    <row r="10" spans="1:14" x14ac:dyDescent="0.25">
      <c r="A10" s="3">
        <v>10</v>
      </c>
      <c r="B10" s="23">
        <v>15</v>
      </c>
      <c r="C10" s="21">
        <v>15</v>
      </c>
      <c r="D10" s="23">
        <f t="shared" si="0"/>
        <v>15</v>
      </c>
      <c r="E10" s="21">
        <v>15</v>
      </c>
      <c r="F10" s="23">
        <f t="shared" si="1"/>
        <v>16.5</v>
      </c>
      <c r="G10" s="21">
        <v>18</v>
      </c>
      <c r="H10" s="23">
        <f>AVERAGE((G10,I10))</f>
        <v>21.5</v>
      </c>
      <c r="I10" s="21">
        <v>25</v>
      </c>
      <c r="J10" s="21">
        <v>24</v>
      </c>
      <c r="K10" s="23">
        <f t="shared" si="2"/>
        <v>27</v>
      </c>
      <c r="L10" s="23">
        <f t="shared" si="3"/>
        <v>30</v>
      </c>
      <c r="M10" s="21"/>
      <c r="N10" s="23"/>
    </row>
    <row r="11" spans="1:14" x14ac:dyDescent="0.25">
      <c r="A11" s="3">
        <v>11</v>
      </c>
      <c r="B11" s="23">
        <v>16</v>
      </c>
      <c r="C11" s="21">
        <v>16</v>
      </c>
      <c r="D11" s="23">
        <f t="shared" si="0"/>
        <v>15.5</v>
      </c>
      <c r="E11" s="21">
        <v>15</v>
      </c>
      <c r="F11" s="23">
        <f t="shared" si="1"/>
        <v>17</v>
      </c>
      <c r="G11" s="21">
        <v>19</v>
      </c>
      <c r="H11" s="23">
        <f>AVERAGE((G11,I11))</f>
        <v>23</v>
      </c>
      <c r="I11" s="21">
        <v>27</v>
      </c>
      <c r="J11" s="21">
        <v>25</v>
      </c>
      <c r="K11" s="23">
        <f t="shared" si="2"/>
        <v>28.125</v>
      </c>
      <c r="L11" s="23">
        <f t="shared" si="3"/>
        <v>31.25</v>
      </c>
      <c r="M11" s="21"/>
      <c r="N11" s="23"/>
    </row>
    <row r="12" spans="1:14" x14ac:dyDescent="0.25">
      <c r="A12" s="3">
        <v>12</v>
      </c>
      <c r="B12" s="23">
        <v>17</v>
      </c>
      <c r="C12" s="21">
        <v>17</v>
      </c>
      <c r="D12" s="23">
        <f t="shared" si="0"/>
        <v>16.5</v>
      </c>
      <c r="E12" s="21">
        <v>16</v>
      </c>
      <c r="F12" s="23">
        <f t="shared" si="1"/>
        <v>18.5</v>
      </c>
      <c r="G12" s="21">
        <v>21</v>
      </c>
      <c r="H12" s="23">
        <f>AVERAGE((G12,I12))</f>
        <v>25</v>
      </c>
      <c r="I12" s="21">
        <v>29</v>
      </c>
      <c r="J12" s="21">
        <v>28</v>
      </c>
      <c r="K12" s="23">
        <f t="shared" si="2"/>
        <v>31.5</v>
      </c>
      <c r="L12" s="23">
        <f t="shared" si="3"/>
        <v>35</v>
      </c>
      <c r="M12" s="21"/>
      <c r="N12" s="23"/>
    </row>
    <row r="13" spans="1:14" x14ac:dyDescent="0.25">
      <c r="A13" s="3">
        <v>13</v>
      </c>
      <c r="B13" s="23">
        <v>17</v>
      </c>
      <c r="C13" s="21">
        <v>17</v>
      </c>
      <c r="D13" s="23">
        <f t="shared" si="0"/>
        <v>16.5</v>
      </c>
      <c r="E13" s="21">
        <v>16</v>
      </c>
      <c r="F13" s="23">
        <f t="shared" si="1"/>
        <v>19</v>
      </c>
      <c r="G13" s="21">
        <v>22</v>
      </c>
      <c r="H13" s="23">
        <f>AVERAGE((G13,I13))</f>
        <v>26</v>
      </c>
      <c r="I13" s="21">
        <v>30</v>
      </c>
      <c r="J13" s="21">
        <v>31</v>
      </c>
      <c r="K13" s="23">
        <f t="shared" si="2"/>
        <v>34.875</v>
      </c>
      <c r="L13" s="23">
        <f t="shared" si="3"/>
        <v>38.75</v>
      </c>
      <c r="M13" s="21"/>
      <c r="N13" s="23"/>
    </row>
    <row r="14" spans="1:14" x14ac:dyDescent="0.25">
      <c r="A14" s="3">
        <v>14</v>
      </c>
      <c r="B14" s="23">
        <v>18</v>
      </c>
      <c r="C14" s="21">
        <v>18</v>
      </c>
      <c r="D14" s="23">
        <f t="shared" si="0"/>
        <v>17.5</v>
      </c>
      <c r="E14" s="21">
        <v>17</v>
      </c>
      <c r="F14" s="23">
        <f t="shared" si="1"/>
        <v>20.5</v>
      </c>
      <c r="G14" s="21">
        <v>24</v>
      </c>
      <c r="H14" s="23">
        <f>AVERAGE((G14,I14))</f>
        <v>28.5</v>
      </c>
      <c r="I14" s="21">
        <v>33</v>
      </c>
      <c r="J14" s="21">
        <v>33</v>
      </c>
      <c r="K14" s="23">
        <f t="shared" si="2"/>
        <v>37.125</v>
      </c>
      <c r="L14" s="23">
        <f>J14+(J14*0.25)</f>
        <v>41.25</v>
      </c>
      <c r="M14" s="21"/>
      <c r="N14" s="23"/>
    </row>
    <row r="15" spans="1:14" x14ac:dyDescent="0.25">
      <c r="A15" s="3">
        <v>15</v>
      </c>
      <c r="B15" s="23">
        <v>18</v>
      </c>
      <c r="C15" s="21">
        <v>18</v>
      </c>
      <c r="D15" s="23">
        <f t="shared" si="0"/>
        <v>18</v>
      </c>
      <c r="E15" s="21">
        <v>18</v>
      </c>
      <c r="F15" s="23">
        <f t="shared" si="1"/>
        <v>21.5</v>
      </c>
      <c r="G15" s="21">
        <v>25</v>
      </c>
      <c r="H15" s="23">
        <f>AVERAGE((G15,I15))</f>
        <v>30</v>
      </c>
      <c r="I15" s="21">
        <v>35</v>
      </c>
      <c r="J15" s="21">
        <v>34</v>
      </c>
      <c r="K15" s="23">
        <f t="shared" si="2"/>
        <v>46.75</v>
      </c>
      <c r="L15" s="23">
        <f t="shared" ref="L15:L25" si="4">AVERAGE(J15,M15)</f>
        <v>59.5</v>
      </c>
      <c r="M15" s="21">
        <v>85</v>
      </c>
      <c r="N15" s="23">
        <f t="shared" ref="N15:N25" si="5">M15+(M15*0.05)</f>
        <v>89.25</v>
      </c>
    </row>
    <row r="16" spans="1:14" x14ac:dyDescent="0.25">
      <c r="A16" s="3">
        <v>16</v>
      </c>
      <c r="B16" s="23">
        <v>18</v>
      </c>
      <c r="C16" s="21">
        <v>18</v>
      </c>
      <c r="D16" s="23">
        <f t="shared" si="0"/>
        <v>18.5</v>
      </c>
      <c r="E16" s="21">
        <v>19</v>
      </c>
      <c r="F16" s="23">
        <f t="shared" si="1"/>
        <v>23</v>
      </c>
      <c r="G16" s="21">
        <v>27</v>
      </c>
      <c r="H16" s="23">
        <f>AVERAGE((G16,I16))</f>
        <v>32</v>
      </c>
      <c r="I16" s="21">
        <v>37</v>
      </c>
      <c r="J16" s="21">
        <v>37</v>
      </c>
      <c r="K16" s="23">
        <f t="shared" si="2"/>
        <v>49.75</v>
      </c>
      <c r="L16" s="23">
        <f t="shared" si="4"/>
        <v>62.5</v>
      </c>
      <c r="M16" s="21">
        <v>88</v>
      </c>
      <c r="N16" s="23">
        <f>M16+(M16*0.05)</f>
        <v>92.4</v>
      </c>
    </row>
    <row r="17" spans="1:14" x14ac:dyDescent="0.25">
      <c r="A17" s="3">
        <v>17</v>
      </c>
      <c r="B17" s="23">
        <v>18</v>
      </c>
      <c r="C17" s="21">
        <v>18</v>
      </c>
      <c r="D17" s="23">
        <f t="shared" si="0"/>
        <v>19</v>
      </c>
      <c r="E17" s="21">
        <v>20</v>
      </c>
      <c r="F17" s="23">
        <f t="shared" si="1"/>
        <v>23.5</v>
      </c>
      <c r="G17" s="21">
        <v>27</v>
      </c>
      <c r="H17" s="23">
        <f>AVERAGE((G17,I17))</f>
        <v>32.5</v>
      </c>
      <c r="I17" s="21">
        <v>38</v>
      </c>
      <c r="J17" s="21">
        <v>39</v>
      </c>
      <c r="K17" s="23">
        <f t="shared" si="2"/>
        <v>52.5</v>
      </c>
      <c r="L17" s="23">
        <f t="shared" si="4"/>
        <v>66</v>
      </c>
      <c r="M17" s="21">
        <v>93</v>
      </c>
      <c r="N17" s="23">
        <f t="shared" si="5"/>
        <v>97.65</v>
      </c>
    </row>
    <row r="18" spans="1:14" x14ac:dyDescent="0.25">
      <c r="A18" s="3">
        <v>18</v>
      </c>
      <c r="B18" s="23">
        <v>20</v>
      </c>
      <c r="C18" s="21">
        <v>20</v>
      </c>
      <c r="D18" s="23">
        <f t="shared" si="0"/>
        <v>20.5</v>
      </c>
      <c r="E18" s="21">
        <v>21</v>
      </c>
      <c r="F18" s="23">
        <f t="shared" si="1"/>
        <v>25.5</v>
      </c>
      <c r="G18" s="21">
        <v>30</v>
      </c>
      <c r="H18" s="23">
        <f>AVERAGE((G18,I18))</f>
        <v>35.5</v>
      </c>
      <c r="I18" s="21">
        <v>41</v>
      </c>
      <c r="J18" s="21">
        <v>41</v>
      </c>
      <c r="K18" s="23">
        <f t="shared" si="2"/>
        <v>55</v>
      </c>
      <c r="L18" s="23">
        <f t="shared" si="4"/>
        <v>69</v>
      </c>
      <c r="M18" s="21">
        <v>97</v>
      </c>
      <c r="N18" s="23">
        <f t="shared" si="5"/>
        <v>101.85</v>
      </c>
    </row>
    <row r="19" spans="1:14" x14ac:dyDescent="0.25">
      <c r="A19" s="3">
        <v>19</v>
      </c>
      <c r="B19" s="23">
        <v>20</v>
      </c>
      <c r="C19" s="21">
        <v>20</v>
      </c>
      <c r="D19" s="23">
        <f t="shared" si="0"/>
        <v>21</v>
      </c>
      <c r="E19" s="21">
        <v>22</v>
      </c>
      <c r="F19" s="23">
        <f t="shared" si="1"/>
        <v>26.5</v>
      </c>
      <c r="G19" s="21">
        <v>31</v>
      </c>
      <c r="H19" s="23">
        <f>AVERAGE((G19,I19))</f>
        <v>36.5</v>
      </c>
      <c r="I19" s="21">
        <v>42</v>
      </c>
      <c r="J19" s="21">
        <v>42</v>
      </c>
      <c r="K19" s="23">
        <f t="shared" si="2"/>
        <v>56.75</v>
      </c>
      <c r="L19" s="23">
        <f t="shared" si="4"/>
        <v>71.5</v>
      </c>
      <c r="M19" s="21">
        <v>101</v>
      </c>
      <c r="N19" s="23">
        <f t="shared" si="5"/>
        <v>106.05</v>
      </c>
    </row>
    <row r="20" spans="1:14" x14ac:dyDescent="0.25">
      <c r="A20" s="3">
        <v>20</v>
      </c>
      <c r="B20" s="23">
        <v>21</v>
      </c>
      <c r="C20" s="21">
        <v>21</v>
      </c>
      <c r="D20" s="23">
        <f t="shared" si="0"/>
        <v>22</v>
      </c>
      <c r="E20" s="21">
        <v>23</v>
      </c>
      <c r="F20" s="23">
        <f t="shared" si="1"/>
        <v>27.5</v>
      </c>
      <c r="G20" s="21">
        <v>32</v>
      </c>
      <c r="H20" s="23">
        <f>AVERAGE((G20,I20))</f>
        <v>38</v>
      </c>
      <c r="I20" s="21">
        <v>44</v>
      </c>
      <c r="J20" s="21">
        <v>45</v>
      </c>
      <c r="K20" s="23">
        <f t="shared" si="2"/>
        <v>60</v>
      </c>
      <c r="L20" s="23">
        <f t="shared" si="4"/>
        <v>75</v>
      </c>
      <c r="M20" s="21">
        <v>105</v>
      </c>
      <c r="N20" s="23">
        <f t="shared" si="5"/>
        <v>110.25</v>
      </c>
    </row>
    <row r="21" spans="1:14" x14ac:dyDescent="0.25">
      <c r="A21" s="3">
        <v>21</v>
      </c>
      <c r="B21" s="23">
        <v>21</v>
      </c>
      <c r="C21" s="21">
        <v>21</v>
      </c>
      <c r="D21" s="23">
        <f t="shared" si="0"/>
        <v>22</v>
      </c>
      <c r="E21" s="21">
        <v>23</v>
      </c>
      <c r="F21" s="23">
        <f t="shared" si="1"/>
        <v>28.5</v>
      </c>
      <c r="G21" s="21">
        <v>34</v>
      </c>
      <c r="H21" s="23">
        <f>AVERAGE((G21,I21))</f>
        <v>39</v>
      </c>
      <c r="I21" s="21">
        <v>44</v>
      </c>
      <c r="J21" s="21">
        <v>48</v>
      </c>
      <c r="K21" s="23">
        <f t="shared" si="2"/>
        <v>63.25</v>
      </c>
      <c r="L21" s="23">
        <f t="shared" si="4"/>
        <v>78.5</v>
      </c>
      <c r="M21" s="21">
        <v>109</v>
      </c>
      <c r="N21" s="23">
        <f t="shared" si="5"/>
        <v>114.45</v>
      </c>
    </row>
    <row r="22" spans="1:14" x14ac:dyDescent="0.25">
      <c r="A22" s="3">
        <v>22</v>
      </c>
      <c r="B22" s="23">
        <v>20</v>
      </c>
      <c r="C22" s="21">
        <v>20</v>
      </c>
      <c r="D22" s="23">
        <f t="shared" si="0"/>
        <v>21.5</v>
      </c>
      <c r="E22" s="21">
        <v>23</v>
      </c>
      <c r="F22" s="23">
        <f t="shared" si="1"/>
        <v>29</v>
      </c>
      <c r="G22" s="21">
        <v>35</v>
      </c>
      <c r="H22" s="23">
        <f>AVERAGE((G22,I22))</f>
        <v>42</v>
      </c>
      <c r="I22" s="21">
        <v>49</v>
      </c>
      <c r="J22" s="21">
        <v>50</v>
      </c>
      <c r="K22" s="23">
        <f t="shared" si="2"/>
        <v>65.75</v>
      </c>
      <c r="L22" s="23">
        <f t="shared" si="4"/>
        <v>81.5</v>
      </c>
      <c r="M22" s="21">
        <v>113</v>
      </c>
      <c r="N22" s="23">
        <f t="shared" si="5"/>
        <v>118.65</v>
      </c>
    </row>
    <row r="23" spans="1:14" x14ac:dyDescent="0.25">
      <c r="A23" s="3">
        <v>23</v>
      </c>
      <c r="B23" s="23">
        <v>21</v>
      </c>
      <c r="C23" s="21">
        <v>21</v>
      </c>
      <c r="D23" s="23">
        <f t="shared" si="0"/>
        <v>22.5</v>
      </c>
      <c r="E23" s="21">
        <v>24</v>
      </c>
      <c r="F23" s="23">
        <f t="shared" si="1"/>
        <v>30</v>
      </c>
      <c r="G23" s="21">
        <v>36</v>
      </c>
      <c r="H23" s="23">
        <f>AVERAGE((G23,I23))</f>
        <v>43.5</v>
      </c>
      <c r="I23" s="21">
        <v>51</v>
      </c>
      <c r="J23" s="21">
        <v>51</v>
      </c>
      <c r="K23" s="23">
        <f t="shared" si="2"/>
        <v>67.25</v>
      </c>
      <c r="L23" s="23">
        <f t="shared" si="4"/>
        <v>83.5</v>
      </c>
      <c r="M23" s="21">
        <v>116</v>
      </c>
      <c r="N23" s="23">
        <f t="shared" si="5"/>
        <v>121.8</v>
      </c>
    </row>
    <row r="24" spans="1:14" x14ac:dyDescent="0.25">
      <c r="A24" s="3">
        <v>24</v>
      </c>
      <c r="B24" s="23">
        <v>22</v>
      </c>
      <c r="C24" s="21">
        <v>22</v>
      </c>
      <c r="D24" s="23">
        <f t="shared" si="0"/>
        <v>24</v>
      </c>
      <c r="E24" s="21">
        <v>26</v>
      </c>
      <c r="F24" s="23">
        <f t="shared" si="1"/>
        <v>32</v>
      </c>
      <c r="G24" s="21">
        <v>38</v>
      </c>
      <c r="H24" s="23">
        <f>AVERAGE((G24,I24))</f>
        <v>45.5</v>
      </c>
      <c r="I24" s="21">
        <v>53</v>
      </c>
      <c r="J24" s="21">
        <v>53</v>
      </c>
      <c r="K24" s="23">
        <f t="shared" si="2"/>
        <v>69.25</v>
      </c>
      <c r="L24" s="23">
        <f t="shared" si="4"/>
        <v>85.5</v>
      </c>
      <c r="M24" s="21">
        <v>118</v>
      </c>
      <c r="N24" s="23">
        <f t="shared" si="5"/>
        <v>123.9</v>
      </c>
    </row>
    <row r="25" spans="1:14" x14ac:dyDescent="0.25">
      <c r="A25" s="3">
        <v>25</v>
      </c>
      <c r="B25" s="23">
        <v>23</v>
      </c>
      <c r="C25" s="21">
        <v>23</v>
      </c>
      <c r="D25" s="23">
        <f t="shared" si="0"/>
        <v>25</v>
      </c>
      <c r="E25" s="21">
        <v>27</v>
      </c>
      <c r="F25" s="23">
        <f t="shared" si="1"/>
        <v>33</v>
      </c>
      <c r="G25" s="21">
        <v>39</v>
      </c>
      <c r="H25" s="23">
        <f>AVERAGE((G25,I25))</f>
        <v>46.5</v>
      </c>
      <c r="I25" s="21">
        <v>54</v>
      </c>
      <c r="J25" s="21">
        <v>56</v>
      </c>
      <c r="K25" s="23">
        <f t="shared" si="2"/>
        <v>72.75</v>
      </c>
      <c r="L25" s="23">
        <f t="shared" si="4"/>
        <v>89.5</v>
      </c>
      <c r="M25" s="21">
        <v>123</v>
      </c>
      <c r="N25" s="23">
        <f t="shared" si="5"/>
        <v>129.15</v>
      </c>
    </row>
  </sheetData>
  <sortState xmlns:xlrd2="http://schemas.microsoft.com/office/spreadsheetml/2017/richdata2" ref="A2:M25">
    <sortCondition ref="A2:A25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C0F6-BA7D-424E-823F-99A07E185E86}">
  <dimension ref="A1:C15"/>
  <sheetViews>
    <sheetView workbookViewId="0">
      <selection activeCell="G28" sqref="G28"/>
    </sheetView>
  </sheetViews>
  <sheetFormatPr defaultRowHeight="15" x14ac:dyDescent="0.25"/>
  <cols>
    <col min="1" max="1" width="15.85546875" bestFit="1" customWidth="1"/>
  </cols>
  <sheetData>
    <row r="1" spans="1:3" x14ac:dyDescent="0.25">
      <c r="A1" t="s">
        <v>31</v>
      </c>
      <c r="B1" t="s">
        <v>32</v>
      </c>
      <c r="C1" t="s">
        <v>8</v>
      </c>
    </row>
    <row r="2" spans="1:3" x14ac:dyDescent="0.25">
      <c r="A2" s="10" t="s">
        <v>34</v>
      </c>
      <c r="B2" s="15">
        <f>5/8</f>
        <v>0.625</v>
      </c>
      <c r="C2">
        <f>B2*25.4</f>
        <v>15.875</v>
      </c>
    </row>
    <row r="3" spans="1:3" x14ac:dyDescent="0.25">
      <c r="A3" s="10" t="s">
        <v>24</v>
      </c>
      <c r="B3" s="15">
        <v>0.5</v>
      </c>
      <c r="C3">
        <f>B3*25.4</f>
        <v>12.7</v>
      </c>
    </row>
    <row r="4" spans="1:3" x14ac:dyDescent="0.25">
      <c r="A4" s="10" t="s">
        <v>33</v>
      </c>
      <c r="B4" s="15">
        <f>3/8</f>
        <v>0.375</v>
      </c>
      <c r="C4">
        <f t="shared" ref="C4:C7" si="0">B4*25.4</f>
        <v>9.5249999999999986</v>
      </c>
    </row>
    <row r="5" spans="1:3" x14ac:dyDescent="0.25">
      <c r="A5" s="10" t="s">
        <v>35</v>
      </c>
      <c r="B5" s="15">
        <f>5/16</f>
        <v>0.3125</v>
      </c>
      <c r="C5">
        <f t="shared" si="0"/>
        <v>7.9375</v>
      </c>
    </row>
    <row r="6" spans="1:3" x14ac:dyDescent="0.25">
      <c r="A6" s="10" t="s">
        <v>36</v>
      </c>
      <c r="B6" s="15">
        <v>0.25</v>
      </c>
      <c r="C6">
        <f t="shared" si="0"/>
        <v>6.35</v>
      </c>
    </row>
    <row r="7" spans="1:3" x14ac:dyDescent="0.25">
      <c r="A7" s="10" t="s">
        <v>3</v>
      </c>
      <c r="B7" s="15">
        <f>3/16</f>
        <v>0.1875</v>
      </c>
      <c r="C7">
        <f t="shared" si="0"/>
        <v>4.7624999999999993</v>
      </c>
    </row>
    <row r="8" spans="1:3" x14ac:dyDescent="0.25">
      <c r="A8" s="20">
        <v>8</v>
      </c>
      <c r="B8" s="15">
        <f>C8*0.0393701</f>
        <v>0.16535442</v>
      </c>
      <c r="C8">
        <v>4.2</v>
      </c>
    </row>
    <row r="9" spans="1:3" x14ac:dyDescent="0.25">
      <c r="A9" s="20">
        <v>11</v>
      </c>
      <c r="B9" s="15">
        <f t="shared" ref="B9:B15" si="1">C9*0.0393701</f>
        <v>0.119685104</v>
      </c>
      <c r="C9">
        <v>3.04</v>
      </c>
    </row>
    <row r="10" spans="1:3" x14ac:dyDescent="0.25">
      <c r="A10" s="20">
        <v>12</v>
      </c>
      <c r="B10" s="15">
        <f t="shared" si="1"/>
        <v>0.104724466</v>
      </c>
      <c r="C10">
        <v>2.66</v>
      </c>
    </row>
    <row r="11" spans="1:3" x14ac:dyDescent="0.25">
      <c r="A11" s="20">
        <v>14</v>
      </c>
      <c r="B11" s="15">
        <f t="shared" si="1"/>
        <v>7.4803189999999992E-2</v>
      </c>
      <c r="C11">
        <v>1.9</v>
      </c>
    </row>
    <row r="12" spans="1:3" x14ac:dyDescent="0.25">
      <c r="A12" s="20">
        <v>16</v>
      </c>
      <c r="B12" s="15">
        <f t="shared" si="1"/>
        <v>5.9842552E-2</v>
      </c>
      <c r="C12">
        <v>1.52</v>
      </c>
    </row>
    <row r="13" spans="1:3" x14ac:dyDescent="0.25">
      <c r="A13" s="20">
        <v>18</v>
      </c>
      <c r="B13" s="15">
        <f t="shared" si="1"/>
        <v>4.7637820999999997E-2</v>
      </c>
      <c r="C13">
        <v>1.21</v>
      </c>
    </row>
    <row r="14" spans="1:3" x14ac:dyDescent="0.25">
      <c r="A14" s="20">
        <v>20</v>
      </c>
      <c r="B14" s="15">
        <f t="shared" si="1"/>
        <v>3.5826790999999997E-2</v>
      </c>
      <c r="C14">
        <v>0.91</v>
      </c>
    </row>
    <row r="15" spans="1:3" x14ac:dyDescent="0.25">
      <c r="A15" s="20">
        <v>22</v>
      </c>
      <c r="B15" s="15">
        <f t="shared" si="1"/>
        <v>2.9921276E-2</v>
      </c>
      <c r="C15">
        <v>0.76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8E11-E9FD-47E4-980E-E4DEC9A32F9C}">
  <dimension ref="A1:U14"/>
  <sheetViews>
    <sheetView zoomScaleNormal="100" workbookViewId="0">
      <selection activeCell="G13" sqref="G13"/>
    </sheetView>
  </sheetViews>
  <sheetFormatPr defaultRowHeight="15" x14ac:dyDescent="0.25"/>
  <cols>
    <col min="2" max="2" width="9.5703125" bestFit="1" customWidth="1"/>
  </cols>
  <sheetData>
    <row r="1" spans="1:21" x14ac:dyDescent="0.25">
      <c r="A1" t="s">
        <v>50</v>
      </c>
      <c r="B1" t="s">
        <v>42</v>
      </c>
      <c r="C1" t="s">
        <v>43</v>
      </c>
      <c r="F1" t="s">
        <v>50</v>
      </c>
      <c r="G1" t="s">
        <v>42</v>
      </c>
      <c r="H1" t="s">
        <v>43</v>
      </c>
    </row>
    <row r="2" spans="1:21" x14ac:dyDescent="0.25">
      <c r="A2" t="s">
        <v>49</v>
      </c>
      <c r="B2">
        <v>0.76</v>
      </c>
      <c r="C2">
        <v>3</v>
      </c>
      <c r="F2" s="10" t="s">
        <v>45</v>
      </c>
      <c r="G2">
        <v>12.7</v>
      </c>
      <c r="H2">
        <v>90</v>
      </c>
    </row>
    <row r="3" spans="1:21" x14ac:dyDescent="0.25">
      <c r="A3" t="s">
        <v>2</v>
      </c>
      <c r="B3">
        <v>0.91</v>
      </c>
      <c r="C3">
        <v>4</v>
      </c>
      <c r="F3" s="10" t="s">
        <v>22</v>
      </c>
      <c r="G3">
        <v>4.76</v>
      </c>
      <c r="H3">
        <v>24</v>
      </c>
    </row>
    <row r="4" spans="1:21" x14ac:dyDescent="0.25">
      <c r="A4" t="s">
        <v>48</v>
      </c>
      <c r="B4">
        <v>1.21</v>
      </c>
      <c r="C4">
        <v>6</v>
      </c>
      <c r="F4" t="s">
        <v>4</v>
      </c>
      <c r="G4">
        <v>4.18</v>
      </c>
      <c r="H4">
        <v>9</v>
      </c>
    </row>
    <row r="5" spans="1:21" x14ac:dyDescent="0.25">
      <c r="A5" t="s">
        <v>6</v>
      </c>
      <c r="B5">
        <v>1.52</v>
      </c>
      <c r="C5">
        <v>8</v>
      </c>
      <c r="F5" t="s">
        <v>5</v>
      </c>
      <c r="G5">
        <v>2.66</v>
      </c>
      <c r="H5">
        <v>8</v>
      </c>
      <c r="T5" t="s">
        <v>42</v>
      </c>
      <c r="U5">
        <v>15.88</v>
      </c>
    </row>
    <row r="6" spans="1:21" x14ac:dyDescent="0.25">
      <c r="A6" t="s">
        <v>47</v>
      </c>
      <c r="B6">
        <v>1.9</v>
      </c>
      <c r="C6">
        <v>8</v>
      </c>
      <c r="F6" t="s">
        <v>6</v>
      </c>
      <c r="G6">
        <v>1.52</v>
      </c>
      <c r="H6">
        <v>8</v>
      </c>
      <c r="T6">
        <v>1</v>
      </c>
      <c r="U6">
        <f>0.0078*(U5^4)</f>
        <v>496.01703851980807</v>
      </c>
    </row>
    <row r="7" spans="1:21" x14ac:dyDescent="0.25">
      <c r="A7" t="s">
        <v>5</v>
      </c>
      <c r="B7">
        <v>2.66</v>
      </c>
      <c r="C7">
        <v>8</v>
      </c>
      <c r="F7" t="s">
        <v>2</v>
      </c>
      <c r="G7">
        <v>0.91</v>
      </c>
      <c r="H7">
        <v>4</v>
      </c>
      <c r="T7">
        <v>2</v>
      </c>
      <c r="U7">
        <f>0.2963*(U5^3)</f>
        <v>1186.5420825536003</v>
      </c>
    </row>
    <row r="8" spans="1:21" x14ac:dyDescent="0.25">
      <c r="A8" t="s">
        <v>38</v>
      </c>
      <c r="B8">
        <v>3.04</v>
      </c>
      <c r="C8">
        <v>8</v>
      </c>
      <c r="T8">
        <v>3</v>
      </c>
      <c r="U8">
        <f>3.8361*(U5^2)</f>
        <v>967.36621584000011</v>
      </c>
    </row>
    <row r="9" spans="1:21" x14ac:dyDescent="0.25">
      <c r="A9" t="s">
        <v>4</v>
      </c>
      <c r="B9">
        <v>4.18</v>
      </c>
      <c r="C9">
        <v>9</v>
      </c>
      <c r="T9">
        <v>4</v>
      </c>
      <c r="U9">
        <f>10.641*U5</f>
        <v>168.97908000000001</v>
      </c>
    </row>
    <row r="10" spans="1:21" x14ac:dyDescent="0.25">
      <c r="A10" s="10" t="s">
        <v>22</v>
      </c>
      <c r="B10">
        <v>4.76</v>
      </c>
      <c r="C10">
        <v>24</v>
      </c>
      <c r="T10">
        <v>5</v>
      </c>
      <c r="U10">
        <v>12.65</v>
      </c>
    </row>
    <row r="11" spans="1:21" x14ac:dyDescent="0.25">
      <c r="A11" s="10" t="s">
        <v>36</v>
      </c>
      <c r="B11">
        <v>6.35</v>
      </c>
      <c r="C11">
        <v>30</v>
      </c>
      <c r="U11">
        <f>U6-U7+U8-U9+U10</f>
        <v>120.51209180620785</v>
      </c>
    </row>
    <row r="12" spans="1:21" x14ac:dyDescent="0.25">
      <c r="A12" s="10" t="s">
        <v>46</v>
      </c>
      <c r="B12">
        <v>7.94</v>
      </c>
      <c r="C12">
        <v>60</v>
      </c>
    </row>
    <row r="13" spans="1:21" x14ac:dyDescent="0.25">
      <c r="A13" s="10" t="s">
        <v>45</v>
      </c>
      <c r="B13">
        <v>12.7</v>
      </c>
      <c r="C13">
        <v>90</v>
      </c>
    </row>
    <row r="14" spans="1:21" x14ac:dyDescent="0.25">
      <c r="A14" s="10" t="s">
        <v>44</v>
      </c>
      <c r="B14">
        <v>15.88</v>
      </c>
      <c r="C14">
        <v>120</v>
      </c>
    </row>
  </sheetData>
  <sortState xmlns:xlrd2="http://schemas.microsoft.com/office/spreadsheetml/2017/richdata2" ref="A2:C14">
    <sortCondition ref="B2:B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20ga</vt:lpstr>
      <vt:lpstr>16ga</vt:lpstr>
      <vt:lpstr>12ga</vt:lpstr>
      <vt:lpstr>8ga</vt:lpstr>
      <vt:lpstr>8ga (2)</vt:lpstr>
      <vt:lpstr>316</vt:lpstr>
      <vt:lpstr>1-2 (2)</vt:lpstr>
      <vt:lpstr>1-2</vt:lpstr>
      <vt:lpstr>Graphs</vt:lpstr>
      <vt:lpstr>Combined Data</vt:lpstr>
      <vt:lpstr>Sheet5</vt:lpstr>
      <vt:lpstr>Pierce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Lutz</dc:creator>
  <cp:lastModifiedBy>Matt Lutz</cp:lastModifiedBy>
  <dcterms:created xsi:type="dcterms:W3CDTF">2019-07-30T01:18:48Z</dcterms:created>
  <dcterms:modified xsi:type="dcterms:W3CDTF">2020-06-23T15:12:53Z</dcterms:modified>
</cp:coreProperties>
</file>