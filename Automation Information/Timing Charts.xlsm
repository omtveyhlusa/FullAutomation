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U:\MLutz\New folder (2)\"/>
    </mc:Choice>
  </mc:AlternateContent>
  <xr:revisionPtr revIDLastSave="0" documentId="13_ncr:1_{1C903717-4ED3-4604-8766-B54B68ACF5C8}" xr6:coauthVersionLast="45" xr6:coauthVersionMax="45" xr10:uidLastSave="{00000000-0000-0000-0000-000000000000}"/>
  <bookViews>
    <workbookView xWindow="-120" yWindow="-120" windowWidth="29040" windowHeight="15840" activeTab="11" xr2:uid="{D3ADAA73-9FA8-4755-B259-3A07B571F6E5}"/>
  </bookViews>
  <sheets>
    <sheet name="20ga" sheetId="1" r:id="rId1"/>
    <sheet name="16ga" sheetId="3" r:id="rId2"/>
    <sheet name="14ga (Untested)" sheetId="18" r:id="rId3"/>
    <sheet name="12ga" sheetId="4" r:id="rId4"/>
    <sheet name="8ga" sheetId="5" r:id="rId5"/>
    <sheet name="8ga (2)" sheetId="16" r:id="rId6"/>
    <sheet name="316" sheetId="6" r:id="rId7"/>
    <sheet name="1-2 (2)" sheetId="12" r:id="rId8"/>
    <sheet name="1-2" sheetId="7" r:id="rId9"/>
    <sheet name="Graphs" sheetId="8" r:id="rId10"/>
    <sheet name="Combined Data" sheetId="9" r:id="rId11"/>
    <sheet name="Formula Calc" sheetId="17" r:id="rId12"/>
    <sheet name="Sheet5" sheetId="10" r:id="rId13"/>
    <sheet name="Pierce Time" sheetId="11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1" i="18" l="1"/>
  <c r="E31" i="18"/>
  <c r="E30" i="18"/>
  <c r="C30" i="18"/>
  <c r="E29" i="18"/>
  <c r="C29" i="18"/>
  <c r="E28" i="18"/>
  <c r="C28" i="18"/>
  <c r="E27" i="18"/>
  <c r="B27" i="18"/>
  <c r="C27" i="18" s="1"/>
  <c r="F27" i="18" s="1"/>
  <c r="E26" i="18"/>
  <c r="B26" i="18"/>
  <c r="C26" i="18" s="1"/>
  <c r="E25" i="18"/>
  <c r="B25" i="18"/>
  <c r="C25" i="18" s="1"/>
  <c r="E24" i="18"/>
  <c r="B24" i="18"/>
  <c r="C24" i="18" s="1"/>
  <c r="F24" i="18" s="1"/>
  <c r="E23" i="18"/>
  <c r="B23" i="18"/>
  <c r="C23" i="18" s="1"/>
  <c r="E22" i="18"/>
  <c r="B22" i="18"/>
  <c r="C22" i="18" s="1"/>
  <c r="E21" i="18"/>
  <c r="B21" i="18"/>
  <c r="C21" i="18" s="1"/>
  <c r="F21" i="18" s="1"/>
  <c r="E20" i="18"/>
  <c r="B20" i="18"/>
  <c r="C20" i="18" s="1"/>
  <c r="E19" i="18"/>
  <c r="B19" i="18"/>
  <c r="C19" i="18" s="1"/>
  <c r="E18" i="18"/>
  <c r="B18" i="18"/>
  <c r="C18" i="18" s="1"/>
  <c r="F18" i="18" s="1"/>
  <c r="E17" i="18"/>
  <c r="B17" i="18"/>
  <c r="C17" i="18" s="1"/>
  <c r="E16" i="18"/>
  <c r="B16" i="18"/>
  <c r="C16" i="18" s="1"/>
  <c r="E15" i="18"/>
  <c r="B15" i="18"/>
  <c r="C15" i="18" s="1"/>
  <c r="F15" i="18" s="1"/>
  <c r="E14" i="18"/>
  <c r="B14" i="18"/>
  <c r="C14" i="18" s="1"/>
  <c r="E13" i="18"/>
  <c r="B13" i="18"/>
  <c r="C13" i="18" s="1"/>
  <c r="E12" i="18"/>
  <c r="B12" i="18"/>
  <c r="C12" i="18" s="1"/>
  <c r="E11" i="18"/>
  <c r="B11" i="18"/>
  <c r="C11" i="18" s="1"/>
  <c r="E10" i="18"/>
  <c r="B10" i="18"/>
  <c r="C10" i="18" s="1"/>
  <c r="E9" i="18"/>
  <c r="B9" i="18"/>
  <c r="C9" i="18" s="1"/>
  <c r="E8" i="18"/>
  <c r="B8" i="18"/>
  <c r="C8" i="18" s="1"/>
  <c r="E7" i="18"/>
  <c r="B7" i="18"/>
  <c r="C7" i="18" s="1"/>
  <c r="E6" i="18"/>
  <c r="B6" i="18"/>
  <c r="C6" i="18" s="1"/>
  <c r="E5" i="18"/>
  <c r="B5" i="18"/>
  <c r="C5" i="18" s="1"/>
  <c r="E4" i="18"/>
  <c r="C4" i="18"/>
  <c r="B4" i="18"/>
  <c r="B194" i="17"/>
  <c r="B195" i="17"/>
  <c r="B196" i="17"/>
  <c r="B197" i="17"/>
  <c r="B198" i="17"/>
  <c r="B199" i="17"/>
  <c r="B200" i="17"/>
  <c r="B201" i="17"/>
  <c r="B202" i="17"/>
  <c r="B203" i="17"/>
  <c r="B204" i="17"/>
  <c r="B205" i="17"/>
  <c r="B206" i="17"/>
  <c r="B207" i="17"/>
  <c r="B208" i="17"/>
  <c r="B209" i="17"/>
  <c r="B210" i="17"/>
  <c r="B211" i="17"/>
  <c r="B212" i="17"/>
  <c r="B213" i="17"/>
  <c r="B214" i="17"/>
  <c r="B215" i="17"/>
  <c r="B216" i="17"/>
  <c r="B217" i="17"/>
  <c r="B218" i="17"/>
  <c r="B219" i="17"/>
  <c r="B220" i="17"/>
  <c r="B221" i="17"/>
  <c r="B222" i="17"/>
  <c r="B223" i="17"/>
  <c r="B224" i="17"/>
  <c r="B225" i="17"/>
  <c r="B226" i="17"/>
  <c r="B227" i="17"/>
  <c r="B228" i="17"/>
  <c r="B229" i="17"/>
  <c r="B230" i="17"/>
  <c r="B231" i="17"/>
  <c r="B232" i="17"/>
  <c r="B233" i="17"/>
  <c r="B234" i="17"/>
  <c r="B235" i="17"/>
  <c r="B236" i="17"/>
  <c r="B237" i="17"/>
  <c r="B238" i="17"/>
  <c r="B239" i="17"/>
  <c r="B240" i="17"/>
  <c r="B241" i="17"/>
  <c r="B242" i="17"/>
  <c r="B243" i="17"/>
  <c r="B244" i="17"/>
  <c r="B245" i="17"/>
  <c r="B246" i="17"/>
  <c r="B247" i="17"/>
  <c r="B248" i="17"/>
  <c r="B249" i="17"/>
  <c r="B250" i="17"/>
  <c r="B251" i="17"/>
  <c r="B252" i="17"/>
  <c r="B253" i="17"/>
  <c r="B254" i="17"/>
  <c r="B255" i="17"/>
  <c r="B256" i="17"/>
  <c r="B257" i="17"/>
  <c r="B258" i="17"/>
  <c r="B259" i="17"/>
  <c r="B260" i="17"/>
  <c r="B261" i="17"/>
  <c r="B262" i="17"/>
  <c r="B263" i="17"/>
  <c r="B264" i="17"/>
  <c r="B265" i="17"/>
  <c r="B266" i="17"/>
  <c r="B267" i="17"/>
  <c r="B268" i="17"/>
  <c r="B269" i="17"/>
  <c r="B270" i="17"/>
  <c r="B271" i="17"/>
  <c r="B272" i="17"/>
  <c r="B273" i="17"/>
  <c r="B274" i="17"/>
  <c r="B275" i="17"/>
  <c r="B276" i="17"/>
  <c r="B277" i="17"/>
  <c r="B278" i="17"/>
  <c r="B279" i="17"/>
  <c r="B280" i="17"/>
  <c r="B281" i="17"/>
  <c r="B282" i="17"/>
  <c r="B283" i="17"/>
  <c r="B284" i="17"/>
  <c r="B285" i="17"/>
  <c r="B286" i="17"/>
  <c r="B287" i="17"/>
  <c r="B288" i="17"/>
  <c r="B289" i="17"/>
  <c r="B290" i="17"/>
  <c r="B291" i="17"/>
  <c r="B292" i="17"/>
  <c r="B293" i="17"/>
  <c r="B294" i="17"/>
  <c r="B295" i="17"/>
  <c r="B296" i="17"/>
  <c r="B297" i="17"/>
  <c r="B298" i="17"/>
  <c r="B299" i="17"/>
  <c r="B300" i="17"/>
  <c r="B301" i="17"/>
  <c r="B302" i="17"/>
  <c r="B303" i="17"/>
  <c r="B304" i="17"/>
  <c r="B305" i="17"/>
  <c r="B306" i="17"/>
  <c r="B307" i="17"/>
  <c r="B308" i="17"/>
  <c r="B309" i="17"/>
  <c r="B310" i="17"/>
  <c r="B311" i="17"/>
  <c r="B312" i="17"/>
  <c r="B313" i="17"/>
  <c r="B314" i="17"/>
  <c r="B315" i="17"/>
  <c r="B316" i="17"/>
  <c r="B317" i="17"/>
  <c r="B318" i="17"/>
  <c r="B319" i="17"/>
  <c r="B320" i="17"/>
  <c r="B321" i="17"/>
  <c r="B322" i="17"/>
  <c r="B323" i="17"/>
  <c r="B324" i="17"/>
  <c r="B325" i="17"/>
  <c r="B326" i="17"/>
  <c r="B327" i="17"/>
  <c r="B328" i="17"/>
  <c r="B329" i="17"/>
  <c r="B330" i="17"/>
  <c r="B331" i="17"/>
  <c r="B332" i="17"/>
  <c r="B333" i="17"/>
  <c r="B334" i="17"/>
  <c r="B335" i="17"/>
  <c r="B336" i="17"/>
  <c r="B337" i="17"/>
  <c r="B338" i="17"/>
  <c r="B339" i="17"/>
  <c r="B340" i="17"/>
  <c r="B341" i="17"/>
  <c r="B342" i="17"/>
  <c r="B343" i="17"/>
  <c r="B344" i="17"/>
  <c r="B345" i="17"/>
  <c r="B346" i="17"/>
  <c r="B347" i="17"/>
  <c r="B348" i="17"/>
  <c r="B349" i="17"/>
  <c r="B350" i="17"/>
  <c r="B351" i="17"/>
  <c r="B352" i="17"/>
  <c r="B353" i="17"/>
  <c r="B354" i="17"/>
  <c r="B355" i="17"/>
  <c r="B356" i="17"/>
  <c r="B357" i="17"/>
  <c r="B358" i="17"/>
  <c r="B359" i="17"/>
  <c r="B360" i="17"/>
  <c r="B361" i="17"/>
  <c r="B362" i="17"/>
  <c r="B363" i="17"/>
  <c r="B364" i="17"/>
  <c r="B365" i="17"/>
  <c r="B366" i="17"/>
  <c r="B367" i="17"/>
  <c r="B368" i="17"/>
  <c r="B369" i="17"/>
  <c r="B370" i="17"/>
  <c r="B371" i="17"/>
  <c r="B372" i="17"/>
  <c r="B373" i="17"/>
  <c r="B374" i="17"/>
  <c r="B375" i="17"/>
  <c r="B376" i="17"/>
  <c r="B377" i="17"/>
  <c r="B378" i="17"/>
  <c r="B379" i="17"/>
  <c r="B380" i="17"/>
  <c r="B381" i="17"/>
  <c r="B382" i="17"/>
  <c r="B383" i="17"/>
  <c r="B384" i="17"/>
  <c r="B385" i="17"/>
  <c r="B386" i="17"/>
  <c r="B387" i="17"/>
  <c r="B388" i="17"/>
  <c r="B389" i="17"/>
  <c r="B390" i="17"/>
  <c r="B391" i="17"/>
  <c r="B392" i="17"/>
  <c r="B393" i="17"/>
  <c r="Y48" i="17" a="1"/>
  <c r="Y114" i="17" a="1"/>
  <c r="Y138" i="17" a="1"/>
  <c r="Y150" i="17" a="1"/>
  <c r="Y162" i="17" a="1"/>
  <c r="Y174" i="17" a="1"/>
  <c r="Y186" i="17" a="1"/>
  <c r="Y192" i="17" a="1"/>
  <c r="Y204" i="17" a="1"/>
  <c r="Y216" i="17" a="1"/>
  <c r="Y222" i="17" a="1"/>
  <c r="Y234" i="17" a="1"/>
  <c r="Y246" i="17" a="1"/>
  <c r="Y252" i="17" a="1"/>
  <c r="Y264" i="17" a="1"/>
  <c r="Y276" i="17" a="1"/>
  <c r="Y288" i="17" a="1"/>
  <c r="Y300" i="17" a="1"/>
  <c r="Y312" i="17" a="1"/>
  <c r="Y318" i="17" a="1"/>
  <c r="Y330" i="17" a="1"/>
  <c r="Y342" i="17" a="1"/>
  <c r="Y348" i="17" a="1"/>
  <c r="Y360" i="17" a="1"/>
  <c r="Y6" i="17" a="1"/>
  <c r="Y12" i="17" a="1"/>
  <c r="Y18" i="17" a="1"/>
  <c r="Y24" i="17" a="1"/>
  <c r="Y30" i="17" a="1"/>
  <c r="Y36" i="17" a="1"/>
  <c r="Y42" i="17" a="1"/>
  <c r="Y54" i="17" a="1"/>
  <c r="Y60" i="17" a="1"/>
  <c r="Y66" i="17" a="1"/>
  <c r="Y72" i="17" a="1"/>
  <c r="Y78" i="17" a="1"/>
  <c r="Y84" i="17" a="1"/>
  <c r="Y90" i="17" a="1"/>
  <c r="Y96" i="17" a="1"/>
  <c r="Y102" i="17" a="1"/>
  <c r="Y108" i="17" a="1"/>
  <c r="Y120" i="17" a="1"/>
  <c r="Y126" i="17" a="1"/>
  <c r="Y132" i="17" a="1"/>
  <c r="Y144" i="17" a="1"/>
  <c r="Y156" i="17" a="1"/>
  <c r="Y168" i="17" a="1"/>
  <c r="Y180" i="17" a="1"/>
  <c r="Y198" i="17" a="1"/>
  <c r="Y210" i="17" a="1"/>
  <c r="Y228" i="17" a="1"/>
  <c r="Y240" i="17" a="1"/>
  <c r="Y258" i="17" a="1"/>
  <c r="Y270" i="17" a="1"/>
  <c r="Y282" i="17" a="1"/>
  <c r="Y294" i="17" a="1"/>
  <c r="Y306" i="17" a="1"/>
  <c r="Y324" i="17" a="1"/>
  <c r="Y336" i="17" a="1"/>
  <c r="Y354" i="17" a="1"/>
  <c r="Y366" i="17" a="1"/>
  <c r="Y7" i="17" a="1"/>
  <c r="Y13" i="17" a="1"/>
  <c r="Y19" i="17" a="1"/>
  <c r="Y25" i="17" a="1"/>
  <c r="Y31" i="17" a="1"/>
  <c r="Y37" i="17" a="1"/>
  <c r="Y43" i="17" a="1"/>
  <c r="Y49" i="17" a="1"/>
  <c r="Y55" i="17" a="1"/>
  <c r="Y61" i="17" a="1"/>
  <c r="Y67" i="17" a="1"/>
  <c r="Y73" i="17" a="1"/>
  <c r="Y79" i="17" a="1"/>
  <c r="Y85" i="17" a="1"/>
  <c r="Y91" i="17" a="1"/>
  <c r="Y97" i="17" a="1"/>
  <c r="Y103" i="17" a="1"/>
  <c r="Y109" i="17" a="1"/>
  <c r="Y115" i="17" a="1"/>
  <c r="Y121" i="17" a="1"/>
  <c r="Y127" i="17" a="1"/>
  <c r="Y133" i="17" a="1"/>
  <c r="Y139" i="17" a="1"/>
  <c r="Y145" i="17" a="1"/>
  <c r="Y151" i="17" a="1"/>
  <c r="Y157" i="17" a="1"/>
  <c r="Y163" i="17" a="1"/>
  <c r="Y169" i="17" a="1"/>
  <c r="Y175" i="17" a="1"/>
  <c r="Y181" i="17" a="1"/>
  <c r="Y9" i="17" a="1"/>
  <c r="Y15" i="17" a="1"/>
  <c r="Y21" i="17" a="1"/>
  <c r="Y27" i="17" a="1"/>
  <c r="Y33" i="17" a="1"/>
  <c r="Y39" i="17" a="1"/>
  <c r="Y45" i="17" a="1"/>
  <c r="Y51" i="17" a="1"/>
  <c r="Y57" i="17" a="1"/>
  <c r="Y63" i="17" a="1"/>
  <c r="Y69" i="17" a="1"/>
  <c r="Y75" i="17" a="1"/>
  <c r="Y81" i="17" a="1"/>
  <c r="Y87" i="17" a="1"/>
  <c r="Y93" i="17" a="1"/>
  <c r="Y99" i="17" a="1"/>
  <c r="Y105" i="17" a="1"/>
  <c r="Y111" i="17" a="1"/>
  <c r="Y117" i="17" a="1"/>
  <c r="Y123" i="17" a="1"/>
  <c r="Y135" i="17" a="1"/>
  <c r="Y141" i="17" a="1"/>
  <c r="Y147" i="17" a="1"/>
  <c r="Y129" i="17" a="1"/>
  <c r="Y28" i="17" a="1"/>
  <c r="Y136" i="17" a="1"/>
  <c r="Y225" i="17" a="1"/>
  <c r="Y287" i="17" a="1"/>
  <c r="Y341" i="17" a="1"/>
  <c r="Y385" i="17" a="1"/>
  <c r="Y343" i="17" a="1"/>
  <c r="Y377" i="17" a="1"/>
  <c r="Y29" i="17" a="1"/>
  <c r="Y113" i="17" a="1"/>
  <c r="Y171" i="17" a="1"/>
  <c r="Y280" i="17" a="1"/>
  <c r="Y8" i="17" a="1"/>
  <c r="Y20" i="17" a="1"/>
  <c r="Y32" i="17" a="1"/>
  <c r="Y44" i="17" a="1"/>
  <c r="Y56" i="17" a="1"/>
  <c r="Y68" i="17" a="1"/>
  <c r="Y80" i="17" a="1"/>
  <c r="Y92" i="17" a="1"/>
  <c r="Y104" i="17" a="1"/>
  <c r="Y116" i="17" a="1"/>
  <c r="Y128" i="17" a="1"/>
  <c r="Y140" i="17" a="1"/>
  <c r="Y152" i="17" a="1"/>
  <c r="Y161" i="17" a="1"/>
  <c r="Y172" i="17" a="1"/>
  <c r="Y183" i="17" a="1"/>
  <c r="Y191" i="17" a="1"/>
  <c r="Y201" i="17" a="1"/>
  <c r="Y209" i="17" a="1"/>
  <c r="Y219" i="17" a="1"/>
  <c r="Y227" i="17" a="1"/>
  <c r="Y237" i="17" a="1"/>
  <c r="Y245" i="17" a="1"/>
  <c r="Y255" i="17" a="1"/>
  <c r="Y263" i="17" a="1"/>
  <c r="Y273" i="17" a="1"/>
  <c r="Y281" i="17" a="1"/>
  <c r="Y291" i="17" a="1"/>
  <c r="Y299" i="17" a="1"/>
  <c r="Y309" i="17" a="1"/>
  <c r="Y317" i="17" a="1"/>
  <c r="Y327" i="17" a="1"/>
  <c r="Y335" i="17" a="1"/>
  <c r="Y345" i="17" a="1"/>
  <c r="Y353" i="17" a="1"/>
  <c r="Y363" i="17" a="1"/>
  <c r="Y371" i="17" a="1"/>
  <c r="Y153" i="17" a="1"/>
  <c r="Y193" i="17" a="1"/>
  <c r="Y211" i="17" a="1"/>
  <c r="Y229" i="17" a="1"/>
  <c r="Y247" i="17" a="1"/>
  <c r="Y265" i="17" a="1"/>
  <c r="Y283" i="17" a="1"/>
  <c r="Y301" i="17" a="1"/>
  <c r="Y319" i="17" a="1"/>
  <c r="Y337" i="17" a="1"/>
  <c r="Y355" i="17" a="1"/>
  <c r="Y372" i="17" a="1"/>
  <c r="Y380" i="17" a="1"/>
  <c r="Y388" i="17" a="1"/>
  <c r="Y184" i="17" a="1"/>
  <c r="Y274" i="17" a="1"/>
  <c r="Y346" i="17" a="1"/>
  <c r="Y373" i="17" a="1"/>
  <c r="Y165" i="17" a="1"/>
  <c r="Y212" i="17" a="1"/>
  <c r="Y266" i="17" a="1"/>
  <c r="Y320" i="17" a="1"/>
  <c r="Y389" i="17" a="1"/>
  <c r="Y10" i="17" a="1"/>
  <c r="Y22" i="17" a="1"/>
  <c r="Y34" i="17" a="1"/>
  <c r="Y46" i="17" a="1"/>
  <c r="Y58" i="17" a="1"/>
  <c r="Y70" i="17" a="1"/>
  <c r="Y82" i="17" a="1"/>
  <c r="Y94" i="17" a="1"/>
  <c r="Y106" i="17" a="1"/>
  <c r="Y118" i="17" a="1"/>
  <c r="Y130" i="17" a="1"/>
  <c r="Y142" i="17" a="1"/>
  <c r="Y164" i="17" a="1"/>
  <c r="Y173" i="17" a="1"/>
  <c r="Y202" i="17" a="1"/>
  <c r="Y220" i="17" a="1"/>
  <c r="Y238" i="17" a="1"/>
  <c r="Y256" i="17" a="1"/>
  <c r="Y292" i="17" a="1"/>
  <c r="Y310" i="17" a="1"/>
  <c r="Y328" i="17" a="1"/>
  <c r="Y364" i="17" a="1"/>
  <c r="Y381" i="17" a="1"/>
  <c r="Y154" i="17" a="1"/>
  <c r="Y194" i="17" a="1"/>
  <c r="Y230" i="17" a="1"/>
  <c r="Y248" i="17" a="1"/>
  <c r="Y284" i="17" a="1"/>
  <c r="Y302" i="17" a="1"/>
  <c r="Y338" i="17" a="1"/>
  <c r="Y356" i="17" a="1"/>
  <c r="Y155" i="17" a="1"/>
  <c r="Y166" i="17" a="1"/>
  <c r="Y177" i="17" a="1"/>
  <c r="Y187" i="17" a="1"/>
  <c r="Y205" i="17" a="1"/>
  <c r="Y223" i="17" a="1"/>
  <c r="Y241" i="17" a="1"/>
  <c r="Y259" i="17" a="1"/>
  <c r="Y277" i="17" a="1"/>
  <c r="Y295" i="17" a="1"/>
  <c r="Y313" i="17" a="1"/>
  <c r="Y331" i="17" a="1"/>
  <c r="Y349" i="17" a="1"/>
  <c r="Y367" i="17" a="1"/>
  <c r="Y375" i="17" a="1"/>
  <c r="Y391" i="17" a="1"/>
  <c r="Y167" i="17" a="1"/>
  <c r="Y188" i="17" a="1"/>
  <c r="Y206" i="17" a="1"/>
  <c r="Y242" i="17" a="1"/>
  <c r="Y278" i="17" a="1"/>
  <c r="Y332" i="17" a="1"/>
  <c r="Y350" i="17" a="1"/>
  <c r="Y376" i="17" a="1"/>
  <c r="Y392" i="17" a="1"/>
  <c r="Y16" i="17" a="1"/>
  <c r="Y52" i="17" a="1"/>
  <c r="Y76" i="17" a="1"/>
  <c r="Y100" i="17" a="1"/>
  <c r="Y124" i="17" a="1"/>
  <c r="Y159" i="17" a="1"/>
  <c r="Y197" i="17" a="1"/>
  <c r="Y215" i="17" a="1"/>
  <c r="Y243" i="17" a="1"/>
  <c r="Y261" i="17" a="1"/>
  <c r="Y279" i="17" a="1"/>
  <c r="Y305" i="17" a="1"/>
  <c r="Y323" i="17" a="1"/>
  <c r="Y351" i="17" a="1"/>
  <c r="Y369" i="17" a="1"/>
  <c r="Y393" i="17" a="1"/>
  <c r="Y170" i="17" a="1"/>
  <c r="Y217" i="17" a="1"/>
  <c r="Y253" i="17" a="1"/>
  <c r="Y307" i="17" a="1"/>
  <c r="Y5" i="17" a="1"/>
  <c r="Y53" i="17" a="1"/>
  <c r="Y77" i="17" a="1"/>
  <c r="Y101" i="17" a="1"/>
  <c r="Y137" i="17" a="1"/>
  <c r="Y160" i="17" a="1"/>
  <c r="Y190" i="17" a="1"/>
  <c r="Y226" i="17" a="1"/>
  <c r="Y244" i="17" a="1"/>
  <c r="Y298" i="17" a="1"/>
  <c r="Y14" i="17" a="1"/>
  <c r="Y26" i="17" a="1"/>
  <c r="Y38" i="17" a="1"/>
  <c r="Y50" i="17" a="1"/>
  <c r="Y62" i="17" a="1"/>
  <c r="Y74" i="17" a="1"/>
  <c r="Y86" i="17" a="1"/>
  <c r="Y98" i="17" a="1"/>
  <c r="Y110" i="17" a="1"/>
  <c r="Y122" i="17" a="1"/>
  <c r="Y134" i="17" a="1"/>
  <c r="Y146" i="17" a="1"/>
  <c r="Y196" i="17" a="1"/>
  <c r="Y214" i="17" a="1"/>
  <c r="Y232" i="17" a="1"/>
  <c r="Y250" i="17" a="1"/>
  <c r="Y268" i="17" a="1"/>
  <c r="Y286" i="17" a="1"/>
  <c r="Y304" i="17" a="1"/>
  <c r="Y322" i="17" a="1"/>
  <c r="Y340" i="17" a="1"/>
  <c r="Y358" i="17" a="1"/>
  <c r="Y383" i="17" a="1"/>
  <c r="Y158" i="17" a="1"/>
  <c r="Y178" i="17" a="1"/>
  <c r="Y224" i="17" a="1"/>
  <c r="Y260" i="17" a="1"/>
  <c r="Y296" i="17" a="1"/>
  <c r="Y314" i="17" a="1"/>
  <c r="Y368" i="17" a="1"/>
  <c r="Y384" i="17" a="1"/>
  <c r="Y4" i="17" a="1"/>
  <c r="Y40" i="17" a="1"/>
  <c r="Y64" i="17" a="1"/>
  <c r="Y88" i="17" a="1"/>
  <c r="Y112" i="17" a="1"/>
  <c r="Y148" i="17" a="1"/>
  <c r="Y189" i="17" a="1"/>
  <c r="Y207" i="17" a="1"/>
  <c r="Y233" i="17" a="1"/>
  <c r="Y251" i="17" a="1"/>
  <c r="Y269" i="17" a="1"/>
  <c r="Y297" i="17" a="1"/>
  <c r="Y315" i="17" a="1"/>
  <c r="Y333" i="17" a="1"/>
  <c r="Y359" i="17" a="1"/>
  <c r="Y179" i="17" a="1"/>
  <c r="Y199" i="17" a="1"/>
  <c r="Y235" i="17" a="1"/>
  <c r="Y271" i="17" a="1"/>
  <c r="Y289" i="17" a="1"/>
  <c r="Y325" i="17" a="1"/>
  <c r="Y361" i="17" a="1"/>
  <c r="Y17" i="17" a="1"/>
  <c r="Y41" i="17" a="1"/>
  <c r="Y65" i="17" a="1"/>
  <c r="Y89" i="17" a="1"/>
  <c r="Y125" i="17" a="1"/>
  <c r="Y149" i="17" a="1"/>
  <c r="Y208" i="17" a="1"/>
  <c r="Y262" i="17" a="1"/>
  <c r="Y316" i="17" a="1"/>
  <c r="Y329" i="17" a="1"/>
  <c r="Y365" i="17" a="1"/>
  <c r="Y35" i="17" a="1"/>
  <c r="Y107" i="17" a="1"/>
  <c r="Y176" i="17" a="1"/>
  <c r="Y231" i="17" a="1"/>
  <c r="Y285" i="17" a="1"/>
  <c r="Y334" i="17" a="1"/>
  <c r="Y370" i="17" a="1"/>
  <c r="Y182" i="17" a="1"/>
  <c r="Y236" i="17" a="1"/>
  <c r="Y290" i="17" a="1"/>
  <c r="Y47" i="17" a="1"/>
  <c r="Y119" i="17" a="1"/>
  <c r="Y185" i="17" a="1"/>
  <c r="Y239" i="17" a="1"/>
  <c r="Y293" i="17" a="1"/>
  <c r="Y339" i="17" a="1"/>
  <c r="Y374" i="17" a="1"/>
  <c r="Y378" i="17" a="1"/>
  <c r="Y59" i="17" a="1"/>
  <c r="Y131" i="17" a="1"/>
  <c r="Y195" i="17" a="1"/>
  <c r="Y249" i="17" a="1"/>
  <c r="Y303" i="17" a="1"/>
  <c r="Y344" i="17" a="1"/>
  <c r="Y379" i="17" a="1"/>
  <c r="Y143" i="17" a="1"/>
  <c r="Y203" i="17" a="1"/>
  <c r="Y352" i="17" a="1"/>
  <c r="Y387" i="17" a="1"/>
  <c r="Y83" i="17" a="1"/>
  <c r="Y213" i="17" a="1"/>
  <c r="Y321" i="17" a="1"/>
  <c r="Y218" i="17" a="1"/>
  <c r="Y23" i="17" a="1"/>
  <c r="Y221" i="17" a="1"/>
  <c r="Y326" i="17" a="1"/>
  <c r="Y200" i="17" a="1"/>
  <c r="Y254" i="17" a="1"/>
  <c r="Y308" i="17" a="1"/>
  <c r="Y347" i="17" a="1"/>
  <c r="Y382" i="17" a="1"/>
  <c r="Y71" i="17" a="1"/>
  <c r="Y257" i="17" a="1"/>
  <c r="Y311" i="17" a="1"/>
  <c r="Y386" i="17" a="1"/>
  <c r="Y11" i="17" a="1"/>
  <c r="Y267" i="17" a="1"/>
  <c r="Y357" i="17" a="1"/>
  <c r="Y390" i="17" a="1"/>
  <c r="Y272" i="17" a="1"/>
  <c r="Y95" i="17" a="1"/>
  <c r="Y275" i="17" a="1"/>
  <c r="Y362" i="17" a="1"/>
  <c r="Y3" i="17" a="1"/>
  <c r="X4" i="17" a="1"/>
  <c r="X10" i="17" a="1"/>
  <c r="X16" i="17" a="1"/>
  <c r="X22" i="17" a="1"/>
  <c r="X28" i="17" a="1"/>
  <c r="X34" i="17" a="1"/>
  <c r="X40" i="17" a="1"/>
  <c r="X46" i="17" a="1"/>
  <c r="X52" i="17" a="1"/>
  <c r="X58" i="17" a="1"/>
  <c r="X64" i="17" a="1"/>
  <c r="X70" i="17" a="1"/>
  <c r="X76" i="17" a="1"/>
  <c r="X82" i="17" a="1"/>
  <c r="X88" i="17" a="1"/>
  <c r="X94" i="17" a="1"/>
  <c r="X100" i="17" a="1"/>
  <c r="X106" i="17" a="1"/>
  <c r="X112" i="17" a="1"/>
  <c r="X118" i="17" a="1"/>
  <c r="X124" i="17" a="1"/>
  <c r="X130" i="17" a="1"/>
  <c r="X136" i="17" a="1"/>
  <c r="X142" i="17" a="1"/>
  <c r="X148" i="17" a="1"/>
  <c r="X154" i="17" a="1"/>
  <c r="X160" i="17" a="1"/>
  <c r="X166" i="17" a="1"/>
  <c r="X172" i="17" a="1"/>
  <c r="X178" i="17" a="1"/>
  <c r="X184" i="17" a="1"/>
  <c r="X190" i="17" a="1"/>
  <c r="X196" i="17" a="1"/>
  <c r="X202" i="17" a="1"/>
  <c r="X208" i="17" a="1"/>
  <c r="X214" i="17" a="1"/>
  <c r="X220" i="17" a="1"/>
  <c r="X226" i="17" a="1"/>
  <c r="X232" i="17" a="1"/>
  <c r="X238" i="17" a="1"/>
  <c r="X244" i="17" a="1"/>
  <c r="X250" i="17" a="1"/>
  <c r="X256" i="17" a="1"/>
  <c r="X262" i="17" a="1"/>
  <c r="X268" i="17" a="1"/>
  <c r="X274" i="17" a="1"/>
  <c r="X280" i="17" a="1"/>
  <c r="X286" i="17" a="1"/>
  <c r="X292" i="17" a="1"/>
  <c r="X298" i="17" a="1"/>
  <c r="X304" i="17" a="1"/>
  <c r="X310" i="17" a="1"/>
  <c r="X316" i="17" a="1"/>
  <c r="X322" i="17" a="1"/>
  <c r="X328" i="17" a="1"/>
  <c r="X5" i="17" a="1"/>
  <c r="X11" i="17" a="1"/>
  <c r="X17" i="17" a="1"/>
  <c r="X23" i="17" a="1"/>
  <c r="X29" i="17" a="1"/>
  <c r="X35" i="17" a="1"/>
  <c r="X41" i="17" a="1"/>
  <c r="X47" i="17" a="1"/>
  <c r="X53" i="17" a="1"/>
  <c r="X59" i="17" a="1"/>
  <c r="X65" i="17" a="1"/>
  <c r="X71" i="17" a="1"/>
  <c r="X77" i="17" a="1"/>
  <c r="X83" i="17" a="1"/>
  <c r="X89" i="17" a="1"/>
  <c r="X95" i="17" a="1"/>
  <c r="X101" i="17" a="1"/>
  <c r="X107" i="17" a="1"/>
  <c r="X113" i="17" a="1"/>
  <c r="X174" i="17" a="1"/>
  <c r="X222" i="17" a="1"/>
  <c r="X234" i="17" a="1"/>
  <c r="X246" i="17" a="1"/>
  <c r="X258" i="17" a="1"/>
  <c r="X270" i="17" a="1"/>
  <c r="X276" i="17" a="1"/>
  <c r="X288" i="17" a="1"/>
  <c r="X300" i="17" a="1"/>
  <c r="X312" i="17" a="1"/>
  <c r="X324" i="17" a="1"/>
  <c r="X330" i="17" a="1"/>
  <c r="X342" i="17" a="1"/>
  <c r="X348" i="17" a="1"/>
  <c r="X360" i="17" a="1"/>
  <c r="X372" i="17" a="1"/>
  <c r="X384" i="17" a="1"/>
  <c r="X181" i="17" a="1"/>
  <c r="X229" i="17" a="1"/>
  <c r="X247" i="17" a="1"/>
  <c r="X271" i="17" a="1"/>
  <c r="X289" i="17" a="1"/>
  <c r="X307" i="17" a="1"/>
  <c r="X331" i="17" a="1"/>
  <c r="X355" i="17" a="1"/>
  <c r="X373" i="17" a="1"/>
  <c r="X117" i="17" a="1"/>
  <c r="X225" i="17" a="1"/>
  <c r="X291" i="17" a="1"/>
  <c r="X339" i="17" a="1"/>
  <c r="X6" i="17" a="1"/>
  <c r="X12" i="17" a="1"/>
  <c r="X18" i="17" a="1"/>
  <c r="X24" i="17" a="1"/>
  <c r="X30" i="17" a="1"/>
  <c r="X36" i="17" a="1"/>
  <c r="X42" i="17" a="1"/>
  <c r="X48" i="17" a="1"/>
  <c r="X54" i="17" a="1"/>
  <c r="X60" i="17" a="1"/>
  <c r="X66" i="17" a="1"/>
  <c r="X72" i="17" a="1"/>
  <c r="X78" i="17" a="1"/>
  <c r="X84" i="17" a="1"/>
  <c r="X90" i="17" a="1"/>
  <c r="X96" i="17" a="1"/>
  <c r="X102" i="17" a="1"/>
  <c r="X108" i="17" a="1"/>
  <c r="X114" i="17" a="1"/>
  <c r="X120" i="17" a="1"/>
  <c r="X126" i="17" a="1"/>
  <c r="X132" i="17" a="1"/>
  <c r="X138" i="17" a="1"/>
  <c r="X144" i="17" a="1"/>
  <c r="X150" i="17" a="1"/>
  <c r="X156" i="17" a="1"/>
  <c r="X162" i="17" a="1"/>
  <c r="X168" i="17" a="1"/>
  <c r="X180" i="17" a="1"/>
  <c r="X186" i="17" a="1"/>
  <c r="X192" i="17" a="1"/>
  <c r="X198" i="17" a="1"/>
  <c r="X204" i="17" a="1"/>
  <c r="X210" i="17" a="1"/>
  <c r="X216" i="17" a="1"/>
  <c r="X228" i="17" a="1"/>
  <c r="X240" i="17" a="1"/>
  <c r="X252" i="17" a="1"/>
  <c r="X264" i="17" a="1"/>
  <c r="X282" i="17" a="1"/>
  <c r="X294" i="17" a="1"/>
  <c r="X306" i="17" a="1"/>
  <c r="X318" i="17" a="1"/>
  <c r="X336" i="17" a="1"/>
  <c r="X354" i="17" a="1"/>
  <c r="X366" i="17" a="1"/>
  <c r="X378" i="17" a="1"/>
  <c r="X390" i="17" a="1"/>
  <c r="X187" i="17" a="1"/>
  <c r="X259" i="17" a="1"/>
  <c r="X283" i="17" a="1"/>
  <c r="X313" i="17" a="1"/>
  <c r="X337" i="17" a="1"/>
  <c r="X361" i="17" a="1"/>
  <c r="X385" i="17" a="1"/>
  <c r="X123" i="17" a="1"/>
  <c r="X297" i="17" a="1"/>
  <c r="X7" i="17" a="1"/>
  <c r="X19" i="17" a="1"/>
  <c r="X25" i="17" a="1"/>
  <c r="X31" i="17" a="1"/>
  <c r="X37" i="17" a="1"/>
  <c r="X43" i="17" a="1"/>
  <c r="X49" i="17" a="1"/>
  <c r="X61" i="17" a="1"/>
  <c r="X67" i="17" a="1"/>
  <c r="X79" i="17" a="1"/>
  <c r="X85" i="17" a="1"/>
  <c r="X97" i="17" a="1"/>
  <c r="X109" i="17" a="1"/>
  <c r="X121" i="17" a="1"/>
  <c r="X133" i="17" a="1"/>
  <c r="X145" i="17" a="1"/>
  <c r="X157" i="17" a="1"/>
  <c r="X169" i="17" a="1"/>
  <c r="X199" i="17" a="1"/>
  <c r="X217" i="17" a="1"/>
  <c r="X235" i="17" a="1"/>
  <c r="X253" i="17" a="1"/>
  <c r="X277" i="17" a="1"/>
  <c r="X301" i="17" a="1"/>
  <c r="X325" i="17" a="1"/>
  <c r="X349" i="17" a="1"/>
  <c r="X379" i="17" a="1"/>
  <c r="X141" i="17" a="1"/>
  <c r="X267" i="17" a="1"/>
  <c r="X333" i="17" a="1"/>
  <c r="X13" i="17" a="1"/>
  <c r="X55" i="17" a="1"/>
  <c r="X73" i="17" a="1"/>
  <c r="X91" i="17" a="1"/>
  <c r="X103" i="17" a="1"/>
  <c r="X115" i="17" a="1"/>
  <c r="X127" i="17" a="1"/>
  <c r="X139" i="17" a="1"/>
  <c r="X151" i="17" a="1"/>
  <c r="X163" i="17" a="1"/>
  <c r="X175" i="17" a="1"/>
  <c r="X193" i="17" a="1"/>
  <c r="X205" i="17" a="1"/>
  <c r="X211" i="17" a="1"/>
  <c r="X223" i="17" a="1"/>
  <c r="X241" i="17" a="1"/>
  <c r="X265" i="17" a="1"/>
  <c r="X295" i="17" a="1"/>
  <c r="X319" i="17" a="1"/>
  <c r="X343" i="17" a="1"/>
  <c r="X367" i="17" a="1"/>
  <c r="X391" i="17" a="1"/>
  <c r="X147" i="17" a="1"/>
  <c r="X255" i="17" a="1"/>
  <c r="X327" i="17" a="1"/>
  <c r="X326" i="17" a="1"/>
  <c r="X374" i="17" a="1"/>
  <c r="X51" i="17" a="1"/>
  <c r="X171" i="17" a="1"/>
  <c r="X207" i="17" a="1"/>
  <c r="X237" i="17" a="1"/>
  <c r="X273" i="17" a="1"/>
  <c r="X315" i="17" a="1"/>
  <c r="X357" i="17" a="1"/>
  <c r="X8" i="17" a="1"/>
  <c r="X14" i="17" a="1"/>
  <c r="X20" i="17" a="1"/>
  <c r="X26" i="17" a="1"/>
  <c r="X32" i="17" a="1"/>
  <c r="X38" i="17" a="1"/>
  <c r="X44" i="17" a="1"/>
  <c r="X50" i="17" a="1"/>
  <c r="X56" i="17" a="1"/>
  <c r="X62" i="17" a="1"/>
  <c r="X68" i="17" a="1"/>
  <c r="X74" i="17" a="1"/>
  <c r="X80" i="17" a="1"/>
  <c r="X86" i="17" a="1"/>
  <c r="X92" i="17" a="1"/>
  <c r="X98" i="17" a="1"/>
  <c r="X104" i="17" a="1"/>
  <c r="X110" i="17" a="1"/>
  <c r="X116" i="17" a="1"/>
  <c r="X122" i="17" a="1"/>
  <c r="X128" i="17" a="1"/>
  <c r="X134" i="17" a="1"/>
  <c r="X140" i="17" a="1"/>
  <c r="X146" i="17" a="1"/>
  <c r="X152" i="17" a="1"/>
  <c r="X158" i="17" a="1"/>
  <c r="X164" i="17" a="1"/>
  <c r="X170" i="17" a="1"/>
  <c r="X176" i="17" a="1"/>
  <c r="X182" i="17" a="1"/>
  <c r="X188" i="17" a="1"/>
  <c r="X194" i="17" a="1"/>
  <c r="X200" i="17" a="1"/>
  <c r="X206" i="17" a="1"/>
  <c r="X212" i="17" a="1"/>
  <c r="X218" i="17" a="1"/>
  <c r="X224" i="17" a="1"/>
  <c r="X230" i="17" a="1"/>
  <c r="X236" i="17" a="1"/>
  <c r="X242" i="17" a="1"/>
  <c r="X248" i="17" a="1"/>
  <c r="X254" i="17" a="1"/>
  <c r="X260" i="17" a="1"/>
  <c r="X266" i="17" a="1"/>
  <c r="X272" i="17" a="1"/>
  <c r="X278" i="17" a="1"/>
  <c r="X284" i="17" a="1"/>
  <c r="X290" i="17" a="1"/>
  <c r="X296" i="17" a="1"/>
  <c r="X302" i="17" a="1"/>
  <c r="X308" i="17" a="1"/>
  <c r="X314" i="17" a="1"/>
  <c r="X320" i="17" a="1"/>
  <c r="X332" i="17" a="1"/>
  <c r="X338" i="17" a="1"/>
  <c r="X344" i="17" a="1"/>
  <c r="X350" i="17" a="1"/>
  <c r="X356" i="17" a="1"/>
  <c r="X362" i="17" a="1"/>
  <c r="X368" i="17" a="1"/>
  <c r="X380" i="17" a="1"/>
  <c r="X386" i="17" a="1"/>
  <c r="X392" i="17" a="1"/>
  <c r="X57" i="17" a="1"/>
  <c r="X159" i="17" a="1"/>
  <c r="X201" i="17" a="1"/>
  <c r="X231" i="17" a="1"/>
  <c r="X261" i="17" a="1"/>
  <c r="X285" i="17" a="1"/>
  <c r="X309" i="17" a="1"/>
  <c r="X345" i="17" a="1"/>
  <c r="X9" i="17" a="1"/>
  <c r="X69" i="17" a="1"/>
  <c r="X81" i="17" a="1"/>
  <c r="X93" i="17" a="1"/>
  <c r="X105" i="17" a="1"/>
  <c r="X135" i="17" a="1"/>
  <c r="X165" i="17" a="1"/>
  <c r="X183" i="17" a="1"/>
  <c r="X195" i="17" a="1"/>
  <c r="X219" i="17" a="1"/>
  <c r="X243" i="17" a="1"/>
  <c r="X279" i="17" a="1"/>
  <c r="X321" i="17" a="1"/>
  <c r="X363" i="17" a="1"/>
  <c r="X15" i="17" a="1"/>
  <c r="X21" i="17" a="1"/>
  <c r="X27" i="17" a="1"/>
  <c r="X33" i="17" a="1"/>
  <c r="X39" i="17" a="1"/>
  <c r="X45" i="17" a="1"/>
  <c r="X63" i="17" a="1"/>
  <c r="X75" i="17" a="1"/>
  <c r="X87" i="17" a="1"/>
  <c r="X99" i="17" a="1"/>
  <c r="X111" i="17" a="1"/>
  <c r="X129" i="17" a="1"/>
  <c r="X153" i="17" a="1"/>
  <c r="X177" i="17" a="1"/>
  <c r="X189" i="17" a="1"/>
  <c r="X213" i="17" a="1"/>
  <c r="X249" i="17" a="1"/>
  <c r="X303" i="17" a="1"/>
  <c r="X351" i="17" a="1"/>
  <c r="X371" i="17" a="1"/>
  <c r="X149" i="17" a="1"/>
  <c r="X185" i="17" a="1"/>
  <c r="X221" i="17" a="1"/>
  <c r="X257" i="17" a="1"/>
  <c r="X293" i="17" a="1"/>
  <c r="X317" i="17" a="1"/>
  <c r="X340" i="17" a="1"/>
  <c r="X358" i="17" a="1"/>
  <c r="X375" i="17" a="1"/>
  <c r="X388" i="17" a="1"/>
  <c r="X119" i="17" a="1"/>
  <c r="X155" i="17" a="1"/>
  <c r="X191" i="17" a="1"/>
  <c r="X227" i="17" a="1"/>
  <c r="X263" i="17" a="1"/>
  <c r="X341" i="17" a="1"/>
  <c r="X359" i="17" a="1"/>
  <c r="X376" i="17" a="1"/>
  <c r="X389" i="17" a="1"/>
  <c r="X299" i="17" a="1"/>
  <c r="X323" i="17" a="1"/>
  <c r="X393" i="17" a="1"/>
  <c r="X125" i="17" a="1"/>
  <c r="X161" i="17" a="1"/>
  <c r="X197" i="17" a="1"/>
  <c r="X233" i="17" a="1"/>
  <c r="X269" i="17" a="1"/>
  <c r="X346" i="17" a="1"/>
  <c r="X364" i="17" a="1"/>
  <c r="X377" i="17" a="1"/>
  <c r="X275" i="17" a="1"/>
  <c r="X347" i="17" a="1"/>
  <c r="X369" i="17" a="1"/>
  <c r="X137" i="17" a="1"/>
  <c r="X209" i="17" a="1"/>
  <c r="X281" i="17" a="1"/>
  <c r="X352" i="17" a="1"/>
  <c r="X383" i="17" a="1"/>
  <c r="X143" i="17" a="1"/>
  <c r="X215" i="17" a="1"/>
  <c r="X287" i="17" a="1"/>
  <c r="X353" i="17" a="1"/>
  <c r="X387" i="17" a="1"/>
  <c r="X381" i="17" a="1"/>
  <c r="X131" i="17" a="1"/>
  <c r="X167" i="17" a="1"/>
  <c r="X203" i="17" a="1"/>
  <c r="X239" i="17" a="1"/>
  <c r="X305" i="17" a="1"/>
  <c r="X329" i="17" a="1"/>
  <c r="X365" i="17" a="1"/>
  <c r="X382" i="17" a="1"/>
  <c r="X173" i="17" a="1"/>
  <c r="X245" i="17" a="1"/>
  <c r="X334" i="17" a="1"/>
  <c r="X311" i="17" a="1"/>
  <c r="X370" i="17" a="1"/>
  <c r="X179" i="17" a="1"/>
  <c r="X251" i="17" a="1"/>
  <c r="X335" i="17" a="1"/>
  <c r="X3" i="17" a="1"/>
  <c r="W4" i="17" a="1"/>
  <c r="W10" i="17" a="1"/>
  <c r="W16" i="17" a="1"/>
  <c r="W22" i="17" a="1"/>
  <c r="W28" i="17" a="1"/>
  <c r="W34" i="17" a="1"/>
  <c r="W40" i="17" a="1"/>
  <c r="W46" i="17" a="1"/>
  <c r="W52" i="17" a="1"/>
  <c r="W58" i="17" a="1"/>
  <c r="W64" i="17" a="1"/>
  <c r="W70" i="17" a="1"/>
  <c r="W76" i="17" a="1"/>
  <c r="W82" i="17" a="1"/>
  <c r="W88" i="17" a="1"/>
  <c r="W94" i="17" a="1"/>
  <c r="W100" i="17" a="1"/>
  <c r="W106" i="17" a="1"/>
  <c r="W112" i="17" a="1"/>
  <c r="W118" i="17" a="1"/>
  <c r="W124" i="17" a="1"/>
  <c r="W130" i="17" a="1"/>
  <c r="W136" i="17" a="1"/>
  <c r="W142" i="17" a="1"/>
  <c r="W148" i="17" a="1"/>
  <c r="W154" i="17" a="1"/>
  <c r="W160" i="17" a="1"/>
  <c r="W166" i="17" a="1"/>
  <c r="W172" i="17" a="1"/>
  <c r="W178" i="17" a="1"/>
  <c r="W184" i="17" a="1"/>
  <c r="W190" i="17" a="1"/>
  <c r="W196" i="17" a="1"/>
  <c r="W202" i="17" a="1"/>
  <c r="W208" i="17" a="1"/>
  <c r="W214" i="17" a="1"/>
  <c r="W220" i="17" a="1"/>
  <c r="W226" i="17" a="1"/>
  <c r="W232" i="17" a="1"/>
  <c r="W238" i="17" a="1"/>
  <c r="W244" i="17" a="1"/>
  <c r="W250" i="17" a="1"/>
  <c r="W256" i="17" a="1"/>
  <c r="W262" i="17" a="1"/>
  <c r="W268" i="17" a="1"/>
  <c r="W274" i="17" a="1"/>
  <c r="W280" i="17" a="1"/>
  <c r="W286" i="17" a="1"/>
  <c r="W292" i="17" a="1"/>
  <c r="W298" i="17" a="1"/>
  <c r="W304" i="17" a="1"/>
  <c r="W310" i="17" a="1"/>
  <c r="W316" i="17" a="1"/>
  <c r="W322" i="17" a="1"/>
  <c r="W328" i="17" a="1"/>
  <c r="W334" i="17" a="1"/>
  <c r="W340" i="17" a="1"/>
  <c r="W346" i="17" a="1"/>
  <c r="W352" i="17" a="1"/>
  <c r="W358" i="17" a="1"/>
  <c r="W364" i="17" a="1"/>
  <c r="W370" i="17" a="1"/>
  <c r="W376" i="17" a="1"/>
  <c r="W382" i="17" a="1"/>
  <c r="W388" i="17" a="1"/>
  <c r="W65" i="17" a="1"/>
  <c r="W131" i="17" a="1"/>
  <c r="W149" i="17" a="1"/>
  <c r="W161" i="17" a="1"/>
  <c r="W173" i="17" a="1"/>
  <c r="W185" i="17" a="1"/>
  <c r="W197" i="17" a="1"/>
  <c r="W209" i="17" a="1"/>
  <c r="W221" i="17" a="1"/>
  <c r="W227" i="17" a="1"/>
  <c r="W239" i="17" a="1"/>
  <c r="W251" i="17" a="1"/>
  <c r="W263" i="17" a="1"/>
  <c r="W275" i="17" a="1"/>
  <c r="W287" i="17" a="1"/>
  <c r="W299" i="17" a="1"/>
  <c r="W311" i="17" a="1"/>
  <c r="W329" i="17" a="1"/>
  <c r="W341" i="17" a="1"/>
  <c r="W353" i="17" a="1"/>
  <c r="W365" i="17" a="1"/>
  <c r="W377" i="17" a="1"/>
  <c r="W389" i="17" a="1"/>
  <c r="W369" i="17" a="1"/>
  <c r="W5" i="17" a="1"/>
  <c r="W11" i="17" a="1"/>
  <c r="W17" i="17" a="1"/>
  <c r="W23" i="17" a="1"/>
  <c r="W29" i="17" a="1"/>
  <c r="W35" i="17" a="1"/>
  <c r="W41" i="17" a="1"/>
  <c r="W47" i="17" a="1"/>
  <c r="W53" i="17" a="1"/>
  <c r="W59" i="17" a="1"/>
  <c r="W71" i="17" a="1"/>
  <c r="W77" i="17" a="1"/>
  <c r="W83" i="17" a="1"/>
  <c r="W89" i="17" a="1"/>
  <c r="W95" i="17" a="1"/>
  <c r="W101" i="17" a="1"/>
  <c r="W107" i="17" a="1"/>
  <c r="W113" i="17" a="1"/>
  <c r="W119" i="17" a="1"/>
  <c r="W125" i="17" a="1"/>
  <c r="W137" i="17" a="1"/>
  <c r="W143" i="17" a="1"/>
  <c r="W155" i="17" a="1"/>
  <c r="W167" i="17" a="1"/>
  <c r="W179" i="17" a="1"/>
  <c r="W191" i="17" a="1"/>
  <c r="W203" i="17" a="1"/>
  <c r="W215" i="17" a="1"/>
  <c r="W233" i="17" a="1"/>
  <c r="W245" i="17" a="1"/>
  <c r="W257" i="17" a="1"/>
  <c r="W269" i="17" a="1"/>
  <c r="W281" i="17" a="1"/>
  <c r="W293" i="17" a="1"/>
  <c r="W305" i="17" a="1"/>
  <c r="W317" i="17" a="1"/>
  <c r="W323" i="17" a="1"/>
  <c r="W335" i="17" a="1"/>
  <c r="W347" i="17" a="1"/>
  <c r="W359" i="17" a="1"/>
  <c r="W371" i="17" a="1"/>
  <c r="W383" i="17" a="1"/>
  <c r="W339" i="17" a="1"/>
  <c r="W204" i="17" a="1"/>
  <c r="W240" i="17" a="1"/>
  <c r="W258" i="17" a="1"/>
  <c r="W270" i="17" a="1"/>
  <c r="W282" i="17" a="1"/>
  <c r="W294" i="17" a="1"/>
  <c r="W306" i="17" a="1"/>
  <c r="W318" i="17" a="1"/>
  <c r="W330" i="17" a="1"/>
  <c r="W342" i="17" a="1"/>
  <c r="W354" i="17" a="1"/>
  <c r="W366" i="17" a="1"/>
  <c r="W378" i="17" a="1"/>
  <c r="W390" i="17" a="1"/>
  <c r="W380" i="17" a="1"/>
  <c r="W129" i="17" a="1"/>
  <c r="W213" i="17" a="1"/>
  <c r="W285" i="17" a="1"/>
  <c r="W351" i="17" a="1"/>
  <c r="W6" i="17" a="1"/>
  <c r="W12" i="17" a="1"/>
  <c r="W18" i="17" a="1"/>
  <c r="W24" i="17" a="1"/>
  <c r="W30" i="17" a="1"/>
  <c r="W36" i="17" a="1"/>
  <c r="W42" i="17" a="1"/>
  <c r="W48" i="17" a="1"/>
  <c r="W54" i="17" a="1"/>
  <c r="W60" i="17" a="1"/>
  <c r="W66" i="17" a="1"/>
  <c r="W72" i="17" a="1"/>
  <c r="W78" i="17" a="1"/>
  <c r="W84" i="17" a="1"/>
  <c r="W90" i="17" a="1"/>
  <c r="W96" i="17" a="1"/>
  <c r="W102" i="17" a="1"/>
  <c r="W108" i="17" a="1"/>
  <c r="W114" i="17" a="1"/>
  <c r="W120" i="17" a="1"/>
  <c r="W126" i="17" a="1"/>
  <c r="W132" i="17" a="1"/>
  <c r="W138" i="17" a="1"/>
  <c r="W144" i="17" a="1"/>
  <c r="W150" i="17" a="1"/>
  <c r="W156" i="17" a="1"/>
  <c r="W162" i="17" a="1"/>
  <c r="W168" i="17" a="1"/>
  <c r="W174" i="17" a="1"/>
  <c r="W180" i="17" a="1"/>
  <c r="W186" i="17" a="1"/>
  <c r="W192" i="17" a="1"/>
  <c r="W198" i="17" a="1"/>
  <c r="W210" i="17" a="1"/>
  <c r="W216" i="17" a="1"/>
  <c r="W222" i="17" a="1"/>
  <c r="W228" i="17" a="1"/>
  <c r="W234" i="17" a="1"/>
  <c r="W246" i="17" a="1"/>
  <c r="W252" i="17" a="1"/>
  <c r="W264" i="17" a="1"/>
  <c r="W276" i="17" a="1"/>
  <c r="W288" i="17" a="1"/>
  <c r="W300" i="17" a="1"/>
  <c r="W312" i="17" a="1"/>
  <c r="W324" i="17" a="1"/>
  <c r="W336" i="17" a="1"/>
  <c r="W348" i="17" a="1"/>
  <c r="W360" i="17" a="1"/>
  <c r="W372" i="17" a="1"/>
  <c r="W384" i="17" a="1"/>
  <c r="W374" i="17" a="1"/>
  <c r="W123" i="17" a="1"/>
  <c r="W219" i="17" a="1"/>
  <c r="W291" i="17" a="1"/>
  <c r="W363" i="17" a="1"/>
  <c r="W223" i="17" a="1"/>
  <c r="W277" i="17" a="1"/>
  <c r="W301" i="17" a="1"/>
  <c r="W313" i="17" a="1"/>
  <c r="W325" i="17" a="1"/>
  <c r="W337" i="17" a="1"/>
  <c r="W349" i="17" a="1"/>
  <c r="W361" i="17" a="1"/>
  <c r="W373" i="17" a="1"/>
  <c r="W385" i="17" a="1"/>
  <c r="W356" i="17" a="1"/>
  <c r="W159" i="17" a="1"/>
  <c r="W249" i="17" a="1"/>
  <c r="W309" i="17" a="1"/>
  <c r="W381" i="17" a="1"/>
  <c r="W7" i="17" a="1"/>
  <c r="W13" i="17" a="1"/>
  <c r="W19" i="17" a="1"/>
  <c r="W25" i="17" a="1"/>
  <c r="W31" i="17" a="1"/>
  <c r="W37" i="17" a="1"/>
  <c r="W43" i="17" a="1"/>
  <c r="W49" i="17" a="1"/>
  <c r="W55" i="17" a="1"/>
  <c r="W61" i="17" a="1"/>
  <c r="W67" i="17" a="1"/>
  <c r="W73" i="17" a="1"/>
  <c r="W79" i="17" a="1"/>
  <c r="W85" i="17" a="1"/>
  <c r="W91" i="17" a="1"/>
  <c r="W97" i="17" a="1"/>
  <c r="W103" i="17" a="1"/>
  <c r="W109" i="17" a="1"/>
  <c r="W115" i="17" a="1"/>
  <c r="W121" i="17" a="1"/>
  <c r="W127" i="17" a="1"/>
  <c r="W133" i="17" a="1"/>
  <c r="W139" i="17" a="1"/>
  <c r="W145" i="17" a="1"/>
  <c r="W151" i="17" a="1"/>
  <c r="W157" i="17" a="1"/>
  <c r="W163" i="17" a="1"/>
  <c r="W169" i="17" a="1"/>
  <c r="W175" i="17" a="1"/>
  <c r="W181" i="17" a="1"/>
  <c r="W187" i="17" a="1"/>
  <c r="W193" i="17" a="1"/>
  <c r="W199" i="17" a="1"/>
  <c r="W205" i="17" a="1"/>
  <c r="W211" i="17" a="1"/>
  <c r="W217" i="17" a="1"/>
  <c r="W229" i="17" a="1"/>
  <c r="W235" i="17" a="1"/>
  <c r="W241" i="17" a="1"/>
  <c r="W247" i="17" a="1"/>
  <c r="W253" i="17" a="1"/>
  <c r="W259" i="17" a="1"/>
  <c r="W265" i="17" a="1"/>
  <c r="W271" i="17" a="1"/>
  <c r="W283" i="17" a="1"/>
  <c r="W289" i="17" a="1"/>
  <c r="W295" i="17" a="1"/>
  <c r="W307" i="17" a="1"/>
  <c r="W319" i="17" a="1"/>
  <c r="W331" i="17" a="1"/>
  <c r="W343" i="17" a="1"/>
  <c r="W355" i="17" a="1"/>
  <c r="W367" i="17" a="1"/>
  <c r="W379" i="17" a="1"/>
  <c r="W391" i="17" a="1"/>
  <c r="W392" i="17" a="1"/>
  <c r="W153" i="17" a="1"/>
  <c r="W237" i="17" a="1"/>
  <c r="W279" i="17" a="1"/>
  <c r="W327" i="17" a="1"/>
  <c r="W375" i="17" a="1"/>
  <c r="W158" i="17" a="1"/>
  <c r="W218" i="17" a="1"/>
  <c r="W236" i="17" a="1"/>
  <c r="W254" i="17" a="1"/>
  <c r="W266" i="17" a="1"/>
  <c r="W278" i="17" a="1"/>
  <c r="W290" i="17" a="1"/>
  <c r="W302" i="17" a="1"/>
  <c r="W314" i="17" a="1"/>
  <c r="W326" i="17" a="1"/>
  <c r="W338" i="17" a="1"/>
  <c r="W350" i="17" a="1"/>
  <c r="W368" i="17" a="1"/>
  <c r="W135" i="17" a="1"/>
  <c r="W207" i="17" a="1"/>
  <c r="W255" i="17" a="1"/>
  <c r="W273" i="17" a="1"/>
  <c r="W315" i="17" a="1"/>
  <c r="W357" i="17" a="1"/>
  <c r="W8" i="17" a="1"/>
  <c r="W14" i="17" a="1"/>
  <c r="W20" i="17" a="1"/>
  <c r="W26" i="17" a="1"/>
  <c r="W32" i="17" a="1"/>
  <c r="W38" i="17" a="1"/>
  <c r="W44" i="17" a="1"/>
  <c r="W50" i="17" a="1"/>
  <c r="W56" i="17" a="1"/>
  <c r="W62" i="17" a="1"/>
  <c r="W68" i="17" a="1"/>
  <c r="W74" i="17" a="1"/>
  <c r="W80" i="17" a="1"/>
  <c r="W86" i="17" a="1"/>
  <c r="W92" i="17" a="1"/>
  <c r="W98" i="17" a="1"/>
  <c r="W104" i="17" a="1"/>
  <c r="W110" i="17" a="1"/>
  <c r="W116" i="17" a="1"/>
  <c r="W122" i="17" a="1"/>
  <c r="W128" i="17" a="1"/>
  <c r="W134" i="17" a="1"/>
  <c r="W140" i="17" a="1"/>
  <c r="W146" i="17" a="1"/>
  <c r="W152" i="17" a="1"/>
  <c r="W164" i="17" a="1"/>
  <c r="W170" i="17" a="1"/>
  <c r="W176" i="17" a="1"/>
  <c r="W182" i="17" a="1"/>
  <c r="W188" i="17" a="1"/>
  <c r="W194" i="17" a="1"/>
  <c r="W200" i="17" a="1"/>
  <c r="W206" i="17" a="1"/>
  <c r="W212" i="17" a="1"/>
  <c r="W224" i="17" a="1"/>
  <c r="W230" i="17" a="1"/>
  <c r="W242" i="17" a="1"/>
  <c r="W248" i="17" a="1"/>
  <c r="W260" i="17" a="1"/>
  <c r="W272" i="17" a="1"/>
  <c r="W284" i="17" a="1"/>
  <c r="W296" i="17" a="1"/>
  <c r="W308" i="17" a="1"/>
  <c r="W320" i="17" a="1"/>
  <c r="W332" i="17" a="1"/>
  <c r="W344" i="17" a="1"/>
  <c r="W362" i="17" a="1"/>
  <c r="W386" i="17" a="1"/>
  <c r="W141" i="17" a="1"/>
  <c r="W243" i="17" a="1"/>
  <c r="W321" i="17" a="1"/>
  <c r="W393" i="17" a="1"/>
  <c r="W9" i="17" a="1"/>
  <c r="W15" i="17" a="1"/>
  <c r="W21" i="17" a="1"/>
  <c r="W27" i="17" a="1"/>
  <c r="W33" i="17" a="1"/>
  <c r="W39" i="17" a="1"/>
  <c r="W45" i="17" a="1"/>
  <c r="W51" i="17" a="1"/>
  <c r="W57" i="17" a="1"/>
  <c r="W63" i="17" a="1"/>
  <c r="W69" i="17" a="1"/>
  <c r="W75" i="17" a="1"/>
  <c r="W81" i="17" a="1"/>
  <c r="W93" i="17" a="1"/>
  <c r="W99" i="17" a="1"/>
  <c r="W105" i="17" a="1"/>
  <c r="W111" i="17" a="1"/>
  <c r="W117" i="17" a="1"/>
  <c r="W147" i="17" a="1"/>
  <c r="W171" i="17" a="1"/>
  <c r="W177" i="17" a="1"/>
  <c r="W189" i="17" a="1"/>
  <c r="W201" i="17" a="1"/>
  <c r="W231" i="17" a="1"/>
  <c r="W267" i="17" a="1"/>
  <c r="W303" i="17" a="1"/>
  <c r="W345" i="17" a="1"/>
  <c r="W87" i="17" a="1"/>
  <c r="W165" i="17" a="1"/>
  <c r="W183" i="17" a="1"/>
  <c r="W195" i="17" a="1"/>
  <c r="W225" i="17" a="1"/>
  <c r="W261" i="17" a="1"/>
  <c r="W297" i="17" a="1"/>
  <c r="W333" i="17" a="1"/>
  <c r="W387" i="17" a="1"/>
  <c r="W3" i="17" a="1"/>
  <c r="V12" i="17" a="1"/>
  <c r="V42" i="17" a="1"/>
  <c r="V54" i="17" a="1"/>
  <c r="V66" i="17" a="1"/>
  <c r="V78" i="17" a="1"/>
  <c r="V84" i="17" a="1"/>
  <c r="V96" i="17" a="1"/>
  <c r="V102" i="17" a="1"/>
  <c r="V114" i="17" a="1"/>
  <c r="V126" i="17" a="1"/>
  <c r="V132" i="17" a="1"/>
  <c r="V144" i="17" a="1"/>
  <c r="V150" i="17" a="1"/>
  <c r="V162" i="17" a="1"/>
  <c r="V168" i="17" a="1"/>
  <c r="V180" i="17" a="1"/>
  <c r="V192" i="17" a="1"/>
  <c r="V198" i="17" a="1"/>
  <c r="V210" i="17" a="1"/>
  <c r="V216" i="17" a="1"/>
  <c r="V228" i="17" a="1"/>
  <c r="V240" i="17" a="1"/>
  <c r="V246" i="17" a="1"/>
  <c r="V258" i="17" a="1"/>
  <c r="V264" i="17" a="1"/>
  <c r="V276" i="17" a="1"/>
  <c r="V288" i="17" a="1"/>
  <c r="V294" i="17" a="1"/>
  <c r="V306" i="17" a="1"/>
  <c r="V312" i="17" a="1"/>
  <c r="V6" i="17" a="1"/>
  <c r="V18" i="17" a="1"/>
  <c r="V24" i="17" a="1"/>
  <c r="V30" i="17" a="1"/>
  <c r="V36" i="17" a="1"/>
  <c r="V48" i="17" a="1"/>
  <c r="V60" i="17" a="1"/>
  <c r="V72" i="17" a="1"/>
  <c r="V90" i="17" a="1"/>
  <c r="V108" i="17" a="1"/>
  <c r="V120" i="17" a="1"/>
  <c r="V138" i="17" a="1"/>
  <c r="V156" i="17" a="1"/>
  <c r="V174" i="17" a="1"/>
  <c r="V186" i="17" a="1"/>
  <c r="V204" i="17" a="1"/>
  <c r="V222" i="17" a="1"/>
  <c r="V234" i="17" a="1"/>
  <c r="V252" i="17" a="1"/>
  <c r="V270" i="17" a="1"/>
  <c r="V282" i="17" a="1"/>
  <c r="V300" i="17" a="1"/>
  <c r="V318" i="17" a="1"/>
  <c r="V7" i="17" a="1"/>
  <c r="V13" i="17" a="1"/>
  <c r="V19" i="17" a="1"/>
  <c r="V25" i="17" a="1"/>
  <c r="V31" i="17" a="1"/>
  <c r="V37" i="17" a="1"/>
  <c r="V43" i="17" a="1"/>
  <c r="V49" i="17" a="1"/>
  <c r="V55" i="17" a="1"/>
  <c r="V61" i="17" a="1"/>
  <c r="V67" i="17" a="1"/>
  <c r="V73" i="17" a="1"/>
  <c r="V79" i="17" a="1"/>
  <c r="V85" i="17" a="1"/>
  <c r="V91" i="17" a="1"/>
  <c r="V97" i="17" a="1"/>
  <c r="V103" i="17" a="1"/>
  <c r="V109" i="17" a="1"/>
  <c r="V115" i="17" a="1"/>
  <c r="V121" i="17" a="1"/>
  <c r="V127" i="17" a="1"/>
  <c r="V133" i="17" a="1"/>
  <c r="V139" i="17" a="1"/>
  <c r="V145" i="17" a="1"/>
  <c r="V151" i="17" a="1"/>
  <c r="V157" i="17" a="1"/>
  <c r="V163" i="17" a="1"/>
  <c r="V169" i="17" a="1"/>
  <c r="V175" i="17" a="1"/>
  <c r="V8" i="17" a="1"/>
  <c r="V14" i="17" a="1"/>
  <c r="V20" i="17" a="1"/>
  <c r="V26" i="17" a="1"/>
  <c r="V32" i="17" a="1"/>
  <c r="V38" i="17" a="1"/>
  <c r="V44" i="17" a="1"/>
  <c r="V50" i="17" a="1"/>
  <c r="V56" i="17" a="1"/>
  <c r="V62" i="17" a="1"/>
  <c r="V68" i="17" a="1"/>
  <c r="V74" i="17" a="1"/>
  <c r="V80" i="17" a="1"/>
  <c r="V86" i="17" a="1"/>
  <c r="V92" i="17" a="1"/>
  <c r="V98" i="17" a="1"/>
  <c r="V104" i="17" a="1"/>
  <c r="V110" i="17" a="1"/>
  <c r="V116" i="17" a="1"/>
  <c r="V122" i="17" a="1"/>
  <c r="V128" i="17" a="1"/>
  <c r="V134" i="17" a="1"/>
  <c r="V140" i="17" a="1"/>
  <c r="V146" i="17" a="1"/>
  <c r="V152" i="17" a="1"/>
  <c r="V158" i="17" a="1"/>
  <c r="V164" i="17" a="1"/>
  <c r="V170" i="17" a="1"/>
  <c r="V176" i="17" a="1"/>
  <c r="V182" i="17" a="1"/>
  <c r="V188" i="17" a="1"/>
  <c r="V194" i="17" a="1"/>
  <c r="V200" i="17" a="1"/>
  <c r="V206" i="17" a="1"/>
  <c r="V212" i="17" a="1"/>
  <c r="V218" i="17" a="1"/>
  <c r="V224" i="17" a="1"/>
  <c r="V230" i="17" a="1"/>
  <c r="V236" i="17" a="1"/>
  <c r="V242" i="17" a="1"/>
  <c r="V248" i="17" a="1"/>
  <c r="V254" i="17" a="1"/>
  <c r="V260" i="17" a="1"/>
  <c r="V266" i="17" a="1"/>
  <c r="V272" i="17" a="1"/>
  <c r="V278" i="17" a="1"/>
  <c r="V284" i="17" a="1"/>
  <c r="V290" i="17" a="1"/>
  <c r="V296" i="17" a="1"/>
  <c r="V302" i="17" a="1"/>
  <c r="V308" i="17" a="1"/>
  <c r="V314" i="17" a="1"/>
  <c r="V320" i="17" a="1"/>
  <c r="V326" i="17" a="1"/>
  <c r="V332" i="17" a="1"/>
  <c r="V338" i="17" a="1"/>
  <c r="V344" i="17" a="1"/>
  <c r="V350" i="17" a="1"/>
  <c r="V356" i="17" a="1"/>
  <c r="V362" i="17" a="1"/>
  <c r="V368" i="17" a="1"/>
  <c r="V374" i="17" a="1"/>
  <c r="V380" i="17" a="1"/>
  <c r="V9" i="17" a="1"/>
  <c r="V15" i="17" a="1"/>
  <c r="V21" i="17" a="1"/>
  <c r="V27" i="17" a="1"/>
  <c r="V33" i="17" a="1"/>
  <c r="V39" i="17" a="1"/>
  <c r="V45" i="17" a="1"/>
  <c r="V51" i="17" a="1"/>
  <c r="V57" i="17" a="1"/>
  <c r="V63" i="17" a="1"/>
  <c r="V77" i="17" a="1"/>
  <c r="V88" i="17" a="1"/>
  <c r="V99" i="17" a="1"/>
  <c r="V149" i="17" a="1"/>
  <c r="V160" i="17" a="1"/>
  <c r="V171" i="17" a="1"/>
  <c r="V181" i="17" a="1"/>
  <c r="V199" i="17" a="1"/>
  <c r="V217" i="17" a="1"/>
  <c r="V235" i="17" a="1"/>
  <c r="V253" i="17" a="1"/>
  <c r="V271" i="17" a="1"/>
  <c r="V289" i="17" a="1"/>
  <c r="V307" i="17" a="1"/>
  <c r="V324" i="17" a="1"/>
  <c r="V340" i="17" a="1"/>
  <c r="V348" i="17" a="1"/>
  <c r="V364" i="17" a="1"/>
  <c r="V372" i="17" a="1"/>
  <c r="V69" i="17" a="1"/>
  <c r="V119" i="17" a="1"/>
  <c r="V130" i="17" a="1"/>
  <c r="V141" i="17" a="1"/>
  <c r="V190" i="17" a="1"/>
  <c r="V208" i="17" a="1"/>
  <c r="V226" i="17" a="1"/>
  <c r="V244" i="17" a="1"/>
  <c r="V262" i="17" a="1"/>
  <c r="V280" i="17" a="1"/>
  <c r="V298" i="17" a="1"/>
  <c r="V316" i="17" a="1"/>
  <c r="V325" i="17" a="1"/>
  <c r="V333" i="17" a="1"/>
  <c r="V349" i="17" a="1"/>
  <c r="V357" i="17" a="1"/>
  <c r="V373" i="17" a="1"/>
  <c r="V381" i="17" a="1"/>
  <c r="V388" i="17" a="1"/>
  <c r="V22" i="17" a="1"/>
  <c r="V58" i="17" a="1"/>
  <c r="V89" i="17" a="1"/>
  <c r="V161" i="17" a="1"/>
  <c r="V10" i="17" a="1"/>
  <c r="V34" i="17" a="1"/>
  <c r="V46" i="17" a="1"/>
  <c r="V100" i="17" a="1"/>
  <c r="V111" i="17" a="1"/>
  <c r="V172" i="17" a="1"/>
  <c r="V341" i="17" a="1"/>
  <c r="V71" i="17" a="1"/>
  <c r="V82" i="17" a="1"/>
  <c r="V93" i="17" a="1"/>
  <c r="V143" i="17" a="1"/>
  <c r="V154" i="17" a="1"/>
  <c r="V165" i="17" a="1"/>
  <c r="V184" i="17" a="1"/>
  <c r="V202" i="17" a="1"/>
  <c r="V220" i="17" a="1"/>
  <c r="V238" i="17" a="1"/>
  <c r="V256" i="17" a="1"/>
  <c r="V274" i="17" a="1"/>
  <c r="V292" i="17" a="1"/>
  <c r="V310" i="17" a="1"/>
  <c r="V335" i="17" a="1"/>
  <c r="V359" i="17" a="1"/>
  <c r="V383" i="17" a="1"/>
  <c r="V391" i="17" a="1"/>
  <c r="V83" i="17" a="1"/>
  <c r="V155" i="17" a="1"/>
  <c r="V177" i="17" a="1"/>
  <c r="V203" i="17" a="1"/>
  <c r="V221" i="17" a="1"/>
  <c r="V239" i="17" a="1"/>
  <c r="V257" i="17" a="1"/>
  <c r="V275" i="17" a="1"/>
  <c r="V293" i="17" a="1"/>
  <c r="V311" i="17" a="1"/>
  <c r="V321" i="17" a="1"/>
  <c r="V345" i="17" a="1"/>
  <c r="V361" i="17" a="1"/>
  <c r="V392" i="17" a="1"/>
  <c r="V16" i="17" a="1"/>
  <c r="V28" i="17" a="1"/>
  <c r="V52" i="17" a="1"/>
  <c r="V125" i="17" a="1"/>
  <c r="V147" i="17" a="1"/>
  <c r="V205" i="17" a="1"/>
  <c r="V241" i="17" a="1"/>
  <c r="V277" i="17" a="1"/>
  <c r="V295" i="17" a="1"/>
  <c r="V353" i="17" a="1"/>
  <c r="V377" i="17" a="1"/>
  <c r="V106" i="17" a="1"/>
  <c r="V178" i="17" a="1"/>
  <c r="V113" i="17" a="1"/>
  <c r="V124" i="17" a="1"/>
  <c r="V135" i="17" a="1"/>
  <c r="V328" i="17" a="1"/>
  <c r="V336" i="17" a="1"/>
  <c r="V352" i="17" a="1"/>
  <c r="V360" i="17" a="1"/>
  <c r="V376" i="17" a="1"/>
  <c r="V384" i="17" a="1"/>
  <c r="V94" i="17" a="1"/>
  <c r="V105" i="17" a="1"/>
  <c r="V166" i="17" a="1"/>
  <c r="V185" i="17" a="1"/>
  <c r="V195" i="17" a="1"/>
  <c r="V213" i="17" a="1"/>
  <c r="V231" i="17" a="1"/>
  <c r="V249" i="17" a="1"/>
  <c r="V267" i="17" a="1"/>
  <c r="V285" i="17" a="1"/>
  <c r="V303" i="17" a="1"/>
  <c r="V337" i="17" a="1"/>
  <c r="V369" i="17" a="1"/>
  <c r="V385" i="17" a="1"/>
  <c r="V4" i="17" a="1"/>
  <c r="V40" i="17" a="1"/>
  <c r="V64" i="17" a="1"/>
  <c r="V75" i="17" a="1"/>
  <c r="V136" i="17" a="1"/>
  <c r="V187" i="17" a="1"/>
  <c r="V223" i="17" a="1"/>
  <c r="V259" i="17" a="1"/>
  <c r="V313" i="17" a="1"/>
  <c r="V329" i="17" a="1"/>
  <c r="V95" i="17" a="1"/>
  <c r="V117" i="17" a="1"/>
  <c r="V167" i="17" a="1"/>
  <c r="V196" i="17" a="1"/>
  <c r="V347" i="17" a="1"/>
  <c r="V17" i="17" a="1"/>
  <c r="V53" i="17" a="1"/>
  <c r="V87" i="17" a="1"/>
  <c r="V148" i="17" a="1"/>
  <c r="V245" i="17" a="1"/>
  <c r="V268" i="17" a="1"/>
  <c r="V287" i="17" a="1"/>
  <c r="V331" i="17" a="1"/>
  <c r="V365" i="17" a="1"/>
  <c r="V118" i="17" a="1"/>
  <c r="V179" i="17" a="1"/>
  <c r="V225" i="17" a="1"/>
  <c r="V247" i="17" a="1"/>
  <c r="V291" i="17" a="1"/>
  <c r="V366" i="17" a="1"/>
  <c r="V382" i="17" a="1"/>
  <c r="V153" i="17" a="1"/>
  <c r="V183" i="17" a="1"/>
  <c r="V227" i="17" a="1"/>
  <c r="V250" i="17" a="1"/>
  <c r="V269" i="17" a="1"/>
  <c r="V334" i="17" a="1"/>
  <c r="V351" i="17" a="1"/>
  <c r="V367" i="17" a="1"/>
  <c r="V23" i="17" a="1"/>
  <c r="V59" i="17" a="1"/>
  <c r="V123" i="17" a="1"/>
  <c r="V207" i="17" a="1"/>
  <c r="V229" i="17" a="1"/>
  <c r="V273" i="17" a="1"/>
  <c r="V315" i="17" a="1"/>
  <c r="V354" i="17" a="1"/>
  <c r="V370" i="17" a="1"/>
  <c r="V29" i="17" a="1"/>
  <c r="V386" i="17" a="1"/>
  <c r="V251" i="17" a="1"/>
  <c r="V129" i="17" a="1"/>
  <c r="V211" i="17" a="1"/>
  <c r="V255" i="17" a="1"/>
  <c r="V297" i="17" a="1"/>
  <c r="V319" i="17" a="1"/>
  <c r="V339" i="17" a="1"/>
  <c r="V371" i="17" a="1"/>
  <c r="V387" i="17" a="1"/>
  <c r="V101" i="17" a="1"/>
  <c r="V237" i="17" a="1"/>
  <c r="V301" i="17" a="1"/>
  <c r="V358" i="17" a="1"/>
  <c r="V389" i="17" a="1"/>
  <c r="V41" i="17" a="1"/>
  <c r="V76" i="17" a="1"/>
  <c r="V215" i="17" a="1"/>
  <c r="V304" i="17" a="1"/>
  <c r="V343" i="17" a="1"/>
  <c r="V390" i="17" a="1"/>
  <c r="V107" i="17" a="1"/>
  <c r="V261" i="17" a="1"/>
  <c r="V346" i="17" a="1"/>
  <c r="V393" i="17" a="1"/>
  <c r="V81" i="17" a="1"/>
  <c r="V197" i="17" a="1"/>
  <c r="V286" i="17" a="1"/>
  <c r="V327" i="17" a="1"/>
  <c r="V379" i="17" a="1"/>
  <c r="V47" i="17" a="1"/>
  <c r="V112" i="17" a="1"/>
  <c r="V201" i="17" a="1"/>
  <c r="V243" i="17" a="1"/>
  <c r="V309" i="17" a="1"/>
  <c r="V65" i="17" a="1"/>
  <c r="V209" i="17" a="1"/>
  <c r="V355" i="17" a="1"/>
  <c r="V70" i="17" a="1"/>
  <c r="V131" i="17" a="1"/>
  <c r="V189" i="17" a="1"/>
  <c r="V214" i="17" a="1"/>
  <c r="V233" i="17" a="1"/>
  <c r="V299" i="17" a="1"/>
  <c r="V322" i="17" a="1"/>
  <c r="V35" i="17" a="1"/>
  <c r="V191" i="17" a="1"/>
  <c r="V279" i="17" a="1"/>
  <c r="V342" i="17" a="1"/>
  <c r="V5" i="17" a="1"/>
  <c r="V137" i="17" a="1"/>
  <c r="V193" i="17" a="1"/>
  <c r="V281" i="17" a="1"/>
  <c r="V323" i="17" a="1"/>
  <c r="V375" i="17" a="1"/>
  <c r="V219" i="17" a="1"/>
  <c r="V283" i="17" a="1"/>
  <c r="V378" i="17" a="1"/>
  <c r="V142" i="17" a="1"/>
  <c r="V263" i="17" a="1"/>
  <c r="V305" i="17" a="1"/>
  <c r="V363" i="17" a="1"/>
  <c r="V11" i="17" a="1"/>
  <c r="V173" i="17" a="1"/>
  <c r="V265" i="17" a="1"/>
  <c r="V330" i="17" a="1"/>
  <c r="V159" i="17" a="1"/>
  <c r="V232" i="17" a="1"/>
  <c r="V317" i="17" a="1"/>
  <c r="V3" i="17" a="1"/>
  <c r="U12" i="17" a="1"/>
  <c r="U48" i="17" a="1"/>
  <c r="U60" i="17" a="1"/>
  <c r="U72" i="17" a="1"/>
  <c r="U84" i="17" a="1"/>
  <c r="U96" i="17" a="1"/>
  <c r="U108" i="17" a="1"/>
  <c r="U120" i="17" a="1"/>
  <c r="U132" i="17" a="1"/>
  <c r="U144" i="17" a="1"/>
  <c r="U156" i="17" a="1"/>
  <c r="U168" i="17" a="1"/>
  <c r="U180" i="17" a="1"/>
  <c r="U192" i="17" a="1"/>
  <c r="U198" i="17" a="1"/>
  <c r="U210" i="17" a="1"/>
  <c r="U222" i="17" a="1"/>
  <c r="U234" i="17" a="1"/>
  <c r="U240" i="17" a="1"/>
  <c r="U252" i="17" a="1"/>
  <c r="U264" i="17" a="1"/>
  <c r="U276" i="17" a="1"/>
  <c r="U288" i="17" a="1"/>
  <c r="U300" i="17" a="1"/>
  <c r="U6" i="17" a="1"/>
  <c r="U18" i="17" a="1"/>
  <c r="U24" i="17" a="1"/>
  <c r="U30" i="17" a="1"/>
  <c r="U36" i="17" a="1"/>
  <c r="U42" i="17" a="1"/>
  <c r="U54" i="17" a="1"/>
  <c r="U66" i="17" a="1"/>
  <c r="U78" i="17" a="1"/>
  <c r="U90" i="17" a="1"/>
  <c r="U102" i="17" a="1"/>
  <c r="U114" i="17" a="1"/>
  <c r="U126" i="17" a="1"/>
  <c r="U138" i="17" a="1"/>
  <c r="U150" i="17" a="1"/>
  <c r="U162" i="17" a="1"/>
  <c r="U174" i="17" a="1"/>
  <c r="U186" i="17" a="1"/>
  <c r="U204" i="17" a="1"/>
  <c r="U216" i="17" a="1"/>
  <c r="U228" i="17" a="1"/>
  <c r="U246" i="17" a="1"/>
  <c r="U258" i="17" a="1"/>
  <c r="U270" i="17" a="1"/>
  <c r="U282" i="17" a="1"/>
  <c r="U7" i="17" a="1"/>
  <c r="U13" i="17" a="1"/>
  <c r="U19" i="17" a="1"/>
  <c r="U25" i="17" a="1"/>
  <c r="U31" i="17" a="1"/>
  <c r="U37" i="17" a="1"/>
  <c r="U43" i="17" a="1"/>
  <c r="U49" i="17" a="1"/>
  <c r="U55" i="17" a="1"/>
  <c r="U61" i="17" a="1"/>
  <c r="U67" i="17" a="1"/>
  <c r="U73" i="17" a="1"/>
  <c r="U79" i="17" a="1"/>
  <c r="U85" i="17" a="1"/>
  <c r="U91" i="17" a="1"/>
  <c r="U97" i="17" a="1"/>
  <c r="U103" i="17" a="1"/>
  <c r="U109" i="17" a="1"/>
  <c r="U115" i="17" a="1"/>
  <c r="U121" i="17" a="1"/>
  <c r="U127" i="17" a="1"/>
  <c r="U133" i="17" a="1"/>
  <c r="U139" i="17" a="1"/>
  <c r="U145" i="17" a="1"/>
  <c r="U151" i="17" a="1"/>
  <c r="U157" i="17" a="1"/>
  <c r="U163" i="17" a="1"/>
  <c r="U169" i="17" a="1"/>
  <c r="U175" i="17" a="1"/>
  <c r="U181" i="17" a="1"/>
  <c r="U9" i="17" a="1"/>
  <c r="U15" i="17" a="1"/>
  <c r="U21" i="17" a="1"/>
  <c r="U27" i="17" a="1"/>
  <c r="U33" i="17" a="1"/>
  <c r="U39" i="17" a="1"/>
  <c r="U45" i="17" a="1"/>
  <c r="U57" i="17" a="1"/>
  <c r="U63" i="17" a="1"/>
  <c r="U69" i="17" a="1"/>
  <c r="U75" i="17" a="1"/>
  <c r="U81" i="17" a="1"/>
  <c r="U93" i="17" a="1"/>
  <c r="U99" i="17" a="1"/>
  <c r="U111" i="17" a="1"/>
  <c r="U123" i="17" a="1"/>
  <c r="U135" i="17" a="1"/>
  <c r="U147" i="17" a="1"/>
  <c r="U159" i="17" a="1"/>
  <c r="U171" i="17" a="1"/>
  <c r="U177" i="17" a="1"/>
  <c r="U189" i="17" a="1"/>
  <c r="U201" i="17" a="1"/>
  <c r="U213" i="17" a="1"/>
  <c r="U225" i="17" a="1"/>
  <c r="U237" i="17" a="1"/>
  <c r="U243" i="17" a="1"/>
  <c r="U51" i="17" a="1"/>
  <c r="U87" i="17" a="1"/>
  <c r="U105" i="17" a="1"/>
  <c r="U117" i="17" a="1"/>
  <c r="U129" i="17" a="1"/>
  <c r="U141" i="17" a="1"/>
  <c r="U153" i="17" a="1"/>
  <c r="U165" i="17" a="1"/>
  <c r="U183" i="17" a="1"/>
  <c r="U195" i="17" a="1"/>
  <c r="U207" i="17" a="1"/>
  <c r="U219" i="17" a="1"/>
  <c r="U231" i="17" a="1"/>
  <c r="U28" i="17" a="1"/>
  <c r="U160" i="17" a="1"/>
  <c r="U263" i="17" a="1"/>
  <c r="U236" i="17" a="1"/>
  <c r="U265" i="17" a="1"/>
  <c r="U316" i="17" a="1"/>
  <c r="U356" i="17" a="1"/>
  <c r="U388" i="17" a="1"/>
  <c r="U29" i="17" a="1"/>
  <c r="U89" i="17" a="1"/>
  <c r="U125" i="17" a="1"/>
  <c r="U173" i="17" a="1"/>
  <c r="U217" i="17" a="1"/>
  <c r="U8" i="17" a="1"/>
  <c r="U20" i="17" a="1"/>
  <c r="U32" i="17" a="1"/>
  <c r="U44" i="17" a="1"/>
  <c r="U56" i="17" a="1"/>
  <c r="U68" i="17" a="1"/>
  <c r="U80" i="17" a="1"/>
  <c r="U92" i="17" a="1"/>
  <c r="U104" i="17" a="1"/>
  <c r="U116" i="17" a="1"/>
  <c r="U128" i="17" a="1"/>
  <c r="U140" i="17" a="1"/>
  <c r="U152" i="17" a="1"/>
  <c r="U164" i="17" a="1"/>
  <c r="U176" i="17" a="1"/>
  <c r="U197" i="17" a="1"/>
  <c r="U208" i="17" a="1"/>
  <c r="U218" i="17" a="1"/>
  <c r="U229" i="17" a="1"/>
  <c r="U249" i="17" a="1"/>
  <c r="U257" i="17" a="1"/>
  <c r="U267" i="17" a="1"/>
  <c r="U275" i="17" a="1"/>
  <c r="U285" i="17" a="1"/>
  <c r="U293" i="17" a="1"/>
  <c r="U302" i="17" a="1"/>
  <c r="U310" i="17" a="1"/>
  <c r="U318" i="17" a="1"/>
  <c r="U326" i="17" a="1"/>
  <c r="U334" i="17" a="1"/>
  <c r="U342" i="17" a="1"/>
  <c r="U350" i="17" a="1"/>
  <c r="U358" i="17" a="1"/>
  <c r="U366" i="17" a="1"/>
  <c r="U374" i="17" a="1"/>
  <c r="U382" i="17" a="1"/>
  <c r="U390" i="17" a="1"/>
  <c r="U188" i="17" a="1"/>
  <c r="U199" i="17" a="1"/>
  <c r="U239" i="17" a="1"/>
  <c r="U259" i="17" a="1"/>
  <c r="U277" i="17" a="1"/>
  <c r="U294" i="17" a="1"/>
  <c r="U303" i="17" a="1"/>
  <c r="U319" i="17" a="1"/>
  <c r="U327" i="17" a="1"/>
  <c r="U343" i="17" a="1"/>
  <c r="U351" i="17" a="1"/>
  <c r="U367" i="17" a="1"/>
  <c r="U375" i="17" a="1"/>
  <c r="U391" i="17" a="1"/>
  <c r="U178" i="17" a="1"/>
  <c r="U295" i="17" a="1"/>
  <c r="U383" i="17" a="1"/>
  <c r="U200" i="17" a="1"/>
  <c r="U260" i="17" a="1"/>
  <c r="U312" i="17" a="1"/>
  <c r="U328" i="17" a="1"/>
  <c r="U10" i="17" a="1"/>
  <c r="U22" i="17" a="1"/>
  <c r="U34" i="17" a="1"/>
  <c r="U46" i="17" a="1"/>
  <c r="U58" i="17" a="1"/>
  <c r="U70" i="17" a="1"/>
  <c r="U82" i="17" a="1"/>
  <c r="U94" i="17" a="1"/>
  <c r="U106" i="17" a="1"/>
  <c r="U118" i="17" a="1"/>
  <c r="U130" i="17" a="1"/>
  <c r="U142" i="17" a="1"/>
  <c r="U154" i="17" a="1"/>
  <c r="U166" i="17" a="1"/>
  <c r="U209" i="17" a="1"/>
  <c r="U220" i="17" a="1"/>
  <c r="U230" i="17" a="1"/>
  <c r="U241" i="17" a="1"/>
  <c r="U250" i="17" a="1"/>
  <c r="U268" i="17" a="1"/>
  <c r="U286" i="17" a="1"/>
  <c r="U311" i="17" a="1"/>
  <c r="U335" i="17" a="1"/>
  <c r="U359" i="17" a="1"/>
  <c r="U190" i="17" a="1"/>
  <c r="U211" i="17" a="1"/>
  <c r="U278" i="17" a="1"/>
  <c r="U304" i="17" a="1"/>
  <c r="U320" i="17" a="1"/>
  <c r="U336" i="17" a="1"/>
  <c r="U344" i="17" a="1"/>
  <c r="U191" i="17" a="1"/>
  <c r="U202" i="17" a="1"/>
  <c r="U212" i="17" a="1"/>
  <c r="U223" i="17" a="1"/>
  <c r="U253" i="17" a="1"/>
  <c r="U271" i="17" a="1"/>
  <c r="U289" i="17" a="1"/>
  <c r="U297" i="17" a="1"/>
  <c r="U305" i="17" a="1"/>
  <c r="U329" i="17" a="1"/>
  <c r="U353" i="17" a="1"/>
  <c r="U377" i="17" a="1"/>
  <c r="U338" i="17" a="1"/>
  <c r="U362" i="17" a="1"/>
  <c r="U370" i="17" a="1"/>
  <c r="U214" i="17" a="1"/>
  <c r="U235" i="17" a="1"/>
  <c r="U272" i="17" a="1"/>
  <c r="U290" i="17" a="1"/>
  <c r="U307" i="17" a="1"/>
  <c r="U339" i="17" a="1"/>
  <c r="U363" i="17" a="1"/>
  <c r="U379" i="17" a="1"/>
  <c r="U16" i="17" a="1"/>
  <c r="U52" i="17" a="1"/>
  <c r="U76" i="17" a="1"/>
  <c r="U100" i="17" a="1"/>
  <c r="U124" i="17" a="1"/>
  <c r="U148" i="17" a="1"/>
  <c r="U184" i="17" a="1"/>
  <c r="U205" i="17" a="1"/>
  <c r="U255" i="17" a="1"/>
  <c r="U281" i="17" a="1"/>
  <c r="U323" i="17" a="1"/>
  <c r="U347" i="17" a="1"/>
  <c r="U215" i="17" a="1"/>
  <c r="U247" i="17" a="1"/>
  <c r="U283" i="17" a="1"/>
  <c r="U308" i="17" a="1"/>
  <c r="U332" i="17" a="1"/>
  <c r="U348" i="17" a="1"/>
  <c r="U380" i="17" a="1"/>
  <c r="U17" i="17" a="1"/>
  <c r="U41" i="17" a="1"/>
  <c r="U77" i="17" a="1"/>
  <c r="U113" i="17" a="1"/>
  <c r="U149" i="17" a="1"/>
  <c r="U185" i="17" a="1"/>
  <c r="U206" i="17" a="1"/>
  <c r="U14" i="17" a="1"/>
  <c r="U26" i="17" a="1"/>
  <c r="U38" i="17" a="1"/>
  <c r="U50" i="17" a="1"/>
  <c r="U62" i="17" a="1"/>
  <c r="U74" i="17" a="1"/>
  <c r="U86" i="17" a="1"/>
  <c r="U98" i="17" a="1"/>
  <c r="U110" i="17" a="1"/>
  <c r="U122" i="17" a="1"/>
  <c r="U134" i="17" a="1"/>
  <c r="U146" i="17" a="1"/>
  <c r="U158" i="17" a="1"/>
  <c r="U170" i="17" a="1"/>
  <c r="U182" i="17" a="1"/>
  <c r="U193" i="17" a="1"/>
  <c r="U233" i="17" a="1"/>
  <c r="U244" i="17" a="1"/>
  <c r="U262" i="17" a="1"/>
  <c r="U280" i="17" a="1"/>
  <c r="U306" i="17" a="1"/>
  <c r="U314" i="17" a="1"/>
  <c r="U322" i="17" a="1"/>
  <c r="U330" i="17" a="1"/>
  <c r="U346" i="17" a="1"/>
  <c r="U354" i="17" a="1"/>
  <c r="U378" i="17" a="1"/>
  <c r="U386" i="17" a="1"/>
  <c r="U203" i="17" a="1"/>
  <c r="U224" i="17" a="1"/>
  <c r="U254" i="17" a="1"/>
  <c r="U298" i="17" a="1"/>
  <c r="U315" i="17" a="1"/>
  <c r="U331" i="17" a="1"/>
  <c r="U355" i="17" a="1"/>
  <c r="U387" i="17" a="1"/>
  <c r="U4" i="17" a="1"/>
  <c r="U40" i="17" a="1"/>
  <c r="U64" i="17" a="1"/>
  <c r="U88" i="17" a="1"/>
  <c r="U112" i="17" a="1"/>
  <c r="U136" i="17" a="1"/>
  <c r="U172" i="17" a="1"/>
  <c r="U194" i="17" a="1"/>
  <c r="U245" i="17" a="1"/>
  <c r="U273" i="17" a="1"/>
  <c r="U291" i="17" a="1"/>
  <c r="U371" i="17" a="1"/>
  <c r="U226" i="17" a="1"/>
  <c r="U299" i="17" a="1"/>
  <c r="U324" i="17" a="1"/>
  <c r="U340" i="17" a="1"/>
  <c r="U364" i="17" a="1"/>
  <c r="U372" i="17" a="1"/>
  <c r="U5" i="17" a="1"/>
  <c r="U53" i="17" a="1"/>
  <c r="U65" i="17" a="1"/>
  <c r="U101" i="17" a="1"/>
  <c r="U137" i="17" a="1"/>
  <c r="U161" i="17" a="1"/>
  <c r="U196" i="17" a="1"/>
  <c r="U238" i="17" a="1"/>
  <c r="U279" i="17" a="1"/>
  <c r="U313" i="17" a="1"/>
  <c r="U345" i="17" a="1"/>
  <c r="U369" i="17" a="1"/>
  <c r="U393" i="17" a="1"/>
  <c r="U35" i="17" a="1"/>
  <c r="U107" i="17" a="1"/>
  <c r="U179" i="17" a="1"/>
  <c r="U242" i="17" a="1"/>
  <c r="U349" i="17" a="1"/>
  <c r="U373" i="17" a="1"/>
  <c r="U187" i="17" a="1"/>
  <c r="U248" i="17" a="1"/>
  <c r="U284" i="17" a="1"/>
  <c r="U317" i="17" a="1"/>
  <c r="U47" i="17" a="1"/>
  <c r="U119" i="17" a="1"/>
  <c r="U251" i="17" a="1"/>
  <c r="U287" i="17" a="1"/>
  <c r="U321" i="17" a="1"/>
  <c r="U352" i="17" a="1"/>
  <c r="U376" i="17" a="1"/>
  <c r="U256" i="17" a="1"/>
  <c r="U292" i="17" a="1"/>
  <c r="U325" i="17" a="1"/>
  <c r="U59" i="17" a="1"/>
  <c r="U131" i="17" a="1"/>
  <c r="U357" i="17" a="1"/>
  <c r="U381" i="17" a="1"/>
  <c r="U143" i="17" a="1"/>
  <c r="U301" i="17" a="1"/>
  <c r="U360" i="17" a="1"/>
  <c r="U361" i="17" a="1"/>
  <c r="U11" i="17" a="1"/>
  <c r="U221" i="17" a="1"/>
  <c r="U337" i="17" a="1"/>
  <c r="U274" i="17" a="1"/>
  <c r="U365" i="17" a="1"/>
  <c r="U23" i="17" a="1"/>
  <c r="U167" i="17" a="1"/>
  <c r="U341" i="17" a="1"/>
  <c r="U392" i="17" a="1"/>
  <c r="U261" i="17" a="1"/>
  <c r="U296" i="17" a="1"/>
  <c r="U71" i="17" a="1"/>
  <c r="U333" i="17" a="1"/>
  <c r="U384" i="17" a="1"/>
  <c r="U266" i="17" a="1"/>
  <c r="U385" i="17" a="1"/>
  <c r="U83" i="17" a="1"/>
  <c r="U155" i="17" a="1"/>
  <c r="U269" i="17" a="1"/>
  <c r="U227" i="17" a="1"/>
  <c r="U309" i="17" a="1"/>
  <c r="U389" i="17" a="1"/>
  <c r="U95" i="17" a="1"/>
  <c r="U232" i="17" a="1"/>
  <c r="U368" i="17" a="1"/>
  <c r="U3" i="17" a="1"/>
  <c r="T5" i="17" a="1"/>
  <c r="T11" i="17" a="1"/>
  <c r="T17" i="17" a="1"/>
  <c r="T23" i="17" a="1"/>
  <c r="T29" i="17" a="1"/>
  <c r="T35" i="17" a="1"/>
  <c r="T41" i="17" a="1"/>
  <c r="T47" i="17" a="1"/>
  <c r="T53" i="17" a="1"/>
  <c r="T59" i="17" a="1"/>
  <c r="T65" i="17" a="1"/>
  <c r="T71" i="17" a="1"/>
  <c r="T77" i="17" a="1"/>
  <c r="T83" i="17" a="1"/>
  <c r="T89" i="17" a="1"/>
  <c r="T95" i="17" a="1"/>
  <c r="T101" i="17" a="1"/>
  <c r="T107" i="17" a="1"/>
  <c r="T113" i="17" a="1"/>
  <c r="T119" i="17" a="1"/>
  <c r="T156" i="17" a="1"/>
  <c r="T192" i="17" a="1"/>
  <c r="T204" i="17" a="1"/>
  <c r="T216" i="17" a="1"/>
  <c r="T228" i="17" a="1"/>
  <c r="T234" i="17" a="1"/>
  <c r="T246" i="17" a="1"/>
  <c r="T258" i="17" a="1"/>
  <c r="T264" i="17" a="1"/>
  <c r="T276" i="17" a="1"/>
  <c r="T288" i="17" a="1"/>
  <c r="T294" i="17" a="1"/>
  <c r="T306" i="17" a="1"/>
  <c r="T318" i="17" a="1"/>
  <c r="T330" i="17" a="1"/>
  <c r="T342" i="17" a="1"/>
  <c r="T348" i="17" a="1"/>
  <c r="T360" i="17" a="1"/>
  <c r="T372" i="17" a="1"/>
  <c r="T378" i="17" a="1"/>
  <c r="T390" i="17" a="1"/>
  <c r="T368" i="17" a="1"/>
  <c r="T351" i="17" a="1"/>
  <c r="T387" i="17" a="1"/>
  <c r="T6" i="17" a="1"/>
  <c r="T12" i="17" a="1"/>
  <c r="T18" i="17" a="1"/>
  <c r="T24" i="17" a="1"/>
  <c r="T30" i="17" a="1"/>
  <c r="T36" i="17" a="1"/>
  <c r="T42" i="17" a="1"/>
  <c r="T48" i="17" a="1"/>
  <c r="T54" i="17" a="1"/>
  <c r="T60" i="17" a="1"/>
  <c r="T66" i="17" a="1"/>
  <c r="T72" i="17" a="1"/>
  <c r="T78" i="17" a="1"/>
  <c r="T84" i="17" a="1"/>
  <c r="T90" i="17" a="1"/>
  <c r="T96" i="17" a="1"/>
  <c r="T102" i="17" a="1"/>
  <c r="T108" i="17" a="1"/>
  <c r="T114" i="17" a="1"/>
  <c r="T120" i="17" a="1"/>
  <c r="T126" i="17" a="1"/>
  <c r="T132" i="17" a="1"/>
  <c r="T138" i="17" a="1"/>
  <c r="T144" i="17" a="1"/>
  <c r="T150" i="17" a="1"/>
  <c r="T162" i="17" a="1"/>
  <c r="T168" i="17" a="1"/>
  <c r="T174" i="17" a="1"/>
  <c r="T180" i="17" a="1"/>
  <c r="T186" i="17" a="1"/>
  <c r="T198" i="17" a="1"/>
  <c r="T210" i="17" a="1"/>
  <c r="T222" i="17" a="1"/>
  <c r="T240" i="17" a="1"/>
  <c r="T252" i="17" a="1"/>
  <c r="T270" i="17" a="1"/>
  <c r="T282" i="17" a="1"/>
  <c r="T300" i="17" a="1"/>
  <c r="T312" i="17" a="1"/>
  <c r="T324" i="17" a="1"/>
  <c r="T336" i="17" a="1"/>
  <c r="T354" i="17" a="1"/>
  <c r="T366" i="17" a="1"/>
  <c r="T384" i="17" a="1"/>
  <c r="T374" i="17" a="1"/>
  <c r="T363" i="17" a="1"/>
  <c r="T205" i="17" a="1"/>
  <c r="T247" i="17" a="1"/>
  <c r="T271" i="17" a="1"/>
  <c r="T283" i="17" a="1"/>
  <c r="T295" i="17" a="1"/>
  <c r="T307" i="17" a="1"/>
  <c r="T319" i="17" a="1"/>
  <c r="T331" i="17" a="1"/>
  <c r="T343" i="17" a="1"/>
  <c r="T355" i="17" a="1"/>
  <c r="T367" i="17" a="1"/>
  <c r="T379" i="17" a="1"/>
  <c r="T391" i="17" a="1"/>
  <c r="T308" i="17" a="1"/>
  <c r="T350" i="17" a="1"/>
  <c r="T386" i="17" a="1"/>
  <c r="T357" i="17" a="1"/>
  <c r="T393" i="17" a="1"/>
  <c r="T7" i="17" a="1"/>
  <c r="T13" i="17" a="1"/>
  <c r="T19" i="17" a="1"/>
  <c r="T25" i="17" a="1"/>
  <c r="T31" i="17" a="1"/>
  <c r="T37" i="17" a="1"/>
  <c r="T43" i="17" a="1"/>
  <c r="T49" i="17" a="1"/>
  <c r="T55" i="17" a="1"/>
  <c r="T61" i="17" a="1"/>
  <c r="T67" i="17" a="1"/>
  <c r="T73" i="17" a="1"/>
  <c r="T79" i="17" a="1"/>
  <c r="T85" i="17" a="1"/>
  <c r="T91" i="17" a="1"/>
  <c r="T97" i="17" a="1"/>
  <c r="T103" i="17" a="1"/>
  <c r="T109" i="17" a="1"/>
  <c r="T115" i="17" a="1"/>
  <c r="T121" i="17" a="1"/>
  <c r="T127" i="17" a="1"/>
  <c r="T133" i="17" a="1"/>
  <c r="T139" i="17" a="1"/>
  <c r="T145" i="17" a="1"/>
  <c r="T151" i="17" a="1"/>
  <c r="T157" i="17" a="1"/>
  <c r="T163" i="17" a="1"/>
  <c r="T169" i="17" a="1"/>
  <c r="T175" i="17" a="1"/>
  <c r="T181" i="17" a="1"/>
  <c r="T187" i="17" a="1"/>
  <c r="T193" i="17" a="1"/>
  <c r="T199" i="17" a="1"/>
  <c r="T211" i="17" a="1"/>
  <c r="T217" i="17" a="1"/>
  <c r="T223" i="17" a="1"/>
  <c r="T229" i="17" a="1"/>
  <c r="T235" i="17" a="1"/>
  <c r="T241" i="17" a="1"/>
  <c r="T253" i="17" a="1"/>
  <c r="T259" i="17" a="1"/>
  <c r="T265" i="17" a="1"/>
  <c r="T277" i="17" a="1"/>
  <c r="T289" i="17" a="1"/>
  <c r="T301" i="17" a="1"/>
  <c r="T313" i="17" a="1"/>
  <c r="T325" i="17" a="1"/>
  <c r="T337" i="17" a="1"/>
  <c r="T349" i="17" a="1"/>
  <c r="T361" i="17" a="1"/>
  <c r="T373" i="17" a="1"/>
  <c r="T385" i="17" a="1"/>
  <c r="T302" i="17" a="1"/>
  <c r="T338" i="17" a="1"/>
  <c r="T362" i="17" a="1"/>
  <c r="T392" i="17" a="1"/>
  <c r="T345" i="17" a="1"/>
  <c r="T381" i="17" a="1"/>
  <c r="T278" i="17" a="1"/>
  <c r="T344" i="17" a="1"/>
  <c r="T375" i="17" a="1"/>
  <c r="T8" i="17" a="1"/>
  <c r="T14" i="17" a="1"/>
  <c r="T20" i="17" a="1"/>
  <c r="T26" i="17" a="1"/>
  <c r="T32" i="17" a="1"/>
  <c r="T38" i="17" a="1"/>
  <c r="T44" i="17" a="1"/>
  <c r="T50" i="17" a="1"/>
  <c r="T56" i="17" a="1"/>
  <c r="T62" i="17" a="1"/>
  <c r="T68" i="17" a="1"/>
  <c r="T74" i="17" a="1"/>
  <c r="T80" i="17" a="1"/>
  <c r="T86" i="17" a="1"/>
  <c r="T92" i="17" a="1"/>
  <c r="T98" i="17" a="1"/>
  <c r="T104" i="17" a="1"/>
  <c r="T110" i="17" a="1"/>
  <c r="T116" i="17" a="1"/>
  <c r="T122" i="17" a="1"/>
  <c r="T128" i="17" a="1"/>
  <c r="T134" i="17" a="1"/>
  <c r="T140" i="17" a="1"/>
  <c r="T146" i="17" a="1"/>
  <c r="T152" i="17" a="1"/>
  <c r="T158" i="17" a="1"/>
  <c r="T164" i="17" a="1"/>
  <c r="T170" i="17" a="1"/>
  <c r="T176" i="17" a="1"/>
  <c r="T182" i="17" a="1"/>
  <c r="T188" i="17" a="1"/>
  <c r="T194" i="17" a="1"/>
  <c r="T200" i="17" a="1"/>
  <c r="T206" i="17" a="1"/>
  <c r="T212" i="17" a="1"/>
  <c r="T218" i="17" a="1"/>
  <c r="T224" i="17" a="1"/>
  <c r="T230" i="17" a="1"/>
  <c r="T236" i="17" a="1"/>
  <c r="T242" i="17" a="1"/>
  <c r="T248" i="17" a="1"/>
  <c r="T254" i="17" a="1"/>
  <c r="T260" i="17" a="1"/>
  <c r="T266" i="17" a="1"/>
  <c r="T272" i="17" a="1"/>
  <c r="T284" i="17" a="1"/>
  <c r="T290" i="17" a="1"/>
  <c r="T296" i="17" a="1"/>
  <c r="T314" i="17" a="1"/>
  <c r="T320" i="17" a="1"/>
  <c r="T326" i="17" a="1"/>
  <c r="T332" i="17" a="1"/>
  <c r="T356" i="17" a="1"/>
  <c r="T380" i="17" a="1"/>
  <c r="T339" i="17" a="1"/>
  <c r="T327" i="17" a="1"/>
  <c r="T9" i="17" a="1"/>
  <c r="T15" i="17" a="1"/>
  <c r="T21" i="17" a="1"/>
  <c r="T27" i="17" a="1"/>
  <c r="T33" i="17" a="1"/>
  <c r="T39" i="17" a="1"/>
  <c r="T45" i="17" a="1"/>
  <c r="T51" i="17" a="1"/>
  <c r="T57" i="17" a="1"/>
  <c r="T63" i="17" a="1"/>
  <c r="T69" i="17" a="1"/>
  <c r="T75" i="17" a="1"/>
  <c r="T81" i="17" a="1"/>
  <c r="T87" i="17" a="1"/>
  <c r="T93" i="17" a="1"/>
  <c r="T99" i="17" a="1"/>
  <c r="T105" i="17" a="1"/>
  <c r="T111" i="17" a="1"/>
  <c r="T117" i="17" a="1"/>
  <c r="T123" i="17" a="1"/>
  <c r="T129" i="17" a="1"/>
  <c r="T135" i="17" a="1"/>
  <c r="T141" i="17" a="1"/>
  <c r="T147" i="17" a="1"/>
  <c r="T153" i="17" a="1"/>
  <c r="T159" i="17" a="1"/>
  <c r="T165" i="17" a="1"/>
  <c r="T171" i="17" a="1"/>
  <c r="T177" i="17" a="1"/>
  <c r="T183" i="17" a="1"/>
  <c r="T189" i="17" a="1"/>
  <c r="T195" i="17" a="1"/>
  <c r="T201" i="17" a="1"/>
  <c r="T207" i="17" a="1"/>
  <c r="T213" i="17" a="1"/>
  <c r="T219" i="17" a="1"/>
  <c r="T225" i="17" a="1"/>
  <c r="T231" i="17" a="1"/>
  <c r="T237" i="17" a="1"/>
  <c r="T243" i="17" a="1"/>
  <c r="T249" i="17" a="1"/>
  <c r="T255" i="17" a="1"/>
  <c r="T261" i="17" a="1"/>
  <c r="T267" i="17" a="1"/>
  <c r="T273" i="17" a="1"/>
  <c r="T279" i="17" a="1"/>
  <c r="T285" i="17" a="1"/>
  <c r="T291" i="17" a="1"/>
  <c r="T297" i="17" a="1"/>
  <c r="T303" i="17" a="1"/>
  <c r="T309" i="17" a="1"/>
  <c r="T315" i="17" a="1"/>
  <c r="T321" i="17" a="1"/>
  <c r="T333" i="17" a="1"/>
  <c r="T369" i="17" a="1"/>
  <c r="T22" i="17" a="1"/>
  <c r="T94" i="17" a="1"/>
  <c r="T143" i="17" a="1"/>
  <c r="T179" i="17" a="1"/>
  <c r="T262" i="17" a="1"/>
  <c r="T310" i="17" a="1"/>
  <c r="T334" i="17" a="1"/>
  <c r="T382" i="17" a="1"/>
  <c r="T40" i="17" a="1"/>
  <c r="T190" i="17" a="1"/>
  <c r="T118" i="17" a="1"/>
  <c r="T191" i="17" a="1"/>
  <c r="T268" i="17" a="1"/>
  <c r="T340" i="17" a="1"/>
  <c r="T388" i="17" a="1"/>
  <c r="T124" i="17" a="1"/>
  <c r="T196" i="17" a="1"/>
  <c r="T245" i="17" a="1"/>
  <c r="T317" i="17" a="1"/>
  <c r="T389" i="17" a="1"/>
  <c r="T208" i="17" a="1"/>
  <c r="T256" i="17" a="1"/>
  <c r="T328" i="17" a="1"/>
  <c r="T88" i="17" a="1"/>
  <c r="T233" i="17" a="1"/>
  <c r="T329" i="17" a="1"/>
  <c r="T28" i="17" a="1"/>
  <c r="T100" i="17" a="1"/>
  <c r="T148" i="17" a="1"/>
  <c r="T184" i="17" a="1"/>
  <c r="T214" i="17" a="1"/>
  <c r="T238" i="17" a="1"/>
  <c r="T286" i="17" a="1"/>
  <c r="T358" i="17" a="1"/>
  <c r="T112" i="17" a="1"/>
  <c r="T46" i="17" a="1"/>
  <c r="T244" i="17" a="1"/>
  <c r="T316" i="17" a="1"/>
  <c r="T52" i="17" a="1"/>
  <c r="T221" i="17" a="1"/>
  <c r="T293" i="17" a="1"/>
  <c r="T365" i="17" a="1"/>
  <c r="T10" i="17" a="1"/>
  <c r="T280" i="17" a="1"/>
  <c r="T178" i="17" a="1"/>
  <c r="T281" i="17" a="1"/>
  <c r="T377" i="17" a="1"/>
  <c r="T34" i="17" a="1"/>
  <c r="T106" i="17" a="1"/>
  <c r="T149" i="17" a="1"/>
  <c r="T185" i="17" a="1"/>
  <c r="T215" i="17" a="1"/>
  <c r="T239" i="17" a="1"/>
  <c r="T263" i="17" a="1"/>
  <c r="T287" i="17" a="1"/>
  <c r="T311" i="17" a="1"/>
  <c r="T335" i="17" a="1"/>
  <c r="T359" i="17" a="1"/>
  <c r="T383" i="17" a="1"/>
  <c r="T154" i="17" a="1"/>
  <c r="T155" i="17" a="1"/>
  <c r="T220" i="17" a="1"/>
  <c r="T292" i="17" a="1"/>
  <c r="T364" i="17" a="1"/>
  <c r="T160" i="17" a="1"/>
  <c r="T269" i="17" a="1"/>
  <c r="T341" i="17" a="1"/>
  <c r="T82" i="17" a="1"/>
  <c r="T376" i="17" a="1"/>
  <c r="T209" i="17" a="1"/>
  <c r="T58" i="17" a="1"/>
  <c r="T125" i="17" a="1"/>
  <c r="T161" i="17" a="1"/>
  <c r="T197" i="17" a="1"/>
  <c r="T346" i="17" a="1"/>
  <c r="T70" i="17" a="1"/>
  <c r="T167" i="17" a="1"/>
  <c r="T227" i="17" a="1"/>
  <c r="T275" i="17" a="1"/>
  <c r="T323" i="17" a="1"/>
  <c r="T371" i="17" a="1"/>
  <c r="T4" i="17" a="1"/>
  <c r="T136" i="17" a="1"/>
  <c r="T173" i="17" a="1"/>
  <c r="T304" i="17" a="1"/>
  <c r="T16" i="17" a="1"/>
  <c r="T257" i="17" a="1"/>
  <c r="T353" i="17" a="1"/>
  <c r="T64" i="17" a="1"/>
  <c r="T130" i="17" a="1"/>
  <c r="T166" i="17" a="1"/>
  <c r="T202" i="17" a="1"/>
  <c r="T226" i="17" a="1"/>
  <c r="T250" i="17" a="1"/>
  <c r="T274" i="17" a="1"/>
  <c r="T298" i="17" a="1"/>
  <c r="T322" i="17" a="1"/>
  <c r="T370" i="17" a="1"/>
  <c r="T131" i="17" a="1"/>
  <c r="T203" i="17" a="1"/>
  <c r="T251" i="17" a="1"/>
  <c r="T299" i="17" a="1"/>
  <c r="T347" i="17" a="1"/>
  <c r="T76" i="17" a="1"/>
  <c r="T172" i="17" a="1"/>
  <c r="T137" i="17" a="1"/>
  <c r="T232" i="17" a="1"/>
  <c r="T352" i="17" a="1"/>
  <c r="T142" i="17" a="1"/>
  <c r="T305" i="17" a="1"/>
  <c r="T3" i="17" a="1"/>
  <c r="R42" i="17" a="1"/>
  <c r="R102" i="17" a="1"/>
  <c r="R120" i="17" a="1"/>
  <c r="R132" i="17" a="1"/>
  <c r="R144" i="17" a="1"/>
  <c r="R156" i="17" a="1"/>
  <c r="R168" i="17" a="1"/>
  <c r="R180" i="17" a="1"/>
  <c r="R192" i="17" a="1"/>
  <c r="R204" i="17" a="1"/>
  <c r="R216" i="17" a="1"/>
  <c r="R228" i="17" a="1"/>
  <c r="R234" i="17" a="1"/>
  <c r="R246" i="17" a="1"/>
  <c r="R258" i="17" a="1"/>
  <c r="R270" i="17" a="1"/>
  <c r="R282" i="17" a="1"/>
  <c r="R294" i="17" a="1"/>
  <c r="R300" i="17" a="1"/>
  <c r="R312" i="17" a="1"/>
  <c r="R318" i="17" a="1"/>
  <c r="R330" i="17" a="1"/>
  <c r="R342" i="17" a="1"/>
  <c r="R6" i="17" a="1"/>
  <c r="R12" i="17" a="1"/>
  <c r="R18" i="17" a="1"/>
  <c r="R24" i="17" a="1"/>
  <c r="R30" i="17" a="1"/>
  <c r="R36" i="17" a="1"/>
  <c r="R48" i="17" a="1"/>
  <c r="R54" i="17" a="1"/>
  <c r="R60" i="17" a="1"/>
  <c r="R66" i="17" a="1"/>
  <c r="R72" i="17" a="1"/>
  <c r="R78" i="17" a="1"/>
  <c r="R84" i="17" a="1"/>
  <c r="R90" i="17" a="1"/>
  <c r="R96" i="17" a="1"/>
  <c r="R108" i="17" a="1"/>
  <c r="R114" i="17" a="1"/>
  <c r="R126" i="17" a="1"/>
  <c r="R138" i="17" a="1"/>
  <c r="R150" i="17" a="1"/>
  <c r="R162" i="17" a="1"/>
  <c r="R174" i="17" a="1"/>
  <c r="R186" i="17" a="1"/>
  <c r="R198" i="17" a="1"/>
  <c r="R210" i="17" a="1"/>
  <c r="R222" i="17" a="1"/>
  <c r="R240" i="17" a="1"/>
  <c r="R252" i="17" a="1"/>
  <c r="R264" i="17" a="1"/>
  <c r="R276" i="17" a="1"/>
  <c r="R288" i="17" a="1"/>
  <c r="R306" i="17" a="1"/>
  <c r="R324" i="17" a="1"/>
  <c r="R336" i="17" a="1"/>
  <c r="R163" i="17" a="1"/>
  <c r="R223" i="17" a="1"/>
  <c r="R241" i="17" a="1"/>
  <c r="R253" i="17" a="1"/>
  <c r="R265" i="17" a="1"/>
  <c r="R271" i="17" a="1"/>
  <c r="R283" i="17" a="1"/>
  <c r="R295" i="17" a="1"/>
  <c r="R307" i="17" a="1"/>
  <c r="R313" i="17" a="1"/>
  <c r="R325" i="17" a="1"/>
  <c r="R337" i="17" a="1"/>
  <c r="R349" i="17" a="1"/>
  <c r="R361" i="17" a="1"/>
  <c r="R373" i="17" a="1"/>
  <c r="R385" i="17" a="1"/>
  <c r="R391" i="17" a="1"/>
  <c r="R158" i="17" a="1"/>
  <c r="R7" i="17" a="1"/>
  <c r="R13" i="17" a="1"/>
  <c r="R19" i="17" a="1"/>
  <c r="R25" i="17" a="1"/>
  <c r="R31" i="17" a="1"/>
  <c r="R37" i="17" a="1"/>
  <c r="R43" i="17" a="1"/>
  <c r="R49" i="17" a="1"/>
  <c r="R55" i="17" a="1"/>
  <c r="R61" i="17" a="1"/>
  <c r="R67" i="17" a="1"/>
  <c r="R73" i="17" a="1"/>
  <c r="R79" i="17" a="1"/>
  <c r="R85" i="17" a="1"/>
  <c r="R91" i="17" a="1"/>
  <c r="R97" i="17" a="1"/>
  <c r="R103" i="17" a="1"/>
  <c r="R109" i="17" a="1"/>
  <c r="R115" i="17" a="1"/>
  <c r="R121" i="17" a="1"/>
  <c r="R127" i="17" a="1"/>
  <c r="R133" i="17" a="1"/>
  <c r="R139" i="17" a="1"/>
  <c r="R145" i="17" a="1"/>
  <c r="R151" i="17" a="1"/>
  <c r="R157" i="17" a="1"/>
  <c r="R169" i="17" a="1"/>
  <c r="R175" i="17" a="1"/>
  <c r="R181" i="17" a="1"/>
  <c r="R187" i="17" a="1"/>
  <c r="R193" i="17" a="1"/>
  <c r="R199" i="17" a="1"/>
  <c r="R205" i="17" a="1"/>
  <c r="R211" i="17" a="1"/>
  <c r="R217" i="17" a="1"/>
  <c r="R229" i="17" a="1"/>
  <c r="R235" i="17" a="1"/>
  <c r="R247" i="17" a="1"/>
  <c r="R259" i="17" a="1"/>
  <c r="R277" i="17" a="1"/>
  <c r="R289" i="17" a="1"/>
  <c r="R301" i="17" a="1"/>
  <c r="R319" i="17" a="1"/>
  <c r="R331" i="17" a="1"/>
  <c r="R343" i="17" a="1"/>
  <c r="R355" i="17" a="1"/>
  <c r="R367" i="17" a="1"/>
  <c r="R379" i="17" a="1"/>
  <c r="R8" i="17" a="1"/>
  <c r="R14" i="17" a="1"/>
  <c r="R20" i="17" a="1"/>
  <c r="R26" i="17" a="1"/>
  <c r="R32" i="17" a="1"/>
  <c r="R38" i="17" a="1"/>
  <c r="R44" i="17" a="1"/>
  <c r="R50" i="17" a="1"/>
  <c r="R56" i="17" a="1"/>
  <c r="R62" i="17" a="1"/>
  <c r="R68" i="17" a="1"/>
  <c r="R74" i="17" a="1"/>
  <c r="R80" i="17" a="1"/>
  <c r="R86" i="17" a="1"/>
  <c r="R92" i="17" a="1"/>
  <c r="R98" i="17" a="1"/>
  <c r="R104" i="17" a="1"/>
  <c r="R110" i="17" a="1"/>
  <c r="R116" i="17" a="1"/>
  <c r="R122" i="17" a="1"/>
  <c r="R128" i="17" a="1"/>
  <c r="R134" i="17" a="1"/>
  <c r="R140" i="17" a="1"/>
  <c r="R146" i="17" a="1"/>
  <c r="R152" i="17" a="1"/>
  <c r="R170" i="17" a="1"/>
  <c r="R176" i="17" a="1"/>
  <c r="R182" i="17" a="1"/>
  <c r="R188" i="17" a="1"/>
  <c r="R194" i="17" a="1"/>
  <c r="R9" i="17" a="1"/>
  <c r="R15" i="17" a="1"/>
  <c r="R21" i="17" a="1"/>
  <c r="R27" i="17" a="1"/>
  <c r="R33" i="17" a="1"/>
  <c r="R39" i="17" a="1"/>
  <c r="R51" i="17" a="1"/>
  <c r="R57" i="17" a="1"/>
  <c r="R63" i="17" a="1"/>
  <c r="R69" i="17" a="1"/>
  <c r="R81" i="17" a="1"/>
  <c r="R87" i="17" a="1"/>
  <c r="R93" i="17" a="1"/>
  <c r="R105" i="17" a="1"/>
  <c r="R117" i="17" a="1"/>
  <c r="R123" i="17" a="1"/>
  <c r="R135" i="17" a="1"/>
  <c r="R147" i="17" a="1"/>
  <c r="R159" i="17" a="1"/>
  <c r="R171" i="17" a="1"/>
  <c r="R177" i="17" a="1"/>
  <c r="R189" i="17" a="1"/>
  <c r="R201" i="17" a="1"/>
  <c r="R207" i="17" a="1"/>
  <c r="R45" i="17" a="1"/>
  <c r="R75" i="17" a="1"/>
  <c r="R99" i="17" a="1"/>
  <c r="R111" i="17" a="1"/>
  <c r="R129" i="17" a="1"/>
  <c r="R141" i="17" a="1"/>
  <c r="R153" i="17" a="1"/>
  <c r="R165" i="17" a="1"/>
  <c r="R183" i="17" a="1"/>
  <c r="R195" i="17" a="1"/>
  <c r="R213" i="17" a="1"/>
  <c r="R275" i="17" a="1"/>
  <c r="R242" i="17" a="1"/>
  <c r="R302" i="17" a="1"/>
  <c r="R338" i="17" a="1"/>
  <c r="R52" i="17" a="1"/>
  <c r="R106" i="17" a="1"/>
  <c r="R142" i="17" a="1"/>
  <c r="R245" i="17" a="1"/>
  <c r="R305" i="17" a="1"/>
  <c r="R10" i="17" a="1"/>
  <c r="R28" i="17" a="1"/>
  <c r="R46" i="17" a="1"/>
  <c r="R64" i="17" a="1"/>
  <c r="R82" i="17" a="1"/>
  <c r="R100" i="17" a="1"/>
  <c r="R118" i="17" a="1"/>
  <c r="R136" i="17" a="1"/>
  <c r="R154" i="17" a="1"/>
  <c r="R203" i="17" a="1"/>
  <c r="R219" i="17" a="1"/>
  <c r="R231" i="17" a="1"/>
  <c r="R243" i="17" a="1"/>
  <c r="R255" i="17" a="1"/>
  <c r="R267" i="17" a="1"/>
  <c r="R279" i="17" a="1"/>
  <c r="R291" i="17" a="1"/>
  <c r="R303" i="17" a="1"/>
  <c r="R315" i="17" a="1"/>
  <c r="R327" i="17" a="1"/>
  <c r="R339" i="17" a="1"/>
  <c r="R350" i="17" a="1"/>
  <c r="R359" i="17" a="1"/>
  <c r="R370" i="17" a="1"/>
  <c r="R381" i="17" a="1"/>
  <c r="R390" i="17" a="1"/>
  <c r="R172" i="17" a="1"/>
  <c r="R190" i="17" a="1"/>
  <c r="R206" i="17" a="1"/>
  <c r="R351" i="17" a="1"/>
  <c r="R360" i="17" a="1"/>
  <c r="R392" i="17" a="1"/>
  <c r="R11" i="17" a="1"/>
  <c r="R29" i="17" a="1"/>
  <c r="R47" i="17" a="1"/>
  <c r="R65" i="17" a="1"/>
  <c r="R83" i="17" a="1"/>
  <c r="R101" i="17" a="1"/>
  <c r="R119" i="17" a="1"/>
  <c r="R137" i="17" a="1"/>
  <c r="R155" i="17" a="1"/>
  <c r="R220" i="17" a="1"/>
  <c r="R232" i="17" a="1"/>
  <c r="R244" i="17" a="1"/>
  <c r="R256" i="17" a="1"/>
  <c r="R268" i="17" a="1"/>
  <c r="R292" i="17" a="1"/>
  <c r="R304" i="17" a="1"/>
  <c r="R316" i="17" a="1"/>
  <c r="R328" i="17" a="1"/>
  <c r="R340" i="17" a="1"/>
  <c r="R362" i="17" a="1"/>
  <c r="R371" i="17" a="1"/>
  <c r="R393" i="17" a="1"/>
  <c r="R173" i="17" a="1"/>
  <c r="R208" i="17" a="1"/>
  <c r="R363" i="17" a="1"/>
  <c r="R34" i="17" a="1"/>
  <c r="R269" i="17" a="1"/>
  <c r="R383" i="17" a="1"/>
  <c r="R280" i="17" a="1"/>
  <c r="R382" i="17" a="1"/>
  <c r="R191" i="17" a="1"/>
  <c r="R352" i="17" a="1"/>
  <c r="R372" i="17" a="1"/>
  <c r="R16" i="17" a="1"/>
  <c r="R124" i="17" a="1"/>
  <c r="R233" i="17" a="1"/>
  <c r="R293" i="17" a="1"/>
  <c r="R178" i="17" a="1"/>
  <c r="R196" i="17" a="1"/>
  <c r="R209" i="17" a="1"/>
  <c r="R224" i="17" a="1"/>
  <c r="R236" i="17" a="1"/>
  <c r="R248" i="17" a="1"/>
  <c r="R260" i="17" a="1"/>
  <c r="R272" i="17" a="1"/>
  <c r="R284" i="17" a="1"/>
  <c r="R296" i="17" a="1"/>
  <c r="R308" i="17" a="1"/>
  <c r="R320" i="17" a="1"/>
  <c r="R332" i="17" a="1"/>
  <c r="R344" i="17" a="1"/>
  <c r="R353" i="17" a="1"/>
  <c r="R364" i="17" a="1"/>
  <c r="R375" i="17" a="1"/>
  <c r="R384" i="17" a="1"/>
  <c r="R164" i="17" a="1"/>
  <c r="R197" i="17" a="1"/>
  <c r="R365" i="17" a="1"/>
  <c r="R387" i="17" a="1"/>
  <c r="R22" i="17" a="1"/>
  <c r="R58" i="17" a="1"/>
  <c r="R76" i="17" a="1"/>
  <c r="R112" i="17" a="1"/>
  <c r="R148" i="17" a="1"/>
  <c r="R214" i="17" a="1"/>
  <c r="R238" i="17" a="1"/>
  <c r="R262" i="17" a="1"/>
  <c r="R286" i="17" a="1"/>
  <c r="R310" i="17" a="1"/>
  <c r="R334" i="17" a="1"/>
  <c r="R357" i="17" a="1"/>
  <c r="R166" i="17" a="1"/>
  <c r="R368" i="17" a="1"/>
  <c r="R388" i="17" a="1"/>
  <c r="R23" i="17" a="1"/>
  <c r="R41" i="17" a="1"/>
  <c r="R77" i="17" a="1"/>
  <c r="R131" i="17" a="1"/>
  <c r="R202" i="17" a="1"/>
  <c r="R227" i="17" a="1"/>
  <c r="R251" i="17" a="1"/>
  <c r="R287" i="17" a="1"/>
  <c r="R323" i="17" a="1"/>
  <c r="R347" i="17" a="1"/>
  <c r="R369" i="17" a="1"/>
  <c r="R185" i="17" a="1"/>
  <c r="R230" i="17" a="1"/>
  <c r="R254" i="17" a="1"/>
  <c r="R278" i="17" a="1"/>
  <c r="R314" i="17" a="1"/>
  <c r="R348" i="17" a="1"/>
  <c r="R389" i="17" a="1"/>
  <c r="R70" i="17" a="1"/>
  <c r="R221" i="17" a="1"/>
  <c r="R281" i="17" a="1"/>
  <c r="R329" i="17" a="1"/>
  <c r="R374" i="17" a="1"/>
  <c r="R17" i="17" a="1"/>
  <c r="R35" i="17" a="1"/>
  <c r="R53" i="17" a="1"/>
  <c r="R71" i="17" a="1"/>
  <c r="R89" i="17" a="1"/>
  <c r="R107" i="17" a="1"/>
  <c r="R125" i="17" a="1"/>
  <c r="R143" i="17" a="1"/>
  <c r="R161" i="17" a="1"/>
  <c r="R212" i="17" a="1"/>
  <c r="R225" i="17" a="1"/>
  <c r="R237" i="17" a="1"/>
  <c r="R249" i="17" a="1"/>
  <c r="R261" i="17" a="1"/>
  <c r="R273" i="17" a="1"/>
  <c r="R285" i="17" a="1"/>
  <c r="R297" i="17" a="1"/>
  <c r="R309" i="17" a="1"/>
  <c r="R321" i="17" a="1"/>
  <c r="R333" i="17" a="1"/>
  <c r="R345" i="17" a="1"/>
  <c r="R354" i="17" a="1"/>
  <c r="R386" i="17" a="1"/>
  <c r="R179" i="17" a="1"/>
  <c r="R356" i="17" a="1"/>
  <c r="R376" i="17" a="1"/>
  <c r="R4" i="17" a="1"/>
  <c r="R40" i="17" a="1"/>
  <c r="R94" i="17" a="1"/>
  <c r="R130" i="17" a="1"/>
  <c r="R200" i="17" a="1"/>
  <c r="R226" i="17" a="1"/>
  <c r="R250" i="17" a="1"/>
  <c r="R274" i="17" a="1"/>
  <c r="R298" i="17" a="1"/>
  <c r="R322" i="17" a="1"/>
  <c r="R346" i="17" a="1"/>
  <c r="R366" i="17" a="1"/>
  <c r="R184" i="17" a="1"/>
  <c r="R377" i="17" a="1"/>
  <c r="R5" i="17" a="1"/>
  <c r="R59" i="17" a="1"/>
  <c r="R95" i="17" a="1"/>
  <c r="R113" i="17" a="1"/>
  <c r="R149" i="17" a="1"/>
  <c r="R215" i="17" a="1"/>
  <c r="R239" i="17" a="1"/>
  <c r="R263" i="17" a="1"/>
  <c r="R299" i="17" a="1"/>
  <c r="R311" i="17" a="1"/>
  <c r="R335" i="17" a="1"/>
  <c r="R358" i="17" a="1"/>
  <c r="R378" i="17" a="1"/>
  <c r="R167" i="17" a="1"/>
  <c r="R218" i="17" a="1"/>
  <c r="R266" i="17" a="1"/>
  <c r="R290" i="17" a="1"/>
  <c r="R326" i="17" a="1"/>
  <c r="R380" i="17" a="1"/>
  <c r="R88" i="17" a="1"/>
  <c r="R160" i="17" a="1"/>
  <c r="R257" i="17" a="1"/>
  <c r="R317" i="17" a="1"/>
  <c r="R341" i="17" a="1"/>
  <c r="R3" i="17" a="1"/>
  <c r="Q4" i="17" a="1"/>
  <c r="Q10" i="17" a="1"/>
  <c r="Q16" i="17" a="1"/>
  <c r="Q22" i="17" a="1"/>
  <c r="Q28" i="17" a="1"/>
  <c r="Q34" i="17" a="1"/>
  <c r="Q40" i="17" a="1"/>
  <c r="Q46" i="17" a="1"/>
  <c r="Q52" i="17" a="1"/>
  <c r="Q58" i="17" a="1"/>
  <c r="Q64" i="17" a="1"/>
  <c r="Q70" i="17" a="1"/>
  <c r="Q76" i="17" a="1"/>
  <c r="Q82" i="17" a="1"/>
  <c r="Q88" i="17" a="1"/>
  <c r="Q94" i="17" a="1"/>
  <c r="Q100" i="17" a="1"/>
  <c r="Q106" i="17" a="1"/>
  <c r="Q112" i="17" a="1"/>
  <c r="Q118" i="17" a="1"/>
  <c r="Q124" i="17" a="1"/>
  <c r="Q130" i="17" a="1"/>
  <c r="Q136" i="17" a="1"/>
  <c r="Q142" i="17" a="1"/>
  <c r="Q148" i="17" a="1"/>
  <c r="Q154" i="17" a="1"/>
  <c r="Q160" i="17" a="1"/>
  <c r="Q166" i="17" a="1"/>
  <c r="Q172" i="17" a="1"/>
  <c r="Q178" i="17" a="1"/>
  <c r="Q184" i="17" a="1"/>
  <c r="Q190" i="17" a="1"/>
  <c r="Q196" i="17" a="1"/>
  <c r="Q202" i="17" a="1"/>
  <c r="Q208" i="17" a="1"/>
  <c r="Q214" i="17" a="1"/>
  <c r="Q220" i="17" a="1"/>
  <c r="Q226" i="17" a="1"/>
  <c r="Q232" i="17" a="1"/>
  <c r="Q238" i="17" a="1"/>
  <c r="Q244" i="17" a="1"/>
  <c r="Q250" i="17" a="1"/>
  <c r="Q256" i="17" a="1"/>
  <c r="Q262" i="17" a="1"/>
  <c r="Q268" i="17" a="1"/>
  <c r="Q274" i="17" a="1"/>
  <c r="Q280" i="17" a="1"/>
  <c r="Q286" i="17" a="1"/>
  <c r="Q292" i="17" a="1"/>
  <c r="Q298" i="17" a="1"/>
  <c r="Q304" i="17" a="1"/>
  <c r="Q310" i="17" a="1"/>
  <c r="Q316" i="17" a="1"/>
  <c r="Q322" i="17" a="1"/>
  <c r="Q328" i="17" a="1"/>
  <c r="Q334" i="17" a="1"/>
  <c r="Q340" i="17" a="1"/>
  <c r="Q346" i="17" a="1"/>
  <c r="Q352" i="17" a="1"/>
  <c r="Q358" i="17" a="1"/>
  <c r="Q364" i="17" a="1"/>
  <c r="Q370" i="17" a="1"/>
  <c r="Q376" i="17" a="1"/>
  <c r="Q382" i="17" a="1"/>
  <c r="Q388" i="17" a="1"/>
  <c r="Q5" i="17" a="1"/>
  <c r="Q18" i="17" a="1"/>
  <c r="Q78" i="17" a="1"/>
  <c r="Q90" i="17" a="1"/>
  <c r="Q102" i="17" a="1"/>
  <c r="Q114" i="17" a="1"/>
  <c r="Q126" i="17" a="1"/>
  <c r="Q138" i="17" a="1"/>
  <c r="Q150" i="17" a="1"/>
  <c r="Q156" i="17" a="1"/>
  <c r="Q168" i="17" a="1"/>
  <c r="Q180" i="17" a="1"/>
  <c r="Q192" i="17" a="1"/>
  <c r="Q204" i="17" a="1"/>
  <c r="Q210" i="17" a="1"/>
  <c r="Q222" i="17" a="1"/>
  <c r="Q234" i="17" a="1"/>
  <c r="Q240" i="17" a="1"/>
  <c r="Q252" i="17" a="1"/>
  <c r="Q264" i="17" a="1"/>
  <c r="Q276" i="17" a="1"/>
  <c r="Q282" i="17" a="1"/>
  <c r="Q294" i="17" a="1"/>
  <c r="Q306" i="17" a="1"/>
  <c r="Q6" i="17" a="1"/>
  <c r="Q12" i="17" a="1"/>
  <c r="Q24" i="17" a="1"/>
  <c r="Q30" i="17" a="1"/>
  <c r="Q36" i="17" a="1"/>
  <c r="Q42" i="17" a="1"/>
  <c r="Q48" i="17" a="1"/>
  <c r="Q54" i="17" a="1"/>
  <c r="Q60" i="17" a="1"/>
  <c r="Q66" i="17" a="1"/>
  <c r="Q72" i="17" a="1"/>
  <c r="Q84" i="17" a="1"/>
  <c r="Q96" i="17" a="1"/>
  <c r="Q108" i="17" a="1"/>
  <c r="Q120" i="17" a="1"/>
  <c r="Q132" i="17" a="1"/>
  <c r="Q144" i="17" a="1"/>
  <c r="Q162" i="17" a="1"/>
  <c r="Q174" i="17" a="1"/>
  <c r="Q186" i="17" a="1"/>
  <c r="Q198" i="17" a="1"/>
  <c r="Q216" i="17" a="1"/>
  <c r="Q228" i="17" a="1"/>
  <c r="Q246" i="17" a="1"/>
  <c r="Q258" i="17" a="1"/>
  <c r="Q270" i="17" a="1"/>
  <c r="Q288" i="17" a="1"/>
  <c r="Q300" i="17" a="1"/>
  <c r="Q312" i="17" a="1"/>
  <c r="Q223" i="17" a="1"/>
  <c r="Q283" i="17" a="1"/>
  <c r="Q301" i="17" a="1"/>
  <c r="Q313" i="17" a="1"/>
  <c r="Q325" i="17" a="1"/>
  <c r="Q337" i="17" a="1"/>
  <c r="Q349" i="17" a="1"/>
  <c r="Q361" i="17" a="1"/>
  <c r="Q379" i="17" a="1"/>
  <c r="Q391" i="17" a="1"/>
  <c r="Q7" i="17" a="1"/>
  <c r="Q13" i="17" a="1"/>
  <c r="Q19" i="17" a="1"/>
  <c r="Q25" i="17" a="1"/>
  <c r="Q31" i="17" a="1"/>
  <c r="Q37" i="17" a="1"/>
  <c r="Q43" i="17" a="1"/>
  <c r="Q49" i="17" a="1"/>
  <c r="Q55" i="17" a="1"/>
  <c r="Q61" i="17" a="1"/>
  <c r="Q67" i="17" a="1"/>
  <c r="Q73" i="17" a="1"/>
  <c r="Q79" i="17" a="1"/>
  <c r="Q85" i="17" a="1"/>
  <c r="Q91" i="17" a="1"/>
  <c r="Q97" i="17" a="1"/>
  <c r="Q103" i="17" a="1"/>
  <c r="Q109" i="17" a="1"/>
  <c r="Q115" i="17" a="1"/>
  <c r="Q121" i="17" a="1"/>
  <c r="Q127" i="17" a="1"/>
  <c r="Q133" i="17" a="1"/>
  <c r="Q139" i="17" a="1"/>
  <c r="Q145" i="17" a="1"/>
  <c r="Q151" i="17" a="1"/>
  <c r="Q157" i="17" a="1"/>
  <c r="Q163" i="17" a="1"/>
  <c r="Q169" i="17" a="1"/>
  <c r="Q175" i="17" a="1"/>
  <c r="Q181" i="17" a="1"/>
  <c r="Q187" i="17" a="1"/>
  <c r="Q193" i="17" a="1"/>
  <c r="Q199" i="17" a="1"/>
  <c r="Q205" i="17" a="1"/>
  <c r="Q211" i="17" a="1"/>
  <c r="Q217" i="17" a="1"/>
  <c r="Q229" i="17" a="1"/>
  <c r="Q235" i="17" a="1"/>
  <c r="Q241" i="17" a="1"/>
  <c r="Q247" i="17" a="1"/>
  <c r="Q253" i="17" a="1"/>
  <c r="Q259" i="17" a="1"/>
  <c r="Q265" i="17" a="1"/>
  <c r="Q271" i="17" a="1"/>
  <c r="Q277" i="17" a="1"/>
  <c r="Q289" i="17" a="1"/>
  <c r="Q295" i="17" a="1"/>
  <c r="Q307" i="17" a="1"/>
  <c r="Q319" i="17" a="1"/>
  <c r="Q331" i="17" a="1"/>
  <c r="Q343" i="17" a="1"/>
  <c r="Q355" i="17" a="1"/>
  <c r="Q367" i="17" a="1"/>
  <c r="Q373" i="17" a="1"/>
  <c r="Q385" i="17" a="1"/>
  <c r="Q8" i="17" a="1"/>
  <c r="Q9" i="17" a="1"/>
  <c r="Q15" i="17" a="1"/>
  <c r="Q21" i="17" a="1"/>
  <c r="Q27" i="17" a="1"/>
  <c r="Q33" i="17" a="1"/>
  <c r="Q39" i="17" a="1"/>
  <c r="Q45" i="17" a="1"/>
  <c r="Q51" i="17" a="1"/>
  <c r="Q63" i="17" a="1"/>
  <c r="Q69" i="17" a="1"/>
  <c r="Q75" i="17" a="1"/>
  <c r="Q81" i="17" a="1"/>
  <c r="Q87" i="17" a="1"/>
  <c r="Q99" i="17" a="1"/>
  <c r="Q105" i="17" a="1"/>
  <c r="Q111" i="17" a="1"/>
  <c r="Q123" i="17" a="1"/>
  <c r="Q135" i="17" a="1"/>
  <c r="Q147" i="17" a="1"/>
  <c r="Q159" i="17" a="1"/>
  <c r="Q171" i="17" a="1"/>
  <c r="Q57" i="17" a="1"/>
  <c r="Q93" i="17" a="1"/>
  <c r="Q117" i="17" a="1"/>
  <c r="Q129" i="17" a="1"/>
  <c r="Q141" i="17" a="1"/>
  <c r="Q153" i="17" a="1"/>
  <c r="Q165" i="17" a="1"/>
  <c r="Q177" i="17" a="1"/>
  <c r="Q14" i="17" a="1"/>
  <c r="Q38" i="17" a="1"/>
  <c r="Q59" i="17" a="1"/>
  <c r="Q77" i="17" a="1"/>
  <c r="Q95" i="17" a="1"/>
  <c r="Q113" i="17" a="1"/>
  <c r="Q164" i="17" a="1"/>
  <c r="Q332" i="17" a="1"/>
  <c r="Q342" i="17" a="1"/>
  <c r="Q363" i="17" a="1"/>
  <c r="Q383" i="17" a="1"/>
  <c r="Q62" i="17" a="1"/>
  <c r="Q80" i="17" a="1"/>
  <c r="Q98" i="17" a="1"/>
  <c r="Q116" i="17" a="1"/>
  <c r="Q131" i="17" a="1"/>
  <c r="Q149" i="17" a="1"/>
  <c r="Q179" i="17" a="1"/>
  <c r="Q191" i="17" a="1"/>
  <c r="Q203" i="17" a="1"/>
  <c r="Q215" i="17" a="1"/>
  <c r="Q227" i="17" a="1"/>
  <c r="Q239" i="17" a="1"/>
  <c r="Q251" i="17" a="1"/>
  <c r="Q263" i="17" a="1"/>
  <c r="Q275" i="17" a="1"/>
  <c r="Q287" i="17" a="1"/>
  <c r="Q299" i="17" a="1"/>
  <c r="Q311" i="17" a="1"/>
  <c r="Q333" i="17" a="1"/>
  <c r="Q353" i="17" a="1"/>
  <c r="Q374" i="17" a="1"/>
  <c r="Q384" i="17" a="1"/>
  <c r="Q255" i="17" a="1"/>
  <c r="Q356" i="17" a="1"/>
  <c r="Q387" i="17" a="1"/>
  <c r="Q86" i="17" a="1"/>
  <c r="Q17" i="17" a="1"/>
  <c r="Q41" i="17" a="1"/>
  <c r="Q134" i="17" a="1"/>
  <c r="Q152" i="17" a="1"/>
  <c r="Q323" i="17" a="1"/>
  <c r="Q344" i="17" a="1"/>
  <c r="Q354" i="17" a="1"/>
  <c r="Q375" i="17" a="1"/>
  <c r="Q20" i="17" a="1"/>
  <c r="Q44" i="17" a="1"/>
  <c r="Q167" i="17" a="1"/>
  <c r="Q182" i="17" a="1"/>
  <c r="Q194" i="17" a="1"/>
  <c r="Q206" i="17" a="1"/>
  <c r="Q218" i="17" a="1"/>
  <c r="Q230" i="17" a="1"/>
  <c r="Q242" i="17" a="1"/>
  <c r="Q254" i="17" a="1"/>
  <c r="Q266" i="17" a="1"/>
  <c r="Q278" i="17" a="1"/>
  <c r="Q290" i="17" a="1"/>
  <c r="Q302" i="17" a="1"/>
  <c r="Q314" i="17" a="1"/>
  <c r="Q324" i="17" a="1"/>
  <c r="Q345" i="17" a="1"/>
  <c r="Q365" i="17" a="1"/>
  <c r="Q386" i="17" a="1"/>
  <c r="Q65" i="17" a="1"/>
  <c r="Q83" i="17" a="1"/>
  <c r="Q101" i="17" a="1"/>
  <c r="Q119" i="17" a="1"/>
  <c r="Q183" i="17" a="1"/>
  <c r="Q195" i="17" a="1"/>
  <c r="Q207" i="17" a="1"/>
  <c r="Q219" i="17" a="1"/>
  <c r="Q231" i="17" a="1"/>
  <c r="Q243" i="17" a="1"/>
  <c r="Q267" i="17" a="1"/>
  <c r="Q279" i="17" a="1"/>
  <c r="Q291" i="17" a="1"/>
  <c r="Q303" i="17" a="1"/>
  <c r="Q315" i="17" a="1"/>
  <c r="Q335" i="17" a="1"/>
  <c r="Q366" i="17" a="1"/>
  <c r="Q23" i="17" a="1"/>
  <c r="Q104" i="17" a="1"/>
  <c r="Q155" i="17" a="1"/>
  <c r="Q326" i="17" a="1"/>
  <c r="Q378" i="17" a="1"/>
  <c r="Q26" i="17" a="1"/>
  <c r="Q50" i="17" a="1"/>
  <c r="Q122" i="17" a="1"/>
  <c r="Q140" i="17" a="1"/>
  <c r="Q327" i="17" a="1"/>
  <c r="Q158" i="17" a="1"/>
  <c r="Q185" i="17" a="1"/>
  <c r="Q197" i="17" a="1"/>
  <c r="Q209" i="17" a="1"/>
  <c r="Q221" i="17" a="1"/>
  <c r="Q233" i="17" a="1"/>
  <c r="Q245" i="17" a="1"/>
  <c r="Q257" i="17" a="1"/>
  <c r="Q269" i="17" a="1"/>
  <c r="Q281" i="17" a="1"/>
  <c r="Q293" i="17" a="1"/>
  <c r="Q305" i="17" a="1"/>
  <c r="Q317" i="17" a="1"/>
  <c r="Q338" i="17" a="1"/>
  <c r="Q348" i="17" a="1"/>
  <c r="Q369" i="17" a="1"/>
  <c r="Q389" i="17" a="1"/>
  <c r="Q56" i="17" a="1"/>
  <c r="Q92" i="17" a="1"/>
  <c r="Q125" i="17" a="1"/>
  <c r="Q188" i="17" a="1"/>
  <c r="Q212" i="17" a="1"/>
  <c r="Q248" i="17" a="1"/>
  <c r="Q272" i="17" a="1"/>
  <c r="Q296" i="17" a="1"/>
  <c r="Q329" i="17" a="1"/>
  <c r="Q360" i="17" a="1"/>
  <c r="Q128" i="17" a="1"/>
  <c r="Q176" i="17" a="1"/>
  <c r="Q201" i="17" a="1"/>
  <c r="Q225" i="17" a="1"/>
  <c r="Q249" i="17" a="1"/>
  <c r="Q273" i="17" a="1"/>
  <c r="Q297" i="17" a="1"/>
  <c r="Q320" i="17" a="1"/>
  <c r="Q351" i="17" a="1"/>
  <c r="Q392" i="17" a="1"/>
  <c r="Q11" i="17" a="1"/>
  <c r="Q321" i="17" a="1"/>
  <c r="Q372" i="17" a="1"/>
  <c r="Q393" i="17" a="1"/>
  <c r="Q68" i="17" a="1"/>
  <c r="Q137" i="17" a="1"/>
  <c r="Q357" i="17" a="1"/>
  <c r="Q347" i="17" a="1"/>
  <c r="Q29" i="17" a="1"/>
  <c r="Q53" i="17" a="1"/>
  <c r="Q71" i="17" a="1"/>
  <c r="Q89" i="17" a="1"/>
  <c r="Q107" i="17" a="1"/>
  <c r="Q173" i="17" a="1"/>
  <c r="Q318" i="17" a="1"/>
  <c r="Q339" i="17" a="1"/>
  <c r="Q359" i="17" a="1"/>
  <c r="Q380" i="17" a="1"/>
  <c r="Q390" i="17" a="1"/>
  <c r="Q32" i="17" a="1"/>
  <c r="Q74" i="17" a="1"/>
  <c r="Q110" i="17" a="1"/>
  <c r="Q143" i="17" a="1"/>
  <c r="Q200" i="17" a="1"/>
  <c r="Q224" i="17" a="1"/>
  <c r="Q236" i="17" a="1"/>
  <c r="Q260" i="17" a="1"/>
  <c r="Q284" i="17" a="1"/>
  <c r="Q308" i="17" a="1"/>
  <c r="Q350" i="17" a="1"/>
  <c r="Q381" i="17" a="1"/>
  <c r="Q146" i="17" a="1"/>
  <c r="Q161" i="17" a="1"/>
  <c r="Q189" i="17" a="1"/>
  <c r="Q213" i="17" a="1"/>
  <c r="Q237" i="17" a="1"/>
  <c r="Q261" i="17" a="1"/>
  <c r="Q285" i="17" a="1"/>
  <c r="Q309" i="17" a="1"/>
  <c r="Q330" i="17" a="1"/>
  <c r="Q371" i="17" a="1"/>
  <c r="Q35" i="17" a="1"/>
  <c r="Q341" i="17" a="1"/>
  <c r="Q362" i="17" a="1"/>
  <c r="Q47" i="17" a="1"/>
  <c r="Q170" i="17" a="1"/>
  <c r="Q336" i="17" a="1"/>
  <c r="Q377" i="17" a="1"/>
  <c r="Q368" i="17" a="1"/>
  <c r="Q3" i="17" a="1"/>
  <c r="P194" i="17" a="1"/>
  <c r="P254" i="17" a="1"/>
  <c r="P266" i="17" a="1"/>
  <c r="P284" i="17" a="1"/>
  <c r="P314" i="17" a="1"/>
  <c r="P350" i="17" a="1"/>
  <c r="P273" i="17" a="1"/>
  <c r="P309" i="17" a="1"/>
  <c r="P321" i="17" a="1"/>
  <c r="P333" i="17" a="1"/>
  <c r="P345" i="17" a="1"/>
  <c r="P357" i="17" a="1"/>
  <c r="P369" i="17" a="1"/>
  <c r="P381" i="17" a="1"/>
  <c r="P393" i="17" a="1"/>
  <c r="P230" i="17" a="1"/>
  <c r="P326" i="17" a="1"/>
  <c r="P392" i="17" a="1"/>
  <c r="P195" i="17" a="1"/>
  <c r="P201" i="17" a="1"/>
  <c r="P207" i="17" a="1"/>
  <c r="P213" i="17" a="1"/>
  <c r="P219" i="17" a="1"/>
  <c r="P225" i="17" a="1"/>
  <c r="P231" i="17" a="1"/>
  <c r="P237" i="17" a="1"/>
  <c r="P243" i="17" a="1"/>
  <c r="P249" i="17" a="1"/>
  <c r="P255" i="17" a="1"/>
  <c r="P261" i="17" a="1"/>
  <c r="P267" i="17" a="1"/>
  <c r="P279" i="17" a="1"/>
  <c r="P285" i="17" a="1"/>
  <c r="P291" i="17" a="1"/>
  <c r="P297" i="17" a="1"/>
  <c r="P303" i="17" a="1"/>
  <c r="P315" i="17" a="1"/>
  <c r="P327" i="17" a="1"/>
  <c r="P339" i="17" a="1"/>
  <c r="P351" i="17" a="1"/>
  <c r="P363" i="17" a="1"/>
  <c r="P375" i="17" a="1"/>
  <c r="P387" i="17" a="1"/>
  <c r="P224" i="17" a="1"/>
  <c r="P320" i="17" a="1"/>
  <c r="P196" i="17" a="1"/>
  <c r="P202" i="17" a="1"/>
  <c r="P208" i="17" a="1"/>
  <c r="P214" i="17" a="1"/>
  <c r="P220" i="17" a="1"/>
  <c r="P226" i="17" a="1"/>
  <c r="P232" i="17" a="1"/>
  <c r="P238" i="17" a="1"/>
  <c r="P250" i="17" a="1"/>
  <c r="P256" i="17" a="1"/>
  <c r="P262" i="17" a="1"/>
  <c r="P268" i="17" a="1"/>
  <c r="P274" i="17" a="1"/>
  <c r="P280" i="17" a="1"/>
  <c r="P286" i="17" a="1"/>
  <c r="P292" i="17" a="1"/>
  <c r="P298" i="17" a="1"/>
  <c r="P310" i="17" a="1"/>
  <c r="P316" i="17" a="1"/>
  <c r="P322" i="17" a="1"/>
  <c r="P328" i="17" a="1"/>
  <c r="P340" i="17" a="1"/>
  <c r="P346" i="17" a="1"/>
  <c r="P358" i="17" a="1"/>
  <c r="P364" i="17" a="1"/>
  <c r="P376" i="17" a="1"/>
  <c r="P388" i="17" a="1"/>
  <c r="P389" i="17" a="1"/>
  <c r="P211" i="17" a="1"/>
  <c r="P241" i="17" a="1"/>
  <c r="P271" i="17" a="1"/>
  <c r="P295" i="17" a="1"/>
  <c r="P325" i="17" a="1"/>
  <c r="P361" i="17" a="1"/>
  <c r="P385" i="17" a="1"/>
  <c r="P200" i="17" a="1"/>
  <c r="P278" i="17" a="1"/>
  <c r="P308" i="17" a="1"/>
  <c r="P338" i="17" a="1"/>
  <c r="P374" i="17" a="1"/>
  <c r="P244" i="17" a="1"/>
  <c r="P304" i="17" a="1"/>
  <c r="P334" i="17" a="1"/>
  <c r="P352" i="17" a="1"/>
  <c r="P370" i="17" a="1"/>
  <c r="P382" i="17" a="1"/>
  <c r="P217" i="17" a="1"/>
  <c r="P265" i="17" a="1"/>
  <c r="P313" i="17" a="1"/>
  <c r="P349" i="17" a="1"/>
  <c r="P236" i="17" a="1"/>
  <c r="P344" i="17" a="1"/>
  <c r="P197" i="17" a="1"/>
  <c r="P203" i="17" a="1"/>
  <c r="P209" i="17" a="1"/>
  <c r="P215" i="17" a="1"/>
  <c r="P221" i="17" a="1"/>
  <c r="P227" i="17" a="1"/>
  <c r="P233" i="17" a="1"/>
  <c r="P239" i="17" a="1"/>
  <c r="P245" i="17" a="1"/>
  <c r="P251" i="17" a="1"/>
  <c r="P257" i="17" a="1"/>
  <c r="P263" i="17" a="1"/>
  <c r="P269" i="17" a="1"/>
  <c r="P275" i="17" a="1"/>
  <c r="P281" i="17" a="1"/>
  <c r="P287" i="17" a="1"/>
  <c r="P293" i="17" a="1"/>
  <c r="P299" i="17" a="1"/>
  <c r="P305" i="17" a="1"/>
  <c r="P311" i="17" a="1"/>
  <c r="P317" i="17" a="1"/>
  <c r="P323" i="17" a="1"/>
  <c r="P329" i="17" a="1"/>
  <c r="P335" i="17" a="1"/>
  <c r="P341" i="17" a="1"/>
  <c r="P347" i="17" a="1"/>
  <c r="P353" i="17" a="1"/>
  <c r="P359" i="17" a="1"/>
  <c r="P365" i="17" a="1"/>
  <c r="P371" i="17" a="1"/>
  <c r="P377" i="17" a="1"/>
  <c r="P383" i="17" a="1"/>
  <c r="P223" i="17" a="1"/>
  <c r="P253" i="17" a="1"/>
  <c r="P283" i="17" a="1"/>
  <c r="P307" i="17" a="1"/>
  <c r="P337" i="17" a="1"/>
  <c r="P367" i="17" a="1"/>
  <c r="P391" i="17" a="1"/>
  <c r="P218" i="17" a="1"/>
  <c r="P290" i="17" a="1"/>
  <c r="P356" i="17" a="1"/>
  <c r="P260" i="17" a="1"/>
  <c r="P242" i="17" a="1"/>
  <c r="P198" i="17" a="1"/>
  <c r="P204" i="17" a="1"/>
  <c r="P210" i="17" a="1"/>
  <c r="P216" i="17" a="1"/>
  <c r="P222" i="17" a="1"/>
  <c r="P228" i="17" a="1"/>
  <c r="P234" i="17" a="1"/>
  <c r="P240" i="17" a="1"/>
  <c r="P246" i="17" a="1"/>
  <c r="P252" i="17" a="1"/>
  <c r="P258" i="17" a="1"/>
  <c r="P264" i="17" a="1"/>
  <c r="P270" i="17" a="1"/>
  <c r="P276" i="17" a="1"/>
  <c r="P282" i="17" a="1"/>
  <c r="P288" i="17" a="1"/>
  <c r="P294" i="17" a="1"/>
  <c r="P300" i="17" a="1"/>
  <c r="P306" i="17" a="1"/>
  <c r="P312" i="17" a="1"/>
  <c r="P318" i="17" a="1"/>
  <c r="P324" i="17" a="1"/>
  <c r="P330" i="17" a="1"/>
  <c r="P336" i="17" a="1"/>
  <c r="P342" i="17" a="1"/>
  <c r="P348" i="17" a="1"/>
  <c r="P354" i="17" a="1"/>
  <c r="P360" i="17" a="1"/>
  <c r="P366" i="17" a="1"/>
  <c r="P372" i="17" a="1"/>
  <c r="P378" i="17" a="1"/>
  <c r="P384" i="17" a="1"/>
  <c r="P390" i="17" a="1"/>
  <c r="P205" i="17" a="1"/>
  <c r="P247" i="17" a="1"/>
  <c r="P277" i="17" a="1"/>
  <c r="P301" i="17" a="1"/>
  <c r="P331" i="17" a="1"/>
  <c r="P355" i="17" a="1"/>
  <c r="P379" i="17" a="1"/>
  <c r="P206" i="17" a="1"/>
  <c r="P272" i="17" a="1"/>
  <c r="P296" i="17" a="1"/>
  <c r="P332" i="17" a="1"/>
  <c r="P368" i="17" a="1"/>
  <c r="P248" i="17" a="1"/>
  <c r="P199" i="17" a="1"/>
  <c r="P229" i="17" a="1"/>
  <c r="P235" i="17" a="1"/>
  <c r="P259" i="17" a="1"/>
  <c r="P289" i="17" a="1"/>
  <c r="P319" i="17" a="1"/>
  <c r="P343" i="17" a="1"/>
  <c r="P373" i="17" a="1"/>
  <c r="P212" i="17" a="1"/>
  <c r="P302" i="17" a="1"/>
  <c r="P362" i="17" a="1"/>
  <c r="P380" i="17" a="1"/>
  <c r="P386" i="17" a="1"/>
  <c r="O195" i="17" a="1"/>
  <c r="O201" i="17" a="1"/>
  <c r="O207" i="17" a="1"/>
  <c r="O213" i="17" a="1"/>
  <c r="O219" i="17" a="1"/>
  <c r="O225" i="17" a="1"/>
  <c r="O231" i="17" a="1"/>
  <c r="O237" i="17" a="1"/>
  <c r="O243" i="17" a="1"/>
  <c r="O249" i="17" a="1"/>
  <c r="O255" i="17" a="1"/>
  <c r="O261" i="17" a="1"/>
  <c r="O267" i="17" a="1"/>
  <c r="O273" i="17" a="1"/>
  <c r="O279" i="17" a="1"/>
  <c r="O285" i="17" a="1"/>
  <c r="O291" i="17" a="1"/>
  <c r="O297" i="17" a="1"/>
  <c r="O303" i="17" a="1"/>
  <c r="O309" i="17" a="1"/>
  <c r="O315" i="17" a="1"/>
  <c r="O321" i="17" a="1"/>
  <c r="O327" i="17" a="1"/>
  <c r="O333" i="17" a="1"/>
  <c r="O339" i="17" a="1"/>
  <c r="O345" i="17" a="1"/>
  <c r="O351" i="17" a="1"/>
  <c r="O357" i="17" a="1"/>
  <c r="O363" i="17" a="1"/>
  <c r="O369" i="17" a="1"/>
  <c r="O375" i="17" a="1"/>
  <c r="O381" i="17" a="1"/>
  <c r="O387" i="17" a="1"/>
  <c r="O393" i="17" a="1"/>
  <c r="O362" i="17" a="1"/>
  <c r="O298" i="17" a="1"/>
  <c r="O334" i="17" a="1"/>
  <c r="O352" i="17" a="1"/>
  <c r="O364" i="17" a="1"/>
  <c r="O370" i="17" a="1"/>
  <c r="O382" i="17" a="1"/>
  <c r="O388" i="17" a="1"/>
  <c r="O203" i="17" a="1"/>
  <c r="O221" i="17" a="1"/>
  <c r="O227" i="17" a="1"/>
  <c r="O239" i="17" a="1"/>
  <c r="O251" i="17" a="1"/>
  <c r="O257" i="17" a="1"/>
  <c r="O269" i="17" a="1"/>
  <c r="O287" i="17" a="1"/>
  <c r="O299" i="17" a="1"/>
  <c r="O311" i="17" a="1"/>
  <c r="O329" i="17" a="1"/>
  <c r="O341" i="17" a="1"/>
  <c r="O359" i="17" a="1"/>
  <c r="O371" i="17" a="1"/>
  <c r="O389" i="17" a="1"/>
  <c r="O342" i="17" a="1"/>
  <c r="O354" i="17" a="1"/>
  <c r="O378" i="17" a="1"/>
  <c r="O390" i="17" a="1"/>
  <c r="O332" i="17" a="1"/>
  <c r="O368" i="17" a="1"/>
  <c r="O196" i="17" a="1"/>
  <c r="O202" i="17" a="1"/>
  <c r="O208" i="17" a="1"/>
  <c r="O214" i="17" a="1"/>
  <c r="O220" i="17" a="1"/>
  <c r="O226" i="17" a="1"/>
  <c r="O232" i="17" a="1"/>
  <c r="O238" i="17" a="1"/>
  <c r="O244" i="17" a="1"/>
  <c r="O250" i="17" a="1"/>
  <c r="O256" i="17" a="1"/>
  <c r="O262" i="17" a="1"/>
  <c r="O268" i="17" a="1"/>
  <c r="O274" i="17" a="1"/>
  <c r="O280" i="17" a="1"/>
  <c r="O286" i="17" a="1"/>
  <c r="O292" i="17" a="1"/>
  <c r="O304" i="17" a="1"/>
  <c r="O310" i="17" a="1"/>
  <c r="O316" i="17" a="1"/>
  <c r="O322" i="17" a="1"/>
  <c r="O328" i="17" a="1"/>
  <c r="O340" i="17" a="1"/>
  <c r="O346" i="17" a="1"/>
  <c r="O358" i="17" a="1"/>
  <c r="O376" i="17" a="1"/>
  <c r="O197" i="17" a="1"/>
  <c r="O215" i="17" a="1"/>
  <c r="O233" i="17" a="1"/>
  <c r="O245" i="17" a="1"/>
  <c r="O263" i="17" a="1"/>
  <c r="O275" i="17" a="1"/>
  <c r="O293" i="17" a="1"/>
  <c r="O305" i="17" a="1"/>
  <c r="O317" i="17" a="1"/>
  <c r="O335" i="17" a="1"/>
  <c r="O347" i="17" a="1"/>
  <c r="O365" i="17" a="1"/>
  <c r="O383" i="17" a="1"/>
  <c r="O330" i="17" a="1"/>
  <c r="O372" i="17" a="1"/>
  <c r="O338" i="17" a="1"/>
  <c r="O374" i="17" a="1"/>
  <c r="O209" i="17" a="1"/>
  <c r="O281" i="17" a="1"/>
  <c r="O323" i="17" a="1"/>
  <c r="O353" i="17" a="1"/>
  <c r="O377" i="17" a="1"/>
  <c r="O336" i="17" a="1"/>
  <c r="O366" i="17" a="1"/>
  <c r="O384" i="17" a="1"/>
  <c r="O326" i="17" a="1"/>
  <c r="O392" i="17" a="1"/>
  <c r="O198" i="17" a="1"/>
  <c r="O204" i="17" a="1"/>
  <c r="O210" i="17" a="1"/>
  <c r="O216" i="17" a="1"/>
  <c r="O222" i="17" a="1"/>
  <c r="O228" i="17" a="1"/>
  <c r="O234" i="17" a="1"/>
  <c r="O240" i="17" a="1"/>
  <c r="O246" i="17" a="1"/>
  <c r="O252" i="17" a="1"/>
  <c r="O258" i="17" a="1"/>
  <c r="O264" i="17" a="1"/>
  <c r="O270" i="17" a="1"/>
  <c r="O276" i="17" a="1"/>
  <c r="O282" i="17" a="1"/>
  <c r="O288" i="17" a="1"/>
  <c r="O294" i="17" a="1"/>
  <c r="O300" i="17" a="1"/>
  <c r="O306" i="17" a="1"/>
  <c r="O312" i="17" a="1"/>
  <c r="O318" i="17" a="1"/>
  <c r="O324" i="17" a="1"/>
  <c r="O348" i="17" a="1"/>
  <c r="O360" i="17" a="1"/>
  <c r="O350" i="17" a="1"/>
  <c r="O386" i="17" a="1"/>
  <c r="O344" i="17" a="1"/>
  <c r="O199" i="17" a="1"/>
  <c r="O205" i="17" a="1"/>
  <c r="O211" i="17" a="1"/>
  <c r="O217" i="17" a="1"/>
  <c r="O223" i="17" a="1"/>
  <c r="O229" i="17" a="1"/>
  <c r="O235" i="17" a="1"/>
  <c r="O241" i="17" a="1"/>
  <c r="O247" i="17" a="1"/>
  <c r="O253" i="17" a="1"/>
  <c r="O259" i="17" a="1"/>
  <c r="O265" i="17" a="1"/>
  <c r="O271" i="17" a="1"/>
  <c r="O277" i="17" a="1"/>
  <c r="O283" i="17" a="1"/>
  <c r="O289" i="17" a="1"/>
  <c r="O295" i="17" a="1"/>
  <c r="O301" i="17" a="1"/>
  <c r="O307" i="17" a="1"/>
  <c r="O313" i="17" a="1"/>
  <c r="O319" i="17" a="1"/>
  <c r="O325" i="17" a="1"/>
  <c r="O331" i="17" a="1"/>
  <c r="O337" i="17" a="1"/>
  <c r="O343" i="17" a="1"/>
  <c r="O349" i="17" a="1"/>
  <c r="O355" i="17" a="1"/>
  <c r="O361" i="17" a="1"/>
  <c r="O367" i="17" a="1"/>
  <c r="O373" i="17" a="1"/>
  <c r="O379" i="17" a="1"/>
  <c r="O385" i="17" a="1"/>
  <c r="O391" i="17" a="1"/>
  <c r="O194" i="17" a="1"/>
  <c r="O200" i="17" a="1"/>
  <c r="O206" i="17" a="1"/>
  <c r="O212" i="17" a="1"/>
  <c r="O218" i="17" a="1"/>
  <c r="O224" i="17" a="1"/>
  <c r="O230" i="17" a="1"/>
  <c r="O236" i="17" a="1"/>
  <c r="O242" i="17" a="1"/>
  <c r="O248" i="17" a="1"/>
  <c r="O254" i="17" a="1"/>
  <c r="O260" i="17" a="1"/>
  <c r="O266" i="17" a="1"/>
  <c r="O272" i="17" a="1"/>
  <c r="O278" i="17" a="1"/>
  <c r="O284" i="17" a="1"/>
  <c r="O290" i="17" a="1"/>
  <c r="O296" i="17" a="1"/>
  <c r="O302" i="17" a="1"/>
  <c r="O308" i="17" a="1"/>
  <c r="O314" i="17" a="1"/>
  <c r="O320" i="17" a="1"/>
  <c r="O356" i="17" a="1"/>
  <c r="O380" i="17" a="1"/>
  <c r="N194" i="17" a="1"/>
  <c r="N200" i="17" a="1"/>
  <c r="N206" i="17" a="1"/>
  <c r="N212" i="17" a="1"/>
  <c r="N218" i="17" a="1"/>
  <c r="N224" i="17" a="1"/>
  <c r="N230" i="17" a="1"/>
  <c r="N236" i="17" a="1"/>
  <c r="N242" i="17" a="1"/>
  <c r="N248" i="17" a="1"/>
  <c r="N254" i="17" a="1"/>
  <c r="N260" i="17" a="1"/>
  <c r="N266" i="17" a="1"/>
  <c r="N272" i="17" a="1"/>
  <c r="N278" i="17" a="1"/>
  <c r="N284" i="17" a="1"/>
  <c r="N290" i="17" a="1"/>
  <c r="N296" i="17" a="1"/>
  <c r="N302" i="17" a="1"/>
  <c r="N308" i="17" a="1"/>
  <c r="N314" i="17" a="1"/>
  <c r="N320" i="17" a="1"/>
  <c r="N326" i="17" a="1"/>
  <c r="N332" i="17" a="1"/>
  <c r="N338" i="17" a="1"/>
  <c r="N344" i="17" a="1"/>
  <c r="N350" i="17" a="1"/>
  <c r="N356" i="17" a="1"/>
  <c r="N362" i="17" a="1"/>
  <c r="N368" i="17" a="1"/>
  <c r="N374" i="17" a="1"/>
  <c r="N380" i="17" a="1"/>
  <c r="N386" i="17" a="1"/>
  <c r="N392" i="17" a="1"/>
  <c r="N195" i="17" a="1"/>
  <c r="N201" i="17" a="1"/>
  <c r="N207" i="17" a="1"/>
  <c r="N213" i="17" a="1"/>
  <c r="N219" i="17" a="1"/>
  <c r="N225" i="17" a="1"/>
  <c r="N231" i="17" a="1"/>
  <c r="N237" i="17" a="1"/>
  <c r="N243" i="17" a="1"/>
  <c r="N249" i="17" a="1"/>
  <c r="N255" i="17" a="1"/>
  <c r="N261" i="17" a="1"/>
  <c r="N267" i="17" a="1"/>
  <c r="N273" i="17" a="1"/>
  <c r="N279" i="17" a="1"/>
  <c r="N285" i="17" a="1"/>
  <c r="N291" i="17" a="1"/>
  <c r="N297" i="17" a="1"/>
  <c r="N303" i="17" a="1"/>
  <c r="N309" i="17" a="1"/>
  <c r="N315" i="17" a="1"/>
  <c r="N321" i="17" a="1"/>
  <c r="N327" i="17" a="1"/>
  <c r="N333" i="17" a="1"/>
  <c r="N339" i="17" a="1"/>
  <c r="N345" i="17" a="1"/>
  <c r="N351" i="17" a="1"/>
  <c r="N357" i="17" a="1"/>
  <c r="N363" i="17" a="1"/>
  <c r="N369" i="17" a="1"/>
  <c r="N375" i="17" a="1"/>
  <c r="N381" i="17" a="1"/>
  <c r="N387" i="17" a="1"/>
  <c r="N393" i="17" a="1"/>
  <c r="N310" i="17" a="1"/>
  <c r="N352" i="17" a="1"/>
  <c r="N370" i="17" a="1"/>
  <c r="N382" i="17" a="1"/>
  <c r="N388" i="17" a="1"/>
  <c r="N330" i="17" a="1"/>
  <c r="N366" i="17" a="1"/>
  <c r="N390" i="17" a="1"/>
  <c r="N343" i="17" a="1"/>
  <c r="N391" i="17" a="1"/>
  <c r="N196" i="17" a="1"/>
  <c r="N202" i="17" a="1"/>
  <c r="N208" i="17" a="1"/>
  <c r="N214" i="17" a="1"/>
  <c r="N220" i="17" a="1"/>
  <c r="N226" i="17" a="1"/>
  <c r="N232" i="17" a="1"/>
  <c r="N238" i="17" a="1"/>
  <c r="N244" i="17" a="1"/>
  <c r="N250" i="17" a="1"/>
  <c r="N256" i="17" a="1"/>
  <c r="N262" i="17" a="1"/>
  <c r="N268" i="17" a="1"/>
  <c r="N274" i="17" a="1"/>
  <c r="N280" i="17" a="1"/>
  <c r="N286" i="17" a="1"/>
  <c r="N292" i="17" a="1"/>
  <c r="N298" i="17" a="1"/>
  <c r="N304" i="17" a="1"/>
  <c r="N316" i="17" a="1"/>
  <c r="N322" i="17" a="1"/>
  <c r="N328" i="17" a="1"/>
  <c r="N334" i="17" a="1"/>
  <c r="N340" i="17" a="1"/>
  <c r="N346" i="17" a="1"/>
  <c r="N358" i="17" a="1"/>
  <c r="N364" i="17" a="1"/>
  <c r="N376" i="17" a="1"/>
  <c r="N336" i="17" a="1"/>
  <c r="N378" i="17" a="1"/>
  <c r="N331" i="17" a="1"/>
  <c r="N342" i="17" a="1"/>
  <c r="N361" i="17" a="1"/>
  <c r="N197" i="17" a="1"/>
  <c r="N203" i="17" a="1"/>
  <c r="N209" i="17" a="1"/>
  <c r="N215" i="17" a="1"/>
  <c r="N221" i="17" a="1"/>
  <c r="N227" i="17" a="1"/>
  <c r="N233" i="17" a="1"/>
  <c r="N239" i="17" a="1"/>
  <c r="N245" i="17" a="1"/>
  <c r="N251" i="17" a="1"/>
  <c r="N257" i="17" a="1"/>
  <c r="N263" i="17" a="1"/>
  <c r="N269" i="17" a="1"/>
  <c r="N275" i="17" a="1"/>
  <c r="N281" i="17" a="1"/>
  <c r="N287" i="17" a="1"/>
  <c r="N293" i="17" a="1"/>
  <c r="N299" i="17" a="1"/>
  <c r="N305" i="17" a="1"/>
  <c r="N311" i="17" a="1"/>
  <c r="N317" i="17" a="1"/>
  <c r="N323" i="17" a="1"/>
  <c r="N329" i="17" a="1"/>
  <c r="N335" i="17" a="1"/>
  <c r="N341" i="17" a="1"/>
  <c r="N347" i="17" a="1"/>
  <c r="N353" i="17" a="1"/>
  <c r="N359" i="17" a="1"/>
  <c r="N365" i="17" a="1"/>
  <c r="N371" i="17" a="1"/>
  <c r="N377" i="17" a="1"/>
  <c r="N383" i="17" a="1"/>
  <c r="N389" i="17" a="1"/>
  <c r="N240" i="17" a="1"/>
  <c r="N282" i="17" a="1"/>
  <c r="N300" i="17" a="1"/>
  <c r="N324" i="17" a="1"/>
  <c r="N354" i="17" a="1"/>
  <c r="N384" i="17" a="1"/>
  <c r="N355" i="17" a="1"/>
  <c r="N379" i="17" a="1"/>
  <c r="N210" i="17" a="1"/>
  <c r="N252" i="17" a="1"/>
  <c r="N264" i="17" a="1"/>
  <c r="N276" i="17" a="1"/>
  <c r="N294" i="17" a="1"/>
  <c r="N306" i="17" a="1"/>
  <c r="N318" i="17" a="1"/>
  <c r="N348" i="17" a="1"/>
  <c r="N372" i="17" a="1"/>
  <c r="N337" i="17" a="1"/>
  <c r="N385" i="17" a="1"/>
  <c r="N198" i="17" a="1"/>
  <c r="N204" i="17" a="1"/>
  <c r="N216" i="17" a="1"/>
  <c r="N222" i="17" a="1"/>
  <c r="N228" i="17" a="1"/>
  <c r="N234" i="17" a="1"/>
  <c r="N246" i="17" a="1"/>
  <c r="N258" i="17" a="1"/>
  <c r="N270" i="17" a="1"/>
  <c r="N288" i="17" a="1"/>
  <c r="N312" i="17" a="1"/>
  <c r="N360" i="17" a="1"/>
  <c r="N367" i="17" a="1"/>
  <c r="N199" i="17" a="1"/>
  <c r="N205" i="17" a="1"/>
  <c r="N211" i="17" a="1"/>
  <c r="N217" i="17" a="1"/>
  <c r="N223" i="17" a="1"/>
  <c r="N229" i="17" a="1"/>
  <c r="N235" i="17" a="1"/>
  <c r="N241" i="17" a="1"/>
  <c r="N247" i="17" a="1"/>
  <c r="N253" i="17" a="1"/>
  <c r="N259" i="17" a="1"/>
  <c r="N265" i="17" a="1"/>
  <c r="N271" i="17" a="1"/>
  <c r="N277" i="17" a="1"/>
  <c r="N283" i="17" a="1"/>
  <c r="N289" i="17" a="1"/>
  <c r="N295" i="17" a="1"/>
  <c r="N301" i="17" a="1"/>
  <c r="N307" i="17" a="1"/>
  <c r="N313" i="17" a="1"/>
  <c r="N319" i="17" a="1"/>
  <c r="N325" i="17" a="1"/>
  <c r="N349" i="17" a="1"/>
  <c r="N373" i="17" a="1"/>
  <c r="M194" i="17" a="1"/>
  <c r="M200" i="17" a="1"/>
  <c r="M206" i="17" a="1"/>
  <c r="M212" i="17" a="1"/>
  <c r="M218" i="17" a="1"/>
  <c r="M224" i="17" a="1"/>
  <c r="M230" i="17" a="1"/>
  <c r="M236" i="17" a="1"/>
  <c r="M242" i="17" a="1"/>
  <c r="M248" i="17" a="1"/>
  <c r="M254" i="17" a="1"/>
  <c r="M260" i="17" a="1"/>
  <c r="M266" i="17" a="1"/>
  <c r="M272" i="17" a="1"/>
  <c r="M278" i="17" a="1"/>
  <c r="M284" i="17" a="1"/>
  <c r="M290" i="17" a="1"/>
  <c r="M296" i="17" a="1"/>
  <c r="M302" i="17" a="1"/>
  <c r="M308" i="17" a="1"/>
  <c r="M314" i="17" a="1"/>
  <c r="M320" i="17" a="1"/>
  <c r="M344" i="17" a="1"/>
  <c r="M350" i="17" a="1"/>
  <c r="M368" i="17" a="1"/>
  <c r="M386" i="17" a="1"/>
  <c r="M225" i="17" a="1"/>
  <c r="M249" i="17" a="1"/>
  <c r="M346" i="17" a="1"/>
  <c r="M376" i="17" a="1"/>
  <c r="M388" i="17" a="1"/>
  <c r="M209" i="17" a="1"/>
  <c r="M233" i="17" a="1"/>
  <c r="M257" i="17" a="1"/>
  <c r="M275" i="17" a="1"/>
  <c r="M293" i="17" a="1"/>
  <c r="M305" i="17" a="1"/>
  <c r="M323" i="17" a="1"/>
  <c r="M335" i="17" a="1"/>
  <c r="M347" i="17" a="1"/>
  <c r="M359" i="17" a="1"/>
  <c r="M377" i="17" a="1"/>
  <c r="M383" i="17" a="1"/>
  <c r="M201" i="17" a="1"/>
  <c r="M196" i="17" a="1"/>
  <c r="M202" i="17" a="1"/>
  <c r="M208" i="17" a="1"/>
  <c r="M214" i="17" a="1"/>
  <c r="M220" i="17" a="1"/>
  <c r="M226" i="17" a="1"/>
  <c r="M232" i="17" a="1"/>
  <c r="M238" i="17" a="1"/>
  <c r="M244" i="17" a="1"/>
  <c r="M250" i="17" a="1"/>
  <c r="M256" i="17" a="1"/>
  <c r="M262" i="17" a="1"/>
  <c r="M268" i="17" a="1"/>
  <c r="M274" i="17" a="1"/>
  <c r="M280" i="17" a="1"/>
  <c r="M286" i="17" a="1"/>
  <c r="M292" i="17" a="1"/>
  <c r="M298" i="17" a="1"/>
  <c r="M304" i="17" a="1"/>
  <c r="M310" i="17" a="1"/>
  <c r="M316" i="17" a="1"/>
  <c r="M322" i="17" a="1"/>
  <c r="M328" i="17" a="1"/>
  <c r="M334" i="17" a="1"/>
  <c r="M340" i="17" a="1"/>
  <c r="M352" i="17" a="1"/>
  <c r="M358" i="17" a="1"/>
  <c r="M364" i="17" a="1"/>
  <c r="M370" i="17" a="1"/>
  <c r="M382" i="17" a="1"/>
  <c r="M203" i="17" a="1"/>
  <c r="M245" i="17" a="1"/>
  <c r="M263" i="17" a="1"/>
  <c r="M281" i="17" a="1"/>
  <c r="M299" i="17" a="1"/>
  <c r="M311" i="17" a="1"/>
  <c r="M329" i="17" a="1"/>
  <c r="M353" i="17" a="1"/>
  <c r="M371" i="17" a="1"/>
  <c r="M389" i="17" a="1"/>
  <c r="M231" i="17" a="1"/>
  <c r="M197" i="17" a="1"/>
  <c r="M215" i="17" a="1"/>
  <c r="M221" i="17" a="1"/>
  <c r="M227" i="17" a="1"/>
  <c r="M239" i="17" a="1"/>
  <c r="M251" i="17" a="1"/>
  <c r="M269" i="17" a="1"/>
  <c r="M287" i="17" a="1"/>
  <c r="M317" i="17" a="1"/>
  <c r="M341" i="17" a="1"/>
  <c r="M365" i="17" a="1"/>
  <c r="M219" i="17" a="1"/>
  <c r="M198" i="17" a="1"/>
  <c r="M204" i="17" a="1"/>
  <c r="M210" i="17" a="1"/>
  <c r="M216" i="17" a="1"/>
  <c r="M222" i="17" a="1"/>
  <c r="M228" i="17" a="1"/>
  <c r="M234" i="17" a="1"/>
  <c r="M240" i="17" a="1"/>
  <c r="M246" i="17" a="1"/>
  <c r="M252" i="17" a="1"/>
  <c r="M258" i="17" a="1"/>
  <c r="M264" i="17" a="1"/>
  <c r="M270" i="17" a="1"/>
  <c r="M276" i="17" a="1"/>
  <c r="M282" i="17" a="1"/>
  <c r="M288" i="17" a="1"/>
  <c r="M294" i="17" a="1"/>
  <c r="M300" i="17" a="1"/>
  <c r="M306" i="17" a="1"/>
  <c r="M312" i="17" a="1"/>
  <c r="M318" i="17" a="1"/>
  <c r="M324" i="17" a="1"/>
  <c r="M330" i="17" a="1"/>
  <c r="M336" i="17" a="1"/>
  <c r="M342" i="17" a="1"/>
  <c r="M348" i="17" a="1"/>
  <c r="M354" i="17" a="1"/>
  <c r="M360" i="17" a="1"/>
  <c r="M366" i="17" a="1"/>
  <c r="M372" i="17" a="1"/>
  <c r="M378" i="17" a="1"/>
  <c r="M384" i="17" a="1"/>
  <c r="M390" i="17" a="1"/>
  <c r="M265" i="17" a="1"/>
  <c r="M289" i="17" a="1"/>
  <c r="M301" i="17" a="1"/>
  <c r="M313" i="17" a="1"/>
  <c r="M325" i="17" a="1"/>
  <c r="M337" i="17" a="1"/>
  <c r="M343" i="17" a="1"/>
  <c r="M355" i="17" a="1"/>
  <c r="M361" i="17" a="1"/>
  <c r="M373" i="17" a="1"/>
  <c r="M385" i="17" a="1"/>
  <c r="M391" i="17" a="1"/>
  <c r="M338" i="17" a="1"/>
  <c r="M362" i="17" a="1"/>
  <c r="M380" i="17" a="1"/>
  <c r="M207" i="17" a="1"/>
  <c r="M199" i="17" a="1"/>
  <c r="M205" i="17" a="1"/>
  <c r="M211" i="17" a="1"/>
  <c r="M217" i="17" a="1"/>
  <c r="M223" i="17" a="1"/>
  <c r="M229" i="17" a="1"/>
  <c r="M235" i="17" a="1"/>
  <c r="M241" i="17" a="1"/>
  <c r="M247" i="17" a="1"/>
  <c r="M253" i="17" a="1"/>
  <c r="M259" i="17" a="1"/>
  <c r="M271" i="17" a="1"/>
  <c r="M277" i="17" a="1"/>
  <c r="M283" i="17" a="1"/>
  <c r="M295" i="17" a="1"/>
  <c r="M307" i="17" a="1"/>
  <c r="M319" i="17" a="1"/>
  <c r="M331" i="17" a="1"/>
  <c r="M349" i="17" a="1"/>
  <c r="M367" i="17" a="1"/>
  <c r="M379" i="17" a="1"/>
  <c r="M326" i="17" a="1"/>
  <c r="M356" i="17" a="1"/>
  <c r="M374" i="17" a="1"/>
  <c r="M392" i="17" a="1"/>
  <c r="M195" i="17" a="1"/>
  <c r="M332" i="17" a="1"/>
  <c r="M213" i="17" a="1"/>
  <c r="M267" i="17" a="1"/>
  <c r="M339" i="17" a="1"/>
  <c r="M273" i="17" a="1"/>
  <c r="M345" i="17" a="1"/>
  <c r="M285" i="17" a="1"/>
  <c r="M357" i="17" a="1"/>
  <c r="M363" i="17" a="1"/>
  <c r="M297" i="17" a="1"/>
  <c r="M387" i="17" a="1"/>
  <c r="M393" i="17" a="1"/>
  <c r="M261" i="17" a="1"/>
  <c r="M279" i="17" a="1"/>
  <c r="M351" i="17" a="1"/>
  <c r="M291" i="17" a="1"/>
  <c r="M369" i="17" a="1"/>
  <c r="M315" i="17" a="1"/>
  <c r="M321" i="17" a="1"/>
  <c r="M327" i="17" a="1"/>
  <c r="M303" i="17" a="1"/>
  <c r="M375" i="17" a="1"/>
  <c r="M309" i="17" a="1"/>
  <c r="M381" i="17" a="1"/>
  <c r="M237" i="17" a="1"/>
  <c r="M243" i="17" a="1"/>
  <c r="M255" i="17" a="1"/>
  <c r="M333" i="17" a="1"/>
  <c r="L195" i="17" a="1"/>
  <c r="L201" i="17" a="1"/>
  <c r="L207" i="17" a="1"/>
  <c r="L213" i="17" a="1"/>
  <c r="L219" i="17" a="1"/>
  <c r="L225" i="17" a="1"/>
  <c r="L231" i="17" a="1"/>
  <c r="L237" i="17" a="1"/>
  <c r="L243" i="17" a="1"/>
  <c r="L249" i="17" a="1"/>
  <c r="L255" i="17" a="1"/>
  <c r="L261" i="17" a="1"/>
  <c r="L267" i="17" a="1"/>
  <c r="L273" i="17" a="1"/>
  <c r="L279" i="17" a="1"/>
  <c r="L285" i="17" a="1"/>
  <c r="L291" i="17" a="1"/>
  <c r="L297" i="17" a="1"/>
  <c r="L303" i="17" a="1"/>
  <c r="L309" i="17" a="1"/>
  <c r="L315" i="17" a="1"/>
  <c r="L321" i="17" a="1"/>
  <c r="L327" i="17" a="1"/>
  <c r="L333" i="17" a="1"/>
  <c r="L339" i="17" a="1"/>
  <c r="L345" i="17" a="1"/>
  <c r="L351" i="17" a="1"/>
  <c r="L357" i="17" a="1"/>
  <c r="L363" i="17" a="1"/>
  <c r="L369" i="17" a="1"/>
  <c r="L375" i="17" a="1"/>
  <c r="L381" i="17" a="1"/>
  <c r="L387" i="17" a="1"/>
  <c r="L393" i="17" a="1"/>
  <c r="L202" i="17" a="1"/>
  <c r="L208" i="17" a="1"/>
  <c r="L220" i="17" a="1"/>
  <c r="L226" i="17" a="1"/>
  <c r="L238" i="17" a="1"/>
  <c r="L244" i="17" a="1"/>
  <c r="L256" i="17" a="1"/>
  <c r="L268" i="17" a="1"/>
  <c r="L274" i="17" a="1"/>
  <c r="L286" i="17" a="1"/>
  <c r="L292" i="17" a="1"/>
  <c r="L304" i="17" a="1"/>
  <c r="L316" i="17" a="1"/>
  <c r="L322" i="17" a="1"/>
  <c r="L334" i="17" a="1"/>
  <c r="L346" i="17" a="1"/>
  <c r="L358" i="17" a="1"/>
  <c r="L364" i="17" a="1"/>
  <c r="L376" i="17" a="1"/>
  <c r="L388" i="17" a="1"/>
  <c r="L365" i="17" a="1"/>
  <c r="L389" i="17" a="1"/>
  <c r="L306" i="17" a="1"/>
  <c r="L342" i="17" a="1"/>
  <c r="L360" i="17" a="1"/>
  <c r="L384" i="17" a="1"/>
  <c r="L206" i="17" a="1"/>
  <c r="L230" i="17" a="1"/>
  <c r="L254" i="17" a="1"/>
  <c r="L290" i="17" a="1"/>
  <c r="L326" i="17" a="1"/>
  <c r="L196" i="17" a="1"/>
  <c r="L214" i="17" a="1"/>
  <c r="L232" i="17" a="1"/>
  <c r="L250" i="17" a="1"/>
  <c r="L262" i="17" a="1"/>
  <c r="L280" i="17" a="1"/>
  <c r="L298" i="17" a="1"/>
  <c r="L310" i="17" a="1"/>
  <c r="L328" i="17" a="1"/>
  <c r="L340" i="17" a="1"/>
  <c r="L352" i="17" a="1"/>
  <c r="L370" i="17" a="1"/>
  <c r="L382" i="17" a="1"/>
  <c r="L377" i="17" a="1"/>
  <c r="L318" i="17" a="1"/>
  <c r="L354" i="17" a="1"/>
  <c r="L378" i="17" a="1"/>
  <c r="L212" i="17" a="1"/>
  <c r="L272" i="17" a="1"/>
  <c r="L197" i="17" a="1"/>
  <c r="L203" i="17" a="1"/>
  <c r="L209" i="17" a="1"/>
  <c r="L215" i="17" a="1"/>
  <c r="L221" i="17" a="1"/>
  <c r="L227" i="17" a="1"/>
  <c r="L233" i="17" a="1"/>
  <c r="L239" i="17" a="1"/>
  <c r="L245" i="17" a="1"/>
  <c r="L251" i="17" a="1"/>
  <c r="L257" i="17" a="1"/>
  <c r="L263" i="17" a="1"/>
  <c r="L269" i="17" a="1"/>
  <c r="L275" i="17" a="1"/>
  <c r="L281" i="17" a="1"/>
  <c r="L287" i="17" a="1"/>
  <c r="L293" i="17" a="1"/>
  <c r="L299" i="17" a="1"/>
  <c r="L305" i="17" a="1"/>
  <c r="L311" i="17" a="1"/>
  <c r="L317" i="17" a="1"/>
  <c r="L323" i="17" a="1"/>
  <c r="L329" i="17" a="1"/>
  <c r="L335" i="17" a="1"/>
  <c r="L341" i="17" a="1"/>
  <c r="L347" i="17" a="1"/>
  <c r="L353" i="17" a="1"/>
  <c r="L359" i="17" a="1"/>
  <c r="L371" i="17" a="1"/>
  <c r="L383" i="17" a="1"/>
  <c r="L300" i="17" a="1"/>
  <c r="L336" i="17" a="1"/>
  <c r="L366" i="17" a="1"/>
  <c r="L390" i="17" a="1"/>
  <c r="L224" i="17" a="1"/>
  <c r="L242" i="17" a="1"/>
  <c r="L248" i="17" a="1"/>
  <c r="L278" i="17" a="1"/>
  <c r="L308" i="17" a="1"/>
  <c r="L198" i="17" a="1"/>
  <c r="L204" i="17" a="1"/>
  <c r="L210" i="17" a="1"/>
  <c r="L216" i="17" a="1"/>
  <c r="L222" i="17" a="1"/>
  <c r="L228" i="17" a="1"/>
  <c r="L234" i="17" a="1"/>
  <c r="L240" i="17" a="1"/>
  <c r="L246" i="17" a="1"/>
  <c r="L252" i="17" a="1"/>
  <c r="L258" i="17" a="1"/>
  <c r="L264" i="17" a="1"/>
  <c r="L270" i="17" a="1"/>
  <c r="L276" i="17" a="1"/>
  <c r="L282" i="17" a="1"/>
  <c r="L288" i="17" a="1"/>
  <c r="L294" i="17" a="1"/>
  <c r="L312" i="17" a="1"/>
  <c r="L324" i="17" a="1"/>
  <c r="L330" i="17" a="1"/>
  <c r="L348" i="17" a="1"/>
  <c r="L372" i="17" a="1"/>
  <c r="L194" i="17" a="1"/>
  <c r="L266" i="17" a="1"/>
  <c r="L199" i="17" a="1"/>
  <c r="L205" i="17" a="1"/>
  <c r="L211" i="17" a="1"/>
  <c r="L217" i="17" a="1"/>
  <c r="L223" i="17" a="1"/>
  <c r="L229" i="17" a="1"/>
  <c r="L235" i="17" a="1"/>
  <c r="L241" i="17" a="1"/>
  <c r="L247" i="17" a="1"/>
  <c r="L253" i="17" a="1"/>
  <c r="L259" i="17" a="1"/>
  <c r="L265" i="17" a="1"/>
  <c r="L271" i="17" a="1"/>
  <c r="L277" i="17" a="1"/>
  <c r="L283" i="17" a="1"/>
  <c r="L289" i="17" a="1"/>
  <c r="L295" i="17" a="1"/>
  <c r="L301" i="17" a="1"/>
  <c r="L307" i="17" a="1"/>
  <c r="L313" i="17" a="1"/>
  <c r="L319" i="17" a="1"/>
  <c r="L325" i="17" a="1"/>
  <c r="L331" i="17" a="1"/>
  <c r="L337" i="17" a="1"/>
  <c r="L343" i="17" a="1"/>
  <c r="L349" i="17" a="1"/>
  <c r="L355" i="17" a="1"/>
  <c r="L361" i="17" a="1"/>
  <c r="L367" i="17" a="1"/>
  <c r="L373" i="17" a="1"/>
  <c r="L379" i="17" a="1"/>
  <c r="L385" i="17" a="1"/>
  <c r="L391" i="17" a="1"/>
  <c r="L200" i="17" a="1"/>
  <c r="L236" i="17" a="1"/>
  <c r="L260" i="17" a="1"/>
  <c r="L302" i="17" a="1"/>
  <c r="L218" i="17" a="1"/>
  <c r="L284" i="17" a="1"/>
  <c r="L314" i="17" a="1"/>
  <c r="L338" i="17" a="1"/>
  <c r="L374" i="17" a="1"/>
  <c r="L350" i="17" a="1"/>
  <c r="L332" i="17" a="1"/>
  <c r="L296" i="17" a="1"/>
  <c r="L344" i="17" a="1"/>
  <c r="L380" i="17" a="1"/>
  <c r="L386" i="17" a="1"/>
  <c r="L356" i="17" a="1"/>
  <c r="L320" i="17" a="1"/>
  <c r="L368" i="17" a="1"/>
  <c r="L392" i="17" a="1"/>
  <c r="L362" i="17" a="1"/>
  <c r="K202" i="17" a="1"/>
  <c r="K250" i="17" a="1"/>
  <c r="K262" i="17" a="1"/>
  <c r="K268" i="17" a="1"/>
  <c r="K280" i="17" a="1"/>
  <c r="K292" i="17" a="1"/>
  <c r="K298" i="17" a="1"/>
  <c r="K310" i="17" a="1"/>
  <c r="K322" i="17" a="1"/>
  <c r="K334" i="17" a="1"/>
  <c r="K346" i="17" a="1"/>
  <c r="K358" i="17" a="1"/>
  <c r="K370" i="17" a="1"/>
  <c r="K376" i="17" a="1"/>
  <c r="K388" i="17" a="1"/>
  <c r="K353" i="17" a="1"/>
  <c r="K377" i="17" a="1"/>
  <c r="K198" i="17" a="1"/>
  <c r="K216" i="17" a="1"/>
  <c r="K222" i="17" a="1"/>
  <c r="K234" i="17" a="1"/>
  <c r="K246" i="17" a="1"/>
  <c r="K264" i="17" a="1"/>
  <c r="K276" i="17" a="1"/>
  <c r="K294" i="17" a="1"/>
  <c r="K312" i="17" a="1"/>
  <c r="K330" i="17" a="1"/>
  <c r="K348" i="17" a="1"/>
  <c r="K366" i="17" a="1"/>
  <c r="K384" i="17" a="1"/>
  <c r="K196" i="17" a="1"/>
  <c r="K208" i="17" a="1"/>
  <c r="K214" i="17" a="1"/>
  <c r="K220" i="17" a="1"/>
  <c r="K226" i="17" a="1"/>
  <c r="K232" i="17" a="1"/>
  <c r="K238" i="17" a="1"/>
  <c r="K244" i="17" a="1"/>
  <c r="K256" i="17" a="1"/>
  <c r="K274" i="17" a="1"/>
  <c r="K286" i="17" a="1"/>
  <c r="K304" i="17" a="1"/>
  <c r="K316" i="17" a="1"/>
  <c r="K328" i="17" a="1"/>
  <c r="K340" i="17" a="1"/>
  <c r="K352" i="17" a="1"/>
  <c r="K364" i="17" a="1"/>
  <c r="K382" i="17" a="1"/>
  <c r="K359" i="17" a="1"/>
  <c r="K383" i="17" a="1"/>
  <c r="K204" i="17" a="1"/>
  <c r="K240" i="17" a="1"/>
  <c r="K258" i="17" a="1"/>
  <c r="K282" i="17" a="1"/>
  <c r="K306" i="17" a="1"/>
  <c r="K324" i="17" a="1"/>
  <c r="K342" i="17" a="1"/>
  <c r="K360" i="17" a="1"/>
  <c r="K378" i="17" a="1"/>
  <c r="K197" i="17" a="1"/>
  <c r="K203" i="17" a="1"/>
  <c r="K209" i="17" a="1"/>
  <c r="K215" i="17" a="1"/>
  <c r="K221" i="17" a="1"/>
  <c r="K227" i="17" a="1"/>
  <c r="K233" i="17" a="1"/>
  <c r="K239" i="17" a="1"/>
  <c r="K245" i="17" a="1"/>
  <c r="K251" i="17" a="1"/>
  <c r="K257" i="17" a="1"/>
  <c r="K263" i="17" a="1"/>
  <c r="K269" i="17" a="1"/>
  <c r="K275" i="17" a="1"/>
  <c r="K281" i="17" a="1"/>
  <c r="K287" i="17" a="1"/>
  <c r="K293" i="17" a="1"/>
  <c r="K299" i="17" a="1"/>
  <c r="K305" i="17" a="1"/>
  <c r="K311" i="17" a="1"/>
  <c r="K317" i="17" a="1"/>
  <c r="K323" i="17" a="1"/>
  <c r="K329" i="17" a="1"/>
  <c r="K335" i="17" a="1"/>
  <c r="K341" i="17" a="1"/>
  <c r="K347" i="17" a="1"/>
  <c r="K365" i="17" a="1"/>
  <c r="K371" i="17" a="1"/>
  <c r="K389" i="17" a="1"/>
  <c r="K210" i="17" a="1"/>
  <c r="K228" i="17" a="1"/>
  <c r="K252" i="17" a="1"/>
  <c r="K270" i="17" a="1"/>
  <c r="K288" i="17" a="1"/>
  <c r="K300" i="17" a="1"/>
  <c r="K318" i="17" a="1"/>
  <c r="K336" i="17" a="1"/>
  <c r="K354" i="17" a="1"/>
  <c r="K372" i="17" a="1"/>
  <c r="K199" i="17" a="1"/>
  <c r="K205" i="17" a="1"/>
  <c r="K211" i="17" a="1"/>
  <c r="K217" i="17" a="1"/>
  <c r="K223" i="17" a="1"/>
  <c r="K229" i="17" a="1"/>
  <c r="K235" i="17" a="1"/>
  <c r="K241" i="17" a="1"/>
  <c r="K247" i="17" a="1"/>
  <c r="K253" i="17" a="1"/>
  <c r="K259" i="17" a="1"/>
  <c r="K265" i="17" a="1"/>
  <c r="K271" i="17" a="1"/>
  <c r="K277" i="17" a="1"/>
  <c r="K283" i="17" a="1"/>
  <c r="K289" i="17" a="1"/>
  <c r="K295" i="17" a="1"/>
  <c r="K301" i="17" a="1"/>
  <c r="K307" i="17" a="1"/>
  <c r="K313" i="17" a="1"/>
  <c r="K319" i="17" a="1"/>
  <c r="K325" i="17" a="1"/>
  <c r="K331" i="17" a="1"/>
  <c r="K337" i="17" a="1"/>
  <c r="K343" i="17" a="1"/>
  <c r="K349" i="17" a="1"/>
  <c r="K355" i="17" a="1"/>
  <c r="K361" i="17" a="1"/>
  <c r="K367" i="17" a="1"/>
  <c r="K373" i="17" a="1"/>
  <c r="K379" i="17" a="1"/>
  <c r="K385" i="17" a="1"/>
  <c r="K391" i="17" a="1"/>
  <c r="K194" i="17" a="1"/>
  <c r="K200" i="17" a="1"/>
  <c r="K392" i="17" a="1"/>
  <c r="K201" i="17" a="1"/>
  <c r="K225" i="17" a="1"/>
  <c r="K249" i="17" a="1"/>
  <c r="K273" i="17" a="1"/>
  <c r="K297" i="17" a="1"/>
  <c r="K321" i="17" a="1"/>
  <c r="K345" i="17" a="1"/>
  <c r="K369" i="17" a="1"/>
  <c r="K327" i="17" a="1"/>
  <c r="K375" i="17" a="1"/>
  <c r="K236" i="17" a="1"/>
  <c r="K260" i="17" a="1"/>
  <c r="K308" i="17" a="1"/>
  <c r="K356" i="17" a="1"/>
  <c r="K320" i="17" a="1"/>
  <c r="K206" i="17" a="1"/>
  <c r="K230" i="17" a="1"/>
  <c r="K254" i="17" a="1"/>
  <c r="K278" i="17" a="1"/>
  <c r="K302" i="17" a="1"/>
  <c r="K326" i="17" a="1"/>
  <c r="K350" i="17" a="1"/>
  <c r="K374" i="17" a="1"/>
  <c r="K393" i="17" a="1"/>
  <c r="K207" i="17" a="1"/>
  <c r="K231" i="17" a="1"/>
  <c r="K255" i="17" a="1"/>
  <c r="K279" i="17" a="1"/>
  <c r="K303" i="17" a="1"/>
  <c r="K351" i="17" a="1"/>
  <c r="K212" i="17" a="1"/>
  <c r="K284" i="17" a="1"/>
  <c r="K332" i="17" a="1"/>
  <c r="K380" i="17" a="1"/>
  <c r="K344" i="17" a="1"/>
  <c r="K213" i="17" a="1"/>
  <c r="K261" i="17" a="1"/>
  <c r="K285" i="17" a="1"/>
  <c r="K309" i="17" a="1"/>
  <c r="K357" i="17" a="1"/>
  <c r="K381" i="17" a="1"/>
  <c r="K362" i="17" a="1"/>
  <c r="K243" i="17" a="1"/>
  <c r="K315" i="17" a="1"/>
  <c r="K387" i="17" a="1"/>
  <c r="K248" i="17" a="1"/>
  <c r="K368" i="17" a="1"/>
  <c r="K237" i="17" a="1"/>
  <c r="K333" i="17" a="1"/>
  <c r="K219" i="17" a="1"/>
  <c r="K291" i="17" a="1"/>
  <c r="K363" i="17" a="1"/>
  <c r="K224" i="17" a="1"/>
  <c r="K296" i="17" a="1"/>
  <c r="K390" i="17" a="1"/>
  <c r="K218" i="17" a="1"/>
  <c r="K242" i="17" a="1"/>
  <c r="K266" i="17" a="1"/>
  <c r="K290" i="17" a="1"/>
  <c r="K314" i="17" a="1"/>
  <c r="K338" i="17" a="1"/>
  <c r="K386" i="17" a="1"/>
  <c r="K267" i="17" a="1"/>
  <c r="K339" i="17" a="1"/>
  <c r="K195" i="17" a="1"/>
  <c r="K272" i="17" a="1"/>
  <c r="J196" i="17" a="1"/>
  <c r="J202" i="17" a="1"/>
  <c r="J208" i="17" a="1"/>
  <c r="J214" i="17" a="1"/>
  <c r="J220" i="17" a="1"/>
  <c r="J226" i="17" a="1"/>
  <c r="J232" i="17" a="1"/>
  <c r="J238" i="17" a="1"/>
  <c r="J244" i="17" a="1"/>
  <c r="J250" i="17" a="1"/>
  <c r="J256" i="17" a="1"/>
  <c r="J262" i="17" a="1"/>
  <c r="J268" i="17" a="1"/>
  <c r="J280" i="17" a="1"/>
  <c r="J286" i="17" a="1"/>
  <c r="J292" i="17" a="1"/>
  <c r="J298" i="17" a="1"/>
  <c r="J304" i="17" a="1"/>
  <c r="J310" i="17" a="1"/>
  <c r="J316" i="17" a="1"/>
  <c r="J322" i="17" a="1"/>
  <c r="J328" i="17" a="1"/>
  <c r="J334" i="17" a="1"/>
  <c r="J340" i="17" a="1"/>
  <c r="J352" i="17" a="1"/>
  <c r="J358" i="17" a="1"/>
  <c r="J364" i="17" a="1"/>
  <c r="J370" i="17" a="1"/>
  <c r="J382" i="17" a="1"/>
  <c r="J388" i="17" a="1"/>
  <c r="J383" i="17" a="1"/>
  <c r="J210" i="17" a="1"/>
  <c r="J228" i="17" a="1"/>
  <c r="J246" i="17" a="1"/>
  <c r="J264" i="17" a="1"/>
  <c r="J282" i="17" a="1"/>
  <c r="J294" i="17" a="1"/>
  <c r="J306" i="17" a="1"/>
  <c r="J318" i="17" a="1"/>
  <c r="J336" i="17" a="1"/>
  <c r="J354" i="17" a="1"/>
  <c r="J372" i="17" a="1"/>
  <c r="J384" i="17" a="1"/>
  <c r="J284" i="17" a="1"/>
  <c r="J326" i="17" a="1"/>
  <c r="J362" i="17" a="1"/>
  <c r="J274" i="17" a="1"/>
  <c r="J346" i="17" a="1"/>
  <c r="J376" i="17" a="1"/>
  <c r="J204" i="17" a="1"/>
  <c r="J234" i="17" a="1"/>
  <c r="J252" i="17" a="1"/>
  <c r="J276" i="17" a="1"/>
  <c r="J300" i="17" a="1"/>
  <c r="J324" i="17" a="1"/>
  <c r="J342" i="17" a="1"/>
  <c r="J366" i="17" a="1"/>
  <c r="J390" i="17" a="1"/>
  <c r="J302" i="17" a="1"/>
  <c r="J350" i="17" a="1"/>
  <c r="J380" i="17" a="1"/>
  <c r="J197" i="17" a="1"/>
  <c r="J203" i="17" a="1"/>
  <c r="J209" i="17" a="1"/>
  <c r="J215" i="17" a="1"/>
  <c r="J221" i="17" a="1"/>
  <c r="J227" i="17" a="1"/>
  <c r="J233" i="17" a="1"/>
  <c r="J239" i="17" a="1"/>
  <c r="J245" i="17" a="1"/>
  <c r="J251" i="17" a="1"/>
  <c r="J257" i="17" a="1"/>
  <c r="J263" i="17" a="1"/>
  <c r="J269" i="17" a="1"/>
  <c r="J275" i="17" a="1"/>
  <c r="J281" i="17" a="1"/>
  <c r="J287" i="17" a="1"/>
  <c r="J293" i="17" a="1"/>
  <c r="J299" i="17" a="1"/>
  <c r="J305" i="17" a="1"/>
  <c r="J311" i="17" a="1"/>
  <c r="J317" i="17" a="1"/>
  <c r="J323" i="17" a="1"/>
  <c r="J329" i="17" a="1"/>
  <c r="J335" i="17" a="1"/>
  <c r="J341" i="17" a="1"/>
  <c r="J347" i="17" a="1"/>
  <c r="J353" i="17" a="1"/>
  <c r="J359" i="17" a="1"/>
  <c r="J365" i="17" a="1"/>
  <c r="J371" i="17" a="1"/>
  <c r="J377" i="17" a="1"/>
  <c r="J389" i="17" a="1"/>
  <c r="J198" i="17" a="1"/>
  <c r="J216" i="17" a="1"/>
  <c r="J222" i="17" a="1"/>
  <c r="J240" i="17" a="1"/>
  <c r="J258" i="17" a="1"/>
  <c r="J270" i="17" a="1"/>
  <c r="J288" i="17" a="1"/>
  <c r="J312" i="17" a="1"/>
  <c r="J330" i="17" a="1"/>
  <c r="J348" i="17" a="1"/>
  <c r="J360" i="17" a="1"/>
  <c r="J378" i="17" a="1"/>
  <c r="J290" i="17" a="1"/>
  <c r="J338" i="17" a="1"/>
  <c r="J374" i="17" a="1"/>
  <c r="J242" i="17" a="1"/>
  <c r="J308" i="17" a="1"/>
  <c r="J332" i="17" a="1"/>
  <c r="J356" i="17" a="1"/>
  <c r="J386" i="17" a="1"/>
  <c r="J199" i="17" a="1"/>
  <c r="J205" i="17" a="1"/>
  <c r="J211" i="17" a="1"/>
  <c r="J217" i="17" a="1"/>
  <c r="J223" i="17" a="1"/>
  <c r="J229" i="17" a="1"/>
  <c r="J235" i="17" a="1"/>
  <c r="J241" i="17" a="1"/>
  <c r="J247" i="17" a="1"/>
  <c r="J253" i="17" a="1"/>
  <c r="J259" i="17" a="1"/>
  <c r="J265" i="17" a="1"/>
  <c r="J271" i="17" a="1"/>
  <c r="J277" i="17" a="1"/>
  <c r="J283" i="17" a="1"/>
  <c r="J289" i="17" a="1"/>
  <c r="J295" i="17" a="1"/>
  <c r="J301" i="17" a="1"/>
  <c r="J307" i="17" a="1"/>
  <c r="J313" i="17" a="1"/>
  <c r="J319" i="17" a="1"/>
  <c r="J325" i="17" a="1"/>
  <c r="J331" i="17" a="1"/>
  <c r="J337" i="17" a="1"/>
  <c r="J343" i="17" a="1"/>
  <c r="J349" i="17" a="1"/>
  <c r="J355" i="17" a="1"/>
  <c r="J361" i="17" a="1"/>
  <c r="J367" i="17" a="1"/>
  <c r="J373" i="17" a="1"/>
  <c r="J379" i="17" a="1"/>
  <c r="J385" i="17" a="1"/>
  <c r="J391" i="17" a="1"/>
  <c r="J194" i="17" a="1"/>
  <c r="J200" i="17" a="1"/>
  <c r="J206" i="17" a="1"/>
  <c r="J212" i="17" a="1"/>
  <c r="J218" i="17" a="1"/>
  <c r="J224" i="17" a="1"/>
  <c r="J230" i="17" a="1"/>
  <c r="J236" i="17" a="1"/>
  <c r="J248" i="17" a="1"/>
  <c r="J254" i="17" a="1"/>
  <c r="J260" i="17" a="1"/>
  <c r="J266" i="17" a="1"/>
  <c r="J272" i="17" a="1"/>
  <c r="J278" i="17" a="1"/>
  <c r="J296" i="17" a="1"/>
  <c r="J314" i="17" a="1"/>
  <c r="J320" i="17" a="1"/>
  <c r="J344" i="17" a="1"/>
  <c r="J368" i="17" a="1"/>
  <c r="J392" i="17" a="1"/>
  <c r="J219" i="17" a="1"/>
  <c r="J225" i="17" a="1"/>
  <c r="J285" i="17" a="1"/>
  <c r="J321" i="17" a="1"/>
  <c r="J357" i="17" a="1"/>
  <c r="J393" i="17" a="1"/>
  <c r="J231" i="17" a="1"/>
  <c r="J237" i="17" a="1"/>
  <c r="J291" i="17" a="1"/>
  <c r="J327" i="17" a="1"/>
  <c r="J363" i="17" a="1"/>
  <c r="J243" i="17" a="1"/>
  <c r="J207" i="17" a="1"/>
  <c r="J315" i="17" a="1"/>
  <c r="J249" i="17" a="1"/>
  <c r="J297" i="17" a="1"/>
  <c r="J333" i="17" a="1"/>
  <c r="J369" i="17" a="1"/>
  <c r="J303" i="17" a="1"/>
  <c r="J375" i="17" a="1"/>
  <c r="J267" i="17" a="1"/>
  <c r="J273" i="17" a="1"/>
  <c r="J345" i="17" a="1"/>
  <c r="J279" i="17" a="1"/>
  <c r="J387" i="17" a="1"/>
  <c r="J255" i="17" a="1"/>
  <c r="J261" i="17" a="1"/>
  <c r="J339" i="17" a="1"/>
  <c r="J195" i="17" a="1"/>
  <c r="J201" i="17" a="1"/>
  <c r="J309" i="17" a="1"/>
  <c r="J381" i="17" a="1"/>
  <c r="J213" i="17" a="1"/>
  <c r="J351" i="17" a="1"/>
  <c r="I194" i="17" a="1"/>
  <c r="I200" i="17" a="1"/>
  <c r="I206" i="17" a="1"/>
  <c r="I212" i="17" a="1"/>
  <c r="I218" i="17" a="1"/>
  <c r="I224" i="17" a="1"/>
  <c r="I230" i="17" a="1"/>
  <c r="I236" i="17" a="1"/>
  <c r="I242" i="17" a="1"/>
  <c r="I248" i="17" a="1"/>
  <c r="I254" i="17" a="1"/>
  <c r="I260" i="17" a="1"/>
  <c r="I266" i="17" a="1"/>
  <c r="I272" i="17" a="1"/>
  <c r="I278" i="17" a="1"/>
  <c r="I284" i="17" a="1"/>
  <c r="I290" i="17" a="1"/>
  <c r="I296" i="17" a="1"/>
  <c r="I302" i="17" a="1"/>
  <c r="I308" i="17" a="1"/>
  <c r="I314" i="17" a="1"/>
  <c r="I320" i="17" a="1"/>
  <c r="I326" i="17" a="1"/>
  <c r="I332" i="17" a="1"/>
  <c r="I338" i="17" a="1"/>
  <c r="I344" i="17" a="1"/>
  <c r="I350" i="17" a="1"/>
  <c r="I356" i="17" a="1"/>
  <c r="I362" i="17" a="1"/>
  <c r="I368" i="17" a="1"/>
  <c r="I374" i="17" a="1"/>
  <c r="I380" i="17" a="1"/>
  <c r="I386" i="17" a="1"/>
  <c r="I392" i="17" a="1"/>
  <c r="I387" i="17" a="1"/>
  <c r="I257" i="17" a="1"/>
  <c r="I305" i="17" a="1"/>
  <c r="I341" i="17" a="1"/>
  <c r="I377" i="17" a="1"/>
  <c r="I303" i="17" a="1"/>
  <c r="I357" i="17" a="1"/>
  <c r="I381" i="17" a="1"/>
  <c r="I269" i="17" a="1"/>
  <c r="I329" i="17" a="1"/>
  <c r="I365" i="17" a="1"/>
  <c r="I195" i="17" a="1"/>
  <c r="I201" i="17" a="1"/>
  <c r="I207" i="17" a="1"/>
  <c r="I213" i="17" a="1"/>
  <c r="I219" i="17" a="1"/>
  <c r="I225" i="17" a="1"/>
  <c r="I231" i="17" a="1"/>
  <c r="I237" i="17" a="1"/>
  <c r="I243" i="17" a="1"/>
  <c r="I249" i="17" a="1"/>
  <c r="I255" i="17" a="1"/>
  <c r="I261" i="17" a="1"/>
  <c r="I267" i="17" a="1"/>
  <c r="I273" i="17" a="1"/>
  <c r="I279" i="17" a="1"/>
  <c r="I285" i="17" a="1"/>
  <c r="I291" i="17" a="1"/>
  <c r="I297" i="17" a="1"/>
  <c r="I309" i="17" a="1"/>
  <c r="I315" i="17" a="1"/>
  <c r="I321" i="17" a="1"/>
  <c r="I327" i="17" a="1"/>
  <c r="I333" i="17" a="1"/>
  <c r="I339" i="17" a="1"/>
  <c r="I345" i="17" a="1"/>
  <c r="I351" i="17" a="1"/>
  <c r="I363" i="17" a="1"/>
  <c r="I369" i="17" a="1"/>
  <c r="I375" i="17" a="1"/>
  <c r="I393" i="17" a="1"/>
  <c r="I275" i="17" a="1"/>
  <c r="I335" i="17" a="1"/>
  <c r="I383" i="17" a="1"/>
  <c r="I334" i="17" a="1"/>
  <c r="I382" i="17" a="1"/>
  <c r="I233" i="17" a="1"/>
  <c r="I287" i="17" a="1"/>
  <c r="I311" i="17" a="1"/>
  <c r="I353" i="17" a="1"/>
  <c r="I196" i="17" a="1"/>
  <c r="I202" i="17" a="1"/>
  <c r="I208" i="17" a="1"/>
  <c r="I214" i="17" a="1"/>
  <c r="I220" i="17" a="1"/>
  <c r="I226" i="17" a="1"/>
  <c r="I232" i="17" a="1"/>
  <c r="I238" i="17" a="1"/>
  <c r="I244" i="17" a="1"/>
  <c r="I250" i="17" a="1"/>
  <c r="I256" i="17" a="1"/>
  <c r="I262" i="17" a="1"/>
  <c r="I268" i="17" a="1"/>
  <c r="I274" i="17" a="1"/>
  <c r="I280" i="17" a="1"/>
  <c r="I286" i="17" a="1"/>
  <c r="I292" i="17" a="1"/>
  <c r="I298" i="17" a="1"/>
  <c r="I304" i="17" a="1"/>
  <c r="I310" i="17" a="1"/>
  <c r="I316" i="17" a="1"/>
  <c r="I322" i="17" a="1"/>
  <c r="I328" i="17" a="1"/>
  <c r="I340" i="17" a="1"/>
  <c r="I346" i="17" a="1"/>
  <c r="I352" i="17" a="1"/>
  <c r="I358" i="17" a="1"/>
  <c r="I364" i="17" a="1"/>
  <c r="I370" i="17" a="1"/>
  <c r="I376" i="17" a="1"/>
  <c r="I388" i="17" a="1"/>
  <c r="I221" i="17" a="1"/>
  <c r="I293" i="17" a="1"/>
  <c r="I323" i="17" a="1"/>
  <c r="I359" i="17" a="1"/>
  <c r="I389" i="17" a="1"/>
  <c r="I197" i="17" a="1"/>
  <c r="I203" i="17" a="1"/>
  <c r="I209" i="17" a="1"/>
  <c r="I215" i="17" a="1"/>
  <c r="I227" i="17" a="1"/>
  <c r="I239" i="17" a="1"/>
  <c r="I245" i="17" a="1"/>
  <c r="I251" i="17" a="1"/>
  <c r="I263" i="17" a="1"/>
  <c r="I281" i="17" a="1"/>
  <c r="I299" i="17" a="1"/>
  <c r="I317" i="17" a="1"/>
  <c r="I347" i="17" a="1"/>
  <c r="I371" i="17" a="1"/>
  <c r="I198" i="17" a="1"/>
  <c r="I204" i="17" a="1"/>
  <c r="I210" i="17" a="1"/>
  <c r="I216" i="17" a="1"/>
  <c r="I222" i="17" a="1"/>
  <c r="I228" i="17" a="1"/>
  <c r="I234" i="17" a="1"/>
  <c r="I240" i="17" a="1"/>
  <c r="I246" i="17" a="1"/>
  <c r="I252" i="17" a="1"/>
  <c r="I258" i="17" a="1"/>
  <c r="I264" i="17" a="1"/>
  <c r="I270" i="17" a="1"/>
  <c r="I276" i="17" a="1"/>
  <c r="I282" i="17" a="1"/>
  <c r="I288" i="17" a="1"/>
  <c r="I294" i="17" a="1"/>
  <c r="I300" i="17" a="1"/>
  <c r="I306" i="17" a="1"/>
  <c r="I312" i="17" a="1"/>
  <c r="I318" i="17" a="1"/>
  <c r="I324" i="17" a="1"/>
  <c r="I330" i="17" a="1"/>
  <c r="I336" i="17" a="1"/>
  <c r="I342" i="17" a="1"/>
  <c r="I348" i="17" a="1"/>
  <c r="I354" i="17" a="1"/>
  <c r="I360" i="17" a="1"/>
  <c r="I366" i="17" a="1"/>
  <c r="I372" i="17" a="1"/>
  <c r="I378" i="17" a="1"/>
  <c r="I384" i="17" a="1"/>
  <c r="I390" i="17" a="1"/>
  <c r="I307" i="17" a="1"/>
  <c r="I367" i="17" a="1"/>
  <c r="I199" i="17" a="1"/>
  <c r="I205" i="17" a="1"/>
  <c r="I211" i="17" a="1"/>
  <c r="I217" i="17" a="1"/>
  <c r="I223" i="17" a="1"/>
  <c r="I229" i="17" a="1"/>
  <c r="I235" i="17" a="1"/>
  <c r="I241" i="17" a="1"/>
  <c r="I247" i="17" a="1"/>
  <c r="I253" i="17" a="1"/>
  <c r="I259" i="17" a="1"/>
  <c r="I265" i="17" a="1"/>
  <c r="I271" i="17" a="1"/>
  <c r="I277" i="17" a="1"/>
  <c r="I283" i="17" a="1"/>
  <c r="I289" i="17" a="1"/>
  <c r="I295" i="17" a="1"/>
  <c r="I301" i="17" a="1"/>
  <c r="I313" i="17" a="1"/>
  <c r="I319" i="17" a="1"/>
  <c r="I325" i="17" a="1"/>
  <c r="I331" i="17" a="1"/>
  <c r="I337" i="17" a="1"/>
  <c r="I343" i="17" a="1"/>
  <c r="I349" i="17" a="1"/>
  <c r="I355" i="17" a="1"/>
  <c r="I361" i="17" a="1"/>
  <c r="I373" i="17" a="1"/>
  <c r="I379" i="17" a="1"/>
  <c r="I385" i="17" a="1"/>
  <c r="I391" i="17" a="1"/>
  <c r="H195" i="17" a="1"/>
  <c r="H201" i="17" a="1"/>
  <c r="H207" i="17" a="1"/>
  <c r="H213" i="17" a="1"/>
  <c r="H219" i="17" a="1"/>
  <c r="H225" i="17" a="1"/>
  <c r="H231" i="17" a="1"/>
  <c r="H237" i="17" a="1"/>
  <c r="H243" i="17" a="1"/>
  <c r="H249" i="17" a="1"/>
  <c r="H255" i="17" a="1"/>
  <c r="H261" i="17" a="1"/>
  <c r="H267" i="17" a="1"/>
  <c r="H273" i="17" a="1"/>
  <c r="H279" i="17" a="1"/>
  <c r="H196" i="17" a="1"/>
  <c r="H208" i="17" a="1"/>
  <c r="H214" i="17" a="1"/>
  <c r="H226" i="17" a="1"/>
  <c r="H232" i="17" a="1"/>
  <c r="H244" i="17" a="1"/>
  <c r="H250" i="17" a="1"/>
  <c r="H262" i="17" a="1"/>
  <c r="H268" i="17" a="1"/>
  <c r="H280" i="17" a="1"/>
  <c r="H286" i="17" a="1"/>
  <c r="H298" i="17" a="1"/>
  <c r="H304" i="17" a="1"/>
  <c r="H316" i="17" a="1"/>
  <c r="H322" i="17" a="1"/>
  <c r="H334" i="17" a="1"/>
  <c r="H340" i="17" a="1"/>
  <c r="H352" i="17" a="1"/>
  <c r="H358" i="17" a="1"/>
  <c r="H364" i="17" a="1"/>
  <c r="H376" i="17" a="1"/>
  <c r="H382" i="17" a="1"/>
  <c r="H359" i="17" a="1"/>
  <c r="H389" i="17" a="1"/>
  <c r="H202" i="17" a="1"/>
  <c r="H220" i="17" a="1"/>
  <c r="H238" i="17" a="1"/>
  <c r="H256" i="17" a="1"/>
  <c r="H274" i="17" a="1"/>
  <c r="H292" i="17" a="1"/>
  <c r="H310" i="17" a="1"/>
  <c r="H328" i="17" a="1"/>
  <c r="H346" i="17" a="1"/>
  <c r="H370" i="17" a="1"/>
  <c r="H388" i="17" a="1"/>
  <c r="H377" i="17" a="1"/>
  <c r="H197" i="17" a="1"/>
  <c r="H203" i="17" a="1"/>
  <c r="H209" i="17" a="1"/>
  <c r="H215" i="17" a="1"/>
  <c r="H221" i="17" a="1"/>
  <c r="H227" i="17" a="1"/>
  <c r="H233" i="17" a="1"/>
  <c r="H239" i="17" a="1"/>
  <c r="H245" i="17" a="1"/>
  <c r="H251" i="17" a="1"/>
  <c r="H257" i="17" a="1"/>
  <c r="H263" i="17" a="1"/>
  <c r="H269" i="17" a="1"/>
  <c r="H275" i="17" a="1"/>
  <c r="H281" i="17" a="1"/>
  <c r="H287" i="17" a="1"/>
  <c r="H293" i="17" a="1"/>
  <c r="H299" i="17" a="1"/>
  <c r="H305" i="17" a="1"/>
  <c r="H311" i="17" a="1"/>
  <c r="H317" i="17" a="1"/>
  <c r="H323" i="17" a="1"/>
  <c r="H329" i="17" a="1"/>
  <c r="H335" i="17" a="1"/>
  <c r="H341" i="17" a="1"/>
  <c r="H347" i="17" a="1"/>
  <c r="H353" i="17" a="1"/>
  <c r="H365" i="17" a="1"/>
  <c r="H371" i="17" a="1"/>
  <c r="H383" i="17" a="1"/>
  <c r="H198" i="17" a="1"/>
  <c r="H204" i="17" a="1"/>
  <c r="H210" i="17" a="1"/>
  <c r="H216" i="17" a="1"/>
  <c r="H222" i="17" a="1"/>
  <c r="H228" i="17" a="1"/>
  <c r="H234" i="17" a="1"/>
  <c r="H240" i="17" a="1"/>
  <c r="H246" i="17" a="1"/>
  <c r="H252" i="17" a="1"/>
  <c r="H258" i="17" a="1"/>
  <c r="H264" i="17" a="1"/>
  <c r="H276" i="17" a="1"/>
  <c r="H294" i="17" a="1"/>
  <c r="H199" i="17" a="1"/>
  <c r="H205" i="17" a="1"/>
  <c r="H211" i="17" a="1"/>
  <c r="H217" i="17" a="1"/>
  <c r="H223" i="17" a="1"/>
  <c r="H229" i="17" a="1"/>
  <c r="H235" i="17" a="1"/>
  <c r="H241" i="17" a="1"/>
  <c r="H247" i="17" a="1"/>
  <c r="H253" i="17" a="1"/>
  <c r="H259" i="17" a="1"/>
  <c r="H265" i="17" a="1"/>
  <c r="H271" i="17" a="1"/>
  <c r="H277" i="17" a="1"/>
  <c r="H283" i="17" a="1"/>
  <c r="H289" i="17" a="1"/>
  <c r="H295" i="17" a="1"/>
  <c r="H301" i="17" a="1"/>
  <c r="H307" i="17" a="1"/>
  <c r="H313" i="17" a="1"/>
  <c r="H319" i="17" a="1"/>
  <c r="H325" i="17" a="1"/>
  <c r="H331" i="17" a="1"/>
  <c r="H337" i="17" a="1"/>
  <c r="H343" i="17" a="1"/>
  <c r="H349" i="17" a="1"/>
  <c r="H355" i="17" a="1"/>
  <c r="H361" i="17" a="1"/>
  <c r="H367" i="17" a="1"/>
  <c r="H373" i="17" a="1"/>
  <c r="H379" i="17" a="1"/>
  <c r="H385" i="17" a="1"/>
  <c r="H391" i="17" a="1"/>
  <c r="H200" i="17" a="1"/>
  <c r="H236" i="17" a="1"/>
  <c r="H270" i="17" a="1"/>
  <c r="H291" i="17" a="1"/>
  <c r="H312" i="17" a="1"/>
  <c r="H330" i="17" a="1"/>
  <c r="H348" i="17" a="1"/>
  <c r="H366" i="17" a="1"/>
  <c r="H384" i="17" a="1"/>
  <c r="H272" i="17" a="1"/>
  <c r="H296" i="17" a="1"/>
  <c r="H314" i="17" a="1"/>
  <c r="H332" i="17" a="1"/>
  <c r="H350" i="17" a="1"/>
  <c r="H368" i="17" a="1"/>
  <c r="H282" i="17" a="1"/>
  <c r="H320" i="17" a="1"/>
  <c r="H356" i="17" a="1"/>
  <c r="H390" i="17" a="1"/>
  <c r="H206" i="17" a="1"/>
  <c r="H242" i="17" a="1"/>
  <c r="H386" i="17" a="1"/>
  <c r="H278" i="17" a="1"/>
  <c r="H297" i="17" a="1"/>
  <c r="H315" i="17" a="1"/>
  <c r="H333" i="17" a="1"/>
  <c r="H351" i="17" a="1"/>
  <c r="H369" i="17" a="1"/>
  <c r="H212" i="17" a="1"/>
  <c r="H248" i="17" a="1"/>
  <c r="H300" i="17" a="1"/>
  <c r="H318" i="17" a="1"/>
  <c r="H336" i="17" a="1"/>
  <c r="H354" i="17" a="1"/>
  <c r="H372" i="17" a="1"/>
  <c r="H387" i="17" a="1"/>
  <c r="H302" i="17" a="1"/>
  <c r="H338" i="17" a="1"/>
  <c r="H374" i="17" a="1"/>
  <c r="H218" i="17" a="1"/>
  <c r="H254" i="17" a="1"/>
  <c r="H284" i="17" a="1"/>
  <c r="H375" i="17" a="1"/>
  <c r="H308" i="17" a="1"/>
  <c r="H362" i="17" a="1"/>
  <c r="H266" i="17" a="1"/>
  <c r="H327" i="17" a="1"/>
  <c r="H303" i="17" a="1"/>
  <c r="H321" i="17" a="1"/>
  <c r="H339" i="17" a="1"/>
  <c r="H357" i="17" a="1"/>
  <c r="H392" i="17" a="1"/>
  <c r="H326" i="17" a="1"/>
  <c r="H380" i="17" a="1"/>
  <c r="H230" i="17" a="1"/>
  <c r="H290" i="17" a="1"/>
  <c r="H309" i="17" a="1"/>
  <c r="H363" i="17" a="1"/>
  <c r="H224" i="17" a="1"/>
  <c r="H260" i="17" a="1"/>
  <c r="H285" i="17" a="1"/>
  <c r="H306" i="17" a="1"/>
  <c r="H324" i="17" a="1"/>
  <c r="H342" i="17" a="1"/>
  <c r="H360" i="17" a="1"/>
  <c r="H378" i="17" a="1"/>
  <c r="H288" i="17" a="1"/>
  <c r="H344" i="17" a="1"/>
  <c r="H393" i="17" a="1"/>
  <c r="H194" i="17" a="1"/>
  <c r="H345" i="17" a="1"/>
  <c r="H381" i="17" a="1"/>
  <c r="G242" i="17" a="1"/>
  <c r="G362" i="17" a="1"/>
  <c r="G195" i="17" a="1"/>
  <c r="G201" i="17" a="1"/>
  <c r="G207" i="17" a="1"/>
  <c r="G213" i="17" a="1"/>
  <c r="G219" i="17" a="1"/>
  <c r="G225" i="17" a="1"/>
  <c r="G231" i="17" a="1"/>
  <c r="G237" i="17" a="1"/>
  <c r="G243" i="17" a="1"/>
  <c r="G249" i="17" a="1"/>
  <c r="G255" i="17" a="1"/>
  <c r="G261" i="17" a="1"/>
  <c r="G267" i="17" a="1"/>
  <c r="G273" i="17" a="1"/>
  <c r="G279" i="17" a="1"/>
  <c r="G285" i="17" a="1"/>
  <c r="G291" i="17" a="1"/>
  <c r="G297" i="17" a="1"/>
  <c r="G303" i="17" a="1"/>
  <c r="G309" i="17" a="1"/>
  <c r="G315" i="17" a="1"/>
  <c r="G321" i="17" a="1"/>
  <c r="G327" i="17" a="1"/>
  <c r="G333" i="17" a="1"/>
  <c r="G339" i="17" a="1"/>
  <c r="G345" i="17" a="1"/>
  <c r="G351" i="17" a="1"/>
  <c r="G357" i="17" a="1"/>
  <c r="G363" i="17" a="1"/>
  <c r="G369" i="17" a="1"/>
  <c r="G375" i="17" a="1"/>
  <c r="G381" i="17" a="1"/>
  <c r="G387" i="17" a="1"/>
  <c r="G393" i="17" a="1"/>
  <c r="G316" i="17" a="1"/>
  <c r="G352" i="17" a="1"/>
  <c r="G370" i="17" a="1"/>
  <c r="G388" i="17" a="1"/>
  <c r="G305" i="17" a="1"/>
  <c r="G335" i="17" a="1"/>
  <c r="G353" i="17" a="1"/>
  <c r="G377" i="17" a="1"/>
  <c r="G194" i="17" a="1"/>
  <c r="G254" i="17" a="1"/>
  <c r="G284" i="17" a="1"/>
  <c r="G320" i="17" a="1"/>
  <c r="G374" i="17" a="1"/>
  <c r="G232" i="17" a="1"/>
  <c r="G286" i="17" a="1"/>
  <c r="G304" i="17" a="1"/>
  <c r="G322" i="17" a="1"/>
  <c r="G334" i="17" a="1"/>
  <c r="G346" i="17" a="1"/>
  <c r="G364" i="17" a="1"/>
  <c r="G382" i="17" a="1"/>
  <c r="G311" i="17" a="1"/>
  <c r="G359" i="17" a="1"/>
  <c r="G389" i="17" a="1"/>
  <c r="G212" i="17" a="1"/>
  <c r="G260" i="17" a="1"/>
  <c r="G302" i="17" a="1"/>
  <c r="G338" i="17" a="1"/>
  <c r="G386" i="17" a="1"/>
  <c r="G196" i="17" a="1"/>
  <c r="G202" i="17" a="1"/>
  <c r="G208" i="17" a="1"/>
  <c r="G214" i="17" a="1"/>
  <c r="G220" i="17" a="1"/>
  <c r="G226" i="17" a="1"/>
  <c r="G238" i="17" a="1"/>
  <c r="G244" i="17" a="1"/>
  <c r="G250" i="17" a="1"/>
  <c r="G256" i="17" a="1"/>
  <c r="G262" i="17" a="1"/>
  <c r="G268" i="17" a="1"/>
  <c r="G274" i="17" a="1"/>
  <c r="G280" i="17" a="1"/>
  <c r="G292" i="17" a="1"/>
  <c r="G298" i="17" a="1"/>
  <c r="G310" i="17" a="1"/>
  <c r="G328" i="17" a="1"/>
  <c r="G340" i="17" a="1"/>
  <c r="G358" i="17" a="1"/>
  <c r="G376" i="17" a="1"/>
  <c r="G323" i="17" a="1"/>
  <c r="G371" i="17" a="1"/>
  <c r="G236" i="17" a="1"/>
  <c r="G278" i="17" a="1"/>
  <c r="G326" i="17" a="1"/>
  <c r="G197" i="17" a="1"/>
  <c r="G203" i="17" a="1"/>
  <c r="G209" i="17" a="1"/>
  <c r="G215" i="17" a="1"/>
  <c r="G221" i="17" a="1"/>
  <c r="G227" i="17" a="1"/>
  <c r="G233" i="17" a="1"/>
  <c r="G239" i="17" a="1"/>
  <c r="G245" i="17" a="1"/>
  <c r="G251" i="17" a="1"/>
  <c r="G257" i="17" a="1"/>
  <c r="G263" i="17" a="1"/>
  <c r="G269" i="17" a="1"/>
  <c r="G275" i="17" a="1"/>
  <c r="G281" i="17" a="1"/>
  <c r="G287" i="17" a="1"/>
  <c r="G293" i="17" a="1"/>
  <c r="G299" i="17" a="1"/>
  <c r="G317" i="17" a="1"/>
  <c r="G329" i="17" a="1"/>
  <c r="G341" i="17" a="1"/>
  <c r="G347" i="17" a="1"/>
  <c r="G365" i="17" a="1"/>
  <c r="G383" i="17" a="1"/>
  <c r="G230" i="17" a="1"/>
  <c r="G272" i="17" a="1"/>
  <c r="G314" i="17" a="1"/>
  <c r="G356" i="17" a="1"/>
  <c r="G218" i="17" a="1"/>
  <c r="G350" i="17" a="1"/>
  <c r="G198" i="17" a="1"/>
  <c r="G204" i="17" a="1"/>
  <c r="G210" i="17" a="1"/>
  <c r="G216" i="17" a="1"/>
  <c r="G222" i="17" a="1"/>
  <c r="G228" i="17" a="1"/>
  <c r="G234" i="17" a="1"/>
  <c r="G240" i="17" a="1"/>
  <c r="G246" i="17" a="1"/>
  <c r="G252" i="17" a="1"/>
  <c r="G258" i="17" a="1"/>
  <c r="G264" i="17" a="1"/>
  <c r="G270" i="17" a="1"/>
  <c r="G276" i="17" a="1"/>
  <c r="G282" i="17" a="1"/>
  <c r="G288" i="17" a="1"/>
  <c r="G294" i="17" a="1"/>
  <c r="G300" i="17" a="1"/>
  <c r="G306" i="17" a="1"/>
  <c r="G312" i="17" a="1"/>
  <c r="G318" i="17" a="1"/>
  <c r="G324" i="17" a="1"/>
  <c r="G330" i="17" a="1"/>
  <c r="G336" i="17" a="1"/>
  <c r="G342" i="17" a="1"/>
  <c r="G348" i="17" a="1"/>
  <c r="G354" i="17" a="1"/>
  <c r="G360" i="17" a="1"/>
  <c r="G366" i="17" a="1"/>
  <c r="G372" i="17" a="1"/>
  <c r="G378" i="17" a="1"/>
  <c r="G384" i="17" a="1"/>
  <c r="G390" i="17" a="1"/>
  <c r="G229" i="17" a="1"/>
  <c r="G271" i="17" a="1"/>
  <c r="G283" i="17" a="1"/>
  <c r="G295" i="17" a="1"/>
  <c r="G307" i="17" a="1"/>
  <c r="G319" i="17" a="1"/>
  <c r="G331" i="17" a="1"/>
  <c r="G343" i="17" a="1"/>
  <c r="G355" i="17" a="1"/>
  <c r="G367" i="17" a="1"/>
  <c r="G379" i="17" a="1"/>
  <c r="G391" i="17" a="1"/>
  <c r="G200" i="17" a="1"/>
  <c r="G248" i="17" a="1"/>
  <c r="G290" i="17" a="1"/>
  <c r="G332" i="17" a="1"/>
  <c r="G380" i="17" a="1"/>
  <c r="G199" i="17" a="1"/>
  <c r="G205" i="17" a="1"/>
  <c r="G211" i="17" a="1"/>
  <c r="G217" i="17" a="1"/>
  <c r="G223" i="17" a="1"/>
  <c r="G235" i="17" a="1"/>
  <c r="G241" i="17" a="1"/>
  <c r="G247" i="17" a="1"/>
  <c r="G253" i="17" a="1"/>
  <c r="G259" i="17" a="1"/>
  <c r="G265" i="17" a="1"/>
  <c r="G277" i="17" a="1"/>
  <c r="G289" i="17" a="1"/>
  <c r="G301" i="17" a="1"/>
  <c r="G313" i="17" a="1"/>
  <c r="G325" i="17" a="1"/>
  <c r="G337" i="17" a="1"/>
  <c r="G349" i="17" a="1"/>
  <c r="G361" i="17" a="1"/>
  <c r="G373" i="17" a="1"/>
  <c r="G385" i="17" a="1"/>
  <c r="G206" i="17" a="1"/>
  <c r="G266" i="17" a="1"/>
  <c r="G296" i="17" a="1"/>
  <c r="G344" i="17" a="1"/>
  <c r="G392" i="17" a="1"/>
  <c r="G224" i="17" a="1"/>
  <c r="G308" i="17" a="1"/>
  <c r="G368" i="17" a="1"/>
  <c r="F194" i="17" a="1"/>
  <c r="F200" i="17" a="1"/>
  <c r="F206" i="17" a="1"/>
  <c r="F212" i="17" a="1"/>
  <c r="F218" i="17" a="1"/>
  <c r="F224" i="17" a="1"/>
  <c r="F230" i="17" a="1"/>
  <c r="F195" i="17" a="1"/>
  <c r="F201" i="17" a="1"/>
  <c r="F207" i="17" a="1"/>
  <c r="F213" i="17" a="1"/>
  <c r="F219" i="17" a="1"/>
  <c r="F225" i="17" a="1"/>
  <c r="F202" i="17" a="1"/>
  <c r="F208" i="17" a="1"/>
  <c r="F220" i="17" a="1"/>
  <c r="F226" i="17" a="1"/>
  <c r="F238" i="17" a="1"/>
  <c r="F244" i="17" a="1"/>
  <c r="F256" i="17" a="1"/>
  <c r="F262" i="17" a="1"/>
  <c r="F274" i="17" a="1"/>
  <c r="F286" i="17" a="1"/>
  <c r="F292" i="17" a="1"/>
  <c r="F304" i="17" a="1"/>
  <c r="F316" i="17" a="1"/>
  <c r="F322" i="17" a="1"/>
  <c r="F334" i="17" a="1"/>
  <c r="F340" i="17" a="1"/>
  <c r="F352" i="17" a="1"/>
  <c r="F358" i="17" a="1"/>
  <c r="F370" i="17" a="1"/>
  <c r="F376" i="17" a="1"/>
  <c r="F388" i="17" a="1"/>
  <c r="F203" i="17" a="1"/>
  <c r="F227" i="17" a="1"/>
  <c r="F245" i="17" a="1"/>
  <c r="F263" i="17" a="1"/>
  <c r="F196" i="17" a="1"/>
  <c r="F214" i="17" a="1"/>
  <c r="F232" i="17" a="1"/>
  <c r="F250" i="17" a="1"/>
  <c r="F268" i="17" a="1"/>
  <c r="F280" i="17" a="1"/>
  <c r="F298" i="17" a="1"/>
  <c r="F310" i="17" a="1"/>
  <c r="F328" i="17" a="1"/>
  <c r="F346" i="17" a="1"/>
  <c r="F364" i="17" a="1"/>
  <c r="F382" i="17" a="1"/>
  <c r="F209" i="17" a="1"/>
  <c r="F197" i="17" a="1"/>
  <c r="F215" i="17" a="1"/>
  <c r="F221" i="17" a="1"/>
  <c r="F233" i="17" a="1"/>
  <c r="F257" i="17" a="1"/>
  <c r="F198" i="17" a="1"/>
  <c r="F204" i="17" a="1"/>
  <c r="F210" i="17" a="1"/>
  <c r="F216" i="17" a="1"/>
  <c r="F222" i="17" a="1"/>
  <c r="F228" i="17" a="1"/>
  <c r="F234" i="17" a="1"/>
  <c r="F240" i="17" a="1"/>
  <c r="F246" i="17" a="1"/>
  <c r="F252" i="17" a="1"/>
  <c r="F258" i="17" a="1"/>
  <c r="F264" i="17" a="1"/>
  <c r="F270" i="17" a="1"/>
  <c r="F276" i="17" a="1"/>
  <c r="F282" i="17" a="1"/>
  <c r="F288" i="17" a="1"/>
  <c r="F294" i="17" a="1"/>
  <c r="F300" i="17" a="1"/>
  <c r="F306" i="17" a="1"/>
  <c r="F312" i="17" a="1"/>
  <c r="F318" i="17" a="1"/>
  <c r="F324" i="17" a="1"/>
  <c r="F336" i="17" a="1"/>
  <c r="F342" i="17" a="1"/>
  <c r="F348" i="17" a="1"/>
  <c r="F354" i="17" a="1"/>
  <c r="F360" i="17" a="1"/>
  <c r="F366" i="17" a="1"/>
  <c r="F372" i="17" a="1"/>
  <c r="F378" i="17" a="1"/>
  <c r="F384" i="17" a="1"/>
  <c r="F390" i="17" a="1"/>
  <c r="F330" i="17" a="1"/>
  <c r="F199" i="17" a="1"/>
  <c r="F205" i="17" a="1"/>
  <c r="F211" i="17" a="1"/>
  <c r="F217" i="17" a="1"/>
  <c r="F223" i="17" a="1"/>
  <c r="F229" i="17" a="1"/>
  <c r="F235" i="17" a="1"/>
  <c r="F241" i="17" a="1"/>
  <c r="F247" i="17" a="1"/>
  <c r="F253" i="17" a="1"/>
  <c r="F259" i="17" a="1"/>
  <c r="F265" i="17" a="1"/>
  <c r="F271" i="17" a="1"/>
  <c r="F277" i="17" a="1"/>
  <c r="F283" i="17" a="1"/>
  <c r="F289" i="17" a="1"/>
  <c r="F295" i="17" a="1"/>
  <c r="F301" i="17" a="1"/>
  <c r="F307" i="17" a="1"/>
  <c r="F313" i="17" a="1"/>
  <c r="F319" i="17" a="1"/>
  <c r="F325" i="17" a="1"/>
  <c r="F331" i="17" a="1"/>
  <c r="F337" i="17" a="1"/>
  <c r="F343" i="17" a="1"/>
  <c r="F349" i="17" a="1"/>
  <c r="F355" i="17" a="1"/>
  <c r="F361" i="17" a="1"/>
  <c r="F367" i="17" a="1"/>
  <c r="F373" i="17" a="1"/>
  <c r="F379" i="17" a="1"/>
  <c r="F385" i="17" a="1"/>
  <c r="F391" i="17" a="1"/>
  <c r="F269" i="17" a="1"/>
  <c r="F287" i="17" a="1"/>
  <c r="F305" i="17" a="1"/>
  <c r="F323" i="17" a="1"/>
  <c r="F341" i="17" a="1"/>
  <c r="F359" i="17" a="1"/>
  <c r="F377" i="17" a="1"/>
  <c r="F393" i="17" a="1"/>
  <c r="F249" i="17" a="1"/>
  <c r="F272" i="17" a="1"/>
  <c r="F290" i="17" a="1"/>
  <c r="F308" i="17" a="1"/>
  <c r="F326" i="17" a="1"/>
  <c r="F344" i="17" a="1"/>
  <c r="F362" i="17" a="1"/>
  <c r="F380" i="17" a="1"/>
  <c r="F251" i="17" a="1"/>
  <c r="F231" i="17" a="1"/>
  <c r="F254" i="17" a="1"/>
  <c r="F273" i="17" a="1"/>
  <c r="F291" i="17" a="1"/>
  <c r="F309" i="17" a="1"/>
  <c r="F327" i="17" a="1"/>
  <c r="F345" i="17" a="1"/>
  <c r="F363" i="17" a="1"/>
  <c r="F381" i="17" a="1"/>
  <c r="F236" i="17" a="1"/>
  <c r="F275" i="17" a="1"/>
  <c r="F293" i="17" a="1"/>
  <c r="F311" i="17" a="1"/>
  <c r="F329" i="17" a="1"/>
  <c r="F347" i="17" a="1"/>
  <c r="F365" i="17" a="1"/>
  <c r="F383" i="17" a="1"/>
  <c r="F255" i="17" a="1"/>
  <c r="F278" i="17" a="1"/>
  <c r="F296" i="17" a="1"/>
  <c r="F314" i="17" a="1"/>
  <c r="F332" i="17" a="1"/>
  <c r="F350" i="17" a="1"/>
  <c r="F368" i="17" a="1"/>
  <c r="F386" i="17" a="1"/>
  <c r="F389" i="17" a="1"/>
  <c r="F266" i="17" a="1"/>
  <c r="F356" i="17" a="1"/>
  <c r="F243" i="17" a="1"/>
  <c r="F248" i="17" a="1"/>
  <c r="F339" i="17" a="1"/>
  <c r="F237" i="17" a="1"/>
  <c r="F260" i="17" a="1"/>
  <c r="F371" i="17" a="1"/>
  <c r="F320" i="17" a="1"/>
  <c r="F392" i="17" a="1"/>
  <c r="F267" i="17" a="1"/>
  <c r="F321" i="17" a="1"/>
  <c r="F239" i="17" a="1"/>
  <c r="F279" i="17" a="1"/>
  <c r="F297" i="17" a="1"/>
  <c r="F315" i="17" a="1"/>
  <c r="F333" i="17" a="1"/>
  <c r="F351" i="17" a="1"/>
  <c r="F369" i="17" a="1"/>
  <c r="F387" i="17" a="1"/>
  <c r="F242" i="17" a="1"/>
  <c r="F261" i="17" a="1"/>
  <c r="F281" i="17" a="1"/>
  <c r="F299" i="17" a="1"/>
  <c r="F317" i="17" a="1"/>
  <c r="F335" i="17" a="1"/>
  <c r="F353" i="17" a="1"/>
  <c r="F284" i="17" a="1"/>
  <c r="F302" i="17" a="1"/>
  <c r="F338" i="17" a="1"/>
  <c r="F374" i="17" a="1"/>
  <c r="F285" i="17" a="1"/>
  <c r="F303" i="17" a="1"/>
  <c r="F357" i="17" a="1"/>
  <c r="F375" i="17" a="1"/>
  <c r="D195" i="17" a="1"/>
  <c r="D196" i="17" a="1"/>
  <c r="D208" i="17" a="1"/>
  <c r="D214" i="17" a="1"/>
  <c r="D220" i="17" a="1"/>
  <c r="D226" i="17" a="1"/>
  <c r="D232" i="17" a="1"/>
  <c r="D238" i="17" a="1"/>
  <c r="D250" i="17" a="1"/>
  <c r="D256" i="17" a="1"/>
  <c r="D262" i="17" a="1"/>
  <c r="D274" i="17" a="1"/>
  <c r="D280" i="17" a="1"/>
  <c r="D292" i="17" a="1"/>
  <c r="D298" i="17" a="1"/>
  <c r="D310" i="17" a="1"/>
  <c r="D316" i="17" a="1"/>
  <c r="D328" i="17" a="1"/>
  <c r="D334" i="17" a="1"/>
  <c r="D346" i="17" a="1"/>
  <c r="D358" i="17" a="1"/>
  <c r="D364" i="17" a="1"/>
  <c r="D376" i="17" a="1"/>
  <c r="D382" i="17" a="1"/>
  <c r="D197" i="17" a="1"/>
  <c r="D209" i="17" a="1"/>
  <c r="D215" i="17" a="1"/>
  <c r="D227" i="17" a="1"/>
  <c r="D233" i="17" a="1"/>
  <c r="D245" i="17" a="1"/>
  <c r="D257" i="17" a="1"/>
  <c r="D263" i="17" a="1"/>
  <c r="D275" i="17" a="1"/>
  <c r="D287" i="17" a="1"/>
  <c r="D293" i="17" a="1"/>
  <c r="D305" i="17" a="1"/>
  <c r="D317" i="17" a="1"/>
  <c r="D323" i="17" a="1"/>
  <c r="D335" i="17" a="1"/>
  <c r="D347" i="17" a="1"/>
  <c r="D353" i="17" a="1"/>
  <c r="D365" i="17" a="1"/>
  <c r="D371" i="17" a="1"/>
  <c r="D383" i="17" a="1"/>
  <c r="D202" i="17" a="1"/>
  <c r="D244" i="17" a="1"/>
  <c r="D268" i="17" a="1"/>
  <c r="D286" i="17" a="1"/>
  <c r="D304" i="17" a="1"/>
  <c r="D322" i="17" a="1"/>
  <c r="D340" i="17" a="1"/>
  <c r="D352" i="17" a="1"/>
  <c r="D370" i="17" a="1"/>
  <c r="D388" i="17" a="1"/>
  <c r="D203" i="17" a="1"/>
  <c r="D221" i="17" a="1"/>
  <c r="D239" i="17" a="1"/>
  <c r="D251" i="17" a="1"/>
  <c r="D269" i="17" a="1"/>
  <c r="D281" i="17" a="1"/>
  <c r="D299" i="17" a="1"/>
  <c r="D311" i="17" a="1"/>
  <c r="D329" i="17" a="1"/>
  <c r="D341" i="17" a="1"/>
  <c r="D359" i="17" a="1"/>
  <c r="D377" i="17" a="1"/>
  <c r="D389" i="17" a="1"/>
  <c r="D198" i="17" a="1"/>
  <c r="D204" i="17" a="1"/>
  <c r="D210" i="17" a="1"/>
  <c r="D216" i="17" a="1"/>
  <c r="D222" i="17" a="1"/>
  <c r="D228" i="17" a="1"/>
  <c r="D234" i="17" a="1"/>
  <c r="D240" i="17" a="1"/>
  <c r="D246" i="17" a="1"/>
  <c r="D252" i="17" a="1"/>
  <c r="D258" i="17" a="1"/>
  <c r="D264" i="17" a="1"/>
  <c r="D270" i="17" a="1"/>
  <c r="D276" i="17" a="1"/>
  <c r="D282" i="17" a="1"/>
  <c r="D288" i="17" a="1"/>
  <c r="D294" i="17" a="1"/>
  <c r="D300" i="17" a="1"/>
  <c r="D306" i="17" a="1"/>
  <c r="D312" i="17" a="1"/>
  <c r="D318" i="17" a="1"/>
  <c r="D324" i="17" a="1"/>
  <c r="D330" i="17" a="1"/>
  <c r="D336" i="17" a="1"/>
  <c r="D342" i="17" a="1"/>
  <c r="D348" i="17" a="1"/>
  <c r="D354" i="17" a="1"/>
  <c r="D360" i="17" a="1"/>
  <c r="D366" i="17" a="1"/>
  <c r="D372" i="17" a="1"/>
  <c r="D378" i="17" a="1"/>
  <c r="D384" i="17" a="1"/>
  <c r="D390" i="17" a="1"/>
  <c r="D337" i="17" a="1"/>
  <c r="D355" i="17" a="1"/>
  <c r="D367" i="17" a="1"/>
  <c r="D379" i="17" a="1"/>
  <c r="D391" i="17" a="1"/>
  <c r="D200" i="17" a="1"/>
  <c r="D218" i="17" a="1"/>
  <c r="D230" i="17" a="1"/>
  <c r="D242" i="17" a="1"/>
  <c r="D260" i="17" a="1"/>
  <c r="D278" i="17" a="1"/>
  <c r="D290" i="17" a="1"/>
  <c r="D308" i="17" a="1"/>
  <c r="D332" i="17" a="1"/>
  <c r="D350" i="17" a="1"/>
  <c r="D368" i="17" a="1"/>
  <c r="D380" i="17" a="1"/>
  <c r="D392" i="17" a="1"/>
  <c r="D199" i="17" a="1"/>
  <c r="D205" i="17" a="1"/>
  <c r="D211" i="17" a="1"/>
  <c r="D217" i="17" a="1"/>
  <c r="D223" i="17" a="1"/>
  <c r="D229" i="17" a="1"/>
  <c r="D235" i="17" a="1"/>
  <c r="D241" i="17" a="1"/>
  <c r="D247" i="17" a="1"/>
  <c r="D253" i="17" a="1"/>
  <c r="D259" i="17" a="1"/>
  <c r="D265" i="17" a="1"/>
  <c r="D271" i="17" a="1"/>
  <c r="D277" i="17" a="1"/>
  <c r="D283" i="17" a="1"/>
  <c r="D289" i="17" a="1"/>
  <c r="D295" i="17" a="1"/>
  <c r="D301" i="17" a="1"/>
  <c r="D307" i="17" a="1"/>
  <c r="D313" i="17" a="1"/>
  <c r="D319" i="17" a="1"/>
  <c r="D325" i="17" a="1"/>
  <c r="D331" i="17" a="1"/>
  <c r="D343" i="17" a="1"/>
  <c r="D349" i="17" a="1"/>
  <c r="D361" i="17" a="1"/>
  <c r="D373" i="17" a="1"/>
  <c r="D385" i="17" a="1"/>
  <c r="D206" i="17" a="1"/>
  <c r="D212" i="17" a="1"/>
  <c r="D224" i="17" a="1"/>
  <c r="D236" i="17" a="1"/>
  <c r="D254" i="17" a="1"/>
  <c r="D266" i="17" a="1"/>
  <c r="D284" i="17" a="1"/>
  <c r="D302" i="17" a="1"/>
  <c r="D320" i="17" a="1"/>
  <c r="D338" i="17" a="1"/>
  <c r="D356" i="17" a="1"/>
  <c r="D386" i="17" a="1"/>
  <c r="D194" i="17" a="1"/>
  <c r="D248" i="17" a="1"/>
  <c r="D272" i="17" a="1"/>
  <c r="D296" i="17" a="1"/>
  <c r="D314" i="17" a="1"/>
  <c r="D326" i="17" a="1"/>
  <c r="D344" i="17" a="1"/>
  <c r="D362" i="17" a="1"/>
  <c r="D374" i="17" a="1"/>
  <c r="D279" i="17" a="1"/>
  <c r="D315" i="17" a="1"/>
  <c r="D363" i="17" a="1"/>
  <c r="D387" i="17" a="1"/>
  <c r="D261" i="17" a="1"/>
  <c r="D393" i="17" a="1"/>
  <c r="D309" i="17" a="1"/>
  <c r="D213" i="17" a="1"/>
  <c r="D249" i="17" a="1"/>
  <c r="D339" i="17" a="1"/>
  <c r="D219" i="17" a="1"/>
  <c r="D225" i="17" a="1"/>
  <c r="D369" i="17" a="1"/>
  <c r="D273" i="17" a="1"/>
  <c r="D381" i="17" a="1"/>
  <c r="D285" i="17" a="1"/>
  <c r="D255" i="17" a="1"/>
  <c r="D291" i="17" a="1"/>
  <c r="D321" i="17" a="1"/>
  <c r="D345" i="17" a="1"/>
  <c r="D237" i="17" a="1"/>
  <c r="D243" i="17" a="1"/>
  <c r="D357" i="17" a="1"/>
  <c r="D297" i="17" a="1"/>
  <c r="D327" i="17" a="1"/>
  <c r="D375" i="17" a="1"/>
  <c r="D201" i="17" a="1"/>
  <c r="D333" i="17" a="1"/>
  <c r="D231" i="17" a="1"/>
  <c r="D267" i="17" a="1"/>
  <c r="D303" i="17" a="1"/>
  <c r="D351" i="17" a="1"/>
  <c r="D207" i="17" a="1"/>
  <c r="C194" i="17" a="1"/>
  <c r="C200" i="17" a="1"/>
  <c r="C206" i="17" a="1"/>
  <c r="C212" i="17" a="1"/>
  <c r="C218" i="17" a="1"/>
  <c r="C224" i="17" a="1"/>
  <c r="C230" i="17" a="1"/>
  <c r="C236" i="17" a="1"/>
  <c r="C242" i="17" a="1"/>
  <c r="C248" i="17" a="1"/>
  <c r="C254" i="17" a="1"/>
  <c r="C260" i="17" a="1"/>
  <c r="C266" i="17" a="1"/>
  <c r="C272" i="17" a="1"/>
  <c r="C278" i="17" a="1"/>
  <c r="C284" i="17" a="1"/>
  <c r="C290" i="17" a="1"/>
  <c r="C296" i="17" a="1"/>
  <c r="C302" i="17" a="1"/>
  <c r="C308" i="17" a="1"/>
  <c r="C314" i="17" a="1"/>
  <c r="C320" i="17" a="1"/>
  <c r="C326" i="17" a="1"/>
  <c r="C332" i="17" a="1"/>
  <c r="C338" i="17" a="1"/>
  <c r="C344" i="17" a="1"/>
  <c r="C350" i="17" a="1"/>
  <c r="C356" i="17" a="1"/>
  <c r="C362" i="17" a="1"/>
  <c r="C368" i="17" a="1"/>
  <c r="C374" i="17" a="1"/>
  <c r="C380" i="17" a="1"/>
  <c r="C386" i="17" a="1"/>
  <c r="C392" i="17" a="1"/>
  <c r="C357" i="17" a="1"/>
  <c r="C375" i="17" a="1"/>
  <c r="C387" i="17" a="1"/>
  <c r="C388" i="17" a="1"/>
  <c r="C359" i="17" a="1"/>
  <c r="C360" i="17" a="1"/>
  <c r="C351" i="17" a="1"/>
  <c r="C195" i="17" a="1"/>
  <c r="C201" i="17" a="1"/>
  <c r="C207" i="17" a="1"/>
  <c r="C213" i="17" a="1"/>
  <c r="C219" i="17" a="1"/>
  <c r="C225" i="17" a="1"/>
  <c r="C231" i="17" a="1"/>
  <c r="C237" i="17" a="1"/>
  <c r="C243" i="17" a="1"/>
  <c r="C249" i="17" a="1"/>
  <c r="C255" i="17" a="1"/>
  <c r="C261" i="17" a="1"/>
  <c r="C267" i="17" a="1"/>
  <c r="C273" i="17" a="1"/>
  <c r="C279" i="17" a="1"/>
  <c r="C285" i="17" a="1"/>
  <c r="C291" i="17" a="1"/>
  <c r="C297" i="17" a="1"/>
  <c r="C303" i="17" a="1"/>
  <c r="C309" i="17" a="1"/>
  <c r="C315" i="17" a="1"/>
  <c r="C321" i="17" a="1"/>
  <c r="C327" i="17" a="1"/>
  <c r="C333" i="17" a="1"/>
  <c r="C339" i="17" a="1"/>
  <c r="C345" i="17" a="1"/>
  <c r="C363" i="17" a="1"/>
  <c r="C369" i="17" a="1"/>
  <c r="C381" i="17" a="1"/>
  <c r="C393" i="17" a="1"/>
  <c r="C365" i="17" a="1"/>
  <c r="C372" i="17" a="1"/>
  <c r="C334" i="17" a="1"/>
  <c r="C358" i="17" a="1"/>
  <c r="C370" i="17" a="1"/>
  <c r="C382" i="17" a="1"/>
  <c r="C377" i="17" a="1"/>
  <c r="C366" i="17" a="1"/>
  <c r="C196" i="17" a="1"/>
  <c r="C202" i="17" a="1"/>
  <c r="C208" i="17" a="1"/>
  <c r="C214" i="17" a="1"/>
  <c r="C220" i="17" a="1"/>
  <c r="C226" i="17" a="1"/>
  <c r="C232" i="17" a="1"/>
  <c r="C238" i="17" a="1"/>
  <c r="C244" i="17" a="1"/>
  <c r="C250" i="17" a="1"/>
  <c r="C256" i="17" a="1"/>
  <c r="C262" i="17" a="1"/>
  <c r="C268" i="17" a="1"/>
  <c r="C274" i="17" a="1"/>
  <c r="C280" i="17" a="1"/>
  <c r="C286" i="17" a="1"/>
  <c r="C292" i="17" a="1"/>
  <c r="C298" i="17" a="1"/>
  <c r="C304" i="17" a="1"/>
  <c r="C310" i="17" a="1"/>
  <c r="C316" i="17" a="1"/>
  <c r="C322" i="17" a="1"/>
  <c r="C328" i="17" a="1"/>
  <c r="C340" i="17" a="1"/>
  <c r="C346" i="17" a="1"/>
  <c r="C352" i="17" a="1"/>
  <c r="C364" i="17" a="1"/>
  <c r="C376" i="17" a="1"/>
  <c r="C383" i="17" a="1"/>
  <c r="C378" i="17" a="1"/>
  <c r="C287" i="17" a="1"/>
  <c r="C323" i="17" a="1"/>
  <c r="C335" i="17" a="1"/>
  <c r="C347" i="17" a="1"/>
  <c r="C371" i="17" a="1"/>
  <c r="C354" i="17" a="1"/>
  <c r="C197" i="17" a="1"/>
  <c r="C203" i="17" a="1"/>
  <c r="C209" i="17" a="1"/>
  <c r="C215" i="17" a="1"/>
  <c r="C221" i="17" a="1"/>
  <c r="C227" i="17" a="1"/>
  <c r="C233" i="17" a="1"/>
  <c r="C239" i="17" a="1"/>
  <c r="C245" i="17" a="1"/>
  <c r="C251" i="17" a="1"/>
  <c r="C257" i="17" a="1"/>
  <c r="C263" i="17" a="1"/>
  <c r="C269" i="17" a="1"/>
  <c r="C275" i="17" a="1"/>
  <c r="C281" i="17" a="1"/>
  <c r="C293" i="17" a="1"/>
  <c r="C299" i="17" a="1"/>
  <c r="C305" i="17" a="1"/>
  <c r="C311" i="17" a="1"/>
  <c r="C317" i="17" a="1"/>
  <c r="C329" i="17" a="1"/>
  <c r="C341" i="17" a="1"/>
  <c r="C353" i="17" a="1"/>
  <c r="C389" i="17" a="1"/>
  <c r="C240" i="17" a="1"/>
  <c r="C288" i="17" a="1"/>
  <c r="C300" i="17" a="1"/>
  <c r="C312" i="17" a="1"/>
  <c r="C324" i="17" a="1"/>
  <c r="C336" i="17" a="1"/>
  <c r="C348" i="17" a="1"/>
  <c r="C390" i="17" a="1"/>
  <c r="C198" i="17" a="1"/>
  <c r="C204" i="17" a="1"/>
  <c r="C210" i="17" a="1"/>
  <c r="C216" i="17" a="1"/>
  <c r="C222" i="17" a="1"/>
  <c r="C228" i="17" a="1"/>
  <c r="C234" i="17" a="1"/>
  <c r="C246" i="17" a="1"/>
  <c r="C252" i="17" a="1"/>
  <c r="C258" i="17" a="1"/>
  <c r="C264" i="17" a="1"/>
  <c r="C270" i="17" a="1"/>
  <c r="C276" i="17" a="1"/>
  <c r="C282" i="17" a="1"/>
  <c r="C294" i="17" a="1"/>
  <c r="C306" i="17" a="1"/>
  <c r="C318" i="17" a="1"/>
  <c r="C330" i="17" a="1"/>
  <c r="C342" i="17" a="1"/>
  <c r="C384" i="17" a="1"/>
  <c r="C199" i="17" a="1"/>
  <c r="C205" i="17" a="1"/>
  <c r="C211" i="17" a="1"/>
  <c r="C217" i="17" a="1"/>
  <c r="C223" i="17" a="1"/>
  <c r="C229" i="17" a="1"/>
  <c r="C235" i="17" a="1"/>
  <c r="C241" i="17" a="1"/>
  <c r="C247" i="17" a="1"/>
  <c r="C253" i="17" a="1"/>
  <c r="C259" i="17" a="1"/>
  <c r="C265" i="17" a="1"/>
  <c r="C271" i="17" a="1"/>
  <c r="C277" i="17" a="1"/>
  <c r="C283" i="17" a="1"/>
  <c r="C289" i="17" a="1"/>
  <c r="C295" i="17" a="1"/>
  <c r="C301" i="17" a="1"/>
  <c r="C307" i="17" a="1"/>
  <c r="C313" i="17" a="1"/>
  <c r="C319" i="17" a="1"/>
  <c r="C325" i="17" a="1"/>
  <c r="C331" i="17" a="1"/>
  <c r="C337" i="17" a="1"/>
  <c r="C343" i="17" a="1"/>
  <c r="C349" i="17" a="1"/>
  <c r="C355" i="17" a="1"/>
  <c r="C361" i="17" a="1"/>
  <c r="C367" i="17" a="1"/>
  <c r="C373" i="17" a="1"/>
  <c r="C379" i="17" a="1"/>
  <c r="C385" i="17" a="1"/>
  <c r="C391" i="17" a="1"/>
  <c r="F29" i="18" l="1"/>
  <c r="F12" i="18"/>
  <c r="F4" i="18"/>
  <c r="F6" i="18"/>
  <c r="F30" i="18"/>
  <c r="F28" i="18"/>
  <c r="F19" i="18"/>
  <c r="F8" i="18"/>
  <c r="F14" i="18"/>
  <c r="F20" i="18"/>
  <c r="F26" i="18"/>
  <c r="G26" i="18" s="1"/>
  <c r="F7" i="18"/>
  <c r="F9" i="18"/>
  <c r="F22" i="18"/>
  <c r="F13" i="18"/>
  <c r="F10" i="18"/>
  <c r="F16" i="18"/>
  <c r="F5" i="18"/>
  <c r="F11" i="18"/>
  <c r="F17" i="18"/>
  <c r="F23" i="18"/>
  <c r="F25" i="18"/>
  <c r="Y362" i="17"/>
  <c r="Y275" i="17"/>
  <c r="Y95" i="17"/>
  <c r="Y272" i="17"/>
  <c r="Y390" i="17"/>
  <c r="Y357" i="17"/>
  <c r="Y267" i="17"/>
  <c r="Y11" i="17"/>
  <c r="Y386" i="17"/>
  <c r="Y311" i="17"/>
  <c r="Y257" i="17"/>
  <c r="Y71" i="17"/>
  <c r="Y382" i="17"/>
  <c r="Y347" i="17"/>
  <c r="Y308" i="17"/>
  <c r="Y254" i="17"/>
  <c r="Y200" i="17"/>
  <c r="Y326" i="17"/>
  <c r="Y221" i="17"/>
  <c r="Y23" i="17"/>
  <c r="Y218" i="17"/>
  <c r="Y321" i="17"/>
  <c r="Y213" i="17"/>
  <c r="Y83" i="17"/>
  <c r="Y387" i="17"/>
  <c r="Y352" i="17"/>
  <c r="Y203" i="17"/>
  <c r="Y143" i="17"/>
  <c r="Y379" i="17"/>
  <c r="Y344" i="17"/>
  <c r="Y303" i="17"/>
  <c r="Y249" i="17"/>
  <c r="Y195" i="17"/>
  <c r="Y131" i="17"/>
  <c r="Y59" i="17"/>
  <c r="Y378" i="17"/>
  <c r="Y374" i="17"/>
  <c r="Y339" i="17"/>
  <c r="Y293" i="17"/>
  <c r="Y239" i="17"/>
  <c r="Y185" i="17"/>
  <c r="Y119" i="17"/>
  <c r="Y47" i="17"/>
  <c r="Y290" i="17"/>
  <c r="Y236" i="17"/>
  <c r="Y182" i="17"/>
  <c r="Y370" i="17"/>
  <c r="Y334" i="17"/>
  <c r="Y285" i="17"/>
  <c r="Y231" i="17"/>
  <c r="Y176" i="17"/>
  <c r="Y107" i="17"/>
  <c r="Y35" i="17"/>
  <c r="Y365" i="17"/>
  <c r="Y329" i="17"/>
  <c r="Y316" i="17"/>
  <c r="Y262" i="17"/>
  <c r="Y208" i="17"/>
  <c r="Y149" i="17"/>
  <c r="Y125" i="17"/>
  <c r="Y89" i="17"/>
  <c r="Y65" i="17"/>
  <c r="Y41" i="17"/>
  <c r="Y17" i="17"/>
  <c r="Y361" i="17"/>
  <c r="Y325" i="17"/>
  <c r="Y289" i="17"/>
  <c r="Y271" i="17"/>
  <c r="Y235" i="17"/>
  <c r="Y199" i="17"/>
  <c r="Y179" i="17"/>
  <c r="Y359" i="17"/>
  <c r="Y333" i="17"/>
  <c r="Y315" i="17"/>
  <c r="Y297" i="17"/>
  <c r="Y269" i="17"/>
  <c r="Y251" i="17"/>
  <c r="Y233" i="17"/>
  <c r="Y207" i="17"/>
  <c r="Y189" i="17"/>
  <c r="Y148" i="17"/>
  <c r="Y112" i="17"/>
  <c r="Y88" i="17"/>
  <c r="Y64" i="17"/>
  <c r="Y40" i="17"/>
  <c r="Y4" i="17"/>
  <c r="Y384" i="17"/>
  <c r="Y368" i="17"/>
  <c r="Y314" i="17"/>
  <c r="Y296" i="17"/>
  <c r="Y260" i="17"/>
  <c r="Y224" i="17"/>
  <c r="Y178" i="17"/>
  <c r="Y158" i="17"/>
  <c r="Y383" i="17"/>
  <c r="Y358" i="17"/>
  <c r="Y340" i="17"/>
  <c r="Y322" i="17"/>
  <c r="Y304" i="17"/>
  <c r="Y286" i="17"/>
  <c r="Y268" i="17"/>
  <c r="Y250" i="17"/>
  <c r="Y232" i="17"/>
  <c r="Y214" i="17"/>
  <c r="Y196" i="17"/>
  <c r="Y146" i="17"/>
  <c r="Y134" i="17"/>
  <c r="Y122" i="17"/>
  <c r="Y110" i="17"/>
  <c r="Y98" i="17"/>
  <c r="Y86" i="17"/>
  <c r="Y74" i="17"/>
  <c r="Y62" i="17"/>
  <c r="Y50" i="17"/>
  <c r="Y38" i="17"/>
  <c r="Y26" i="17"/>
  <c r="Y14" i="17"/>
  <c r="Y298" i="17"/>
  <c r="Y244" i="17"/>
  <c r="Y226" i="17"/>
  <c r="Y190" i="17"/>
  <c r="Y160" i="17"/>
  <c r="Y137" i="17"/>
  <c r="Y101" i="17"/>
  <c r="Y77" i="17"/>
  <c r="Y53" i="17"/>
  <c r="Y5" i="17"/>
  <c r="Y307" i="17"/>
  <c r="Y253" i="17"/>
  <c r="Y217" i="17"/>
  <c r="Y170" i="17"/>
  <c r="Y393" i="17"/>
  <c r="Y369" i="17"/>
  <c r="Y351" i="17"/>
  <c r="Y323" i="17"/>
  <c r="Y305" i="17"/>
  <c r="Y279" i="17"/>
  <c r="Y261" i="17"/>
  <c r="Y243" i="17"/>
  <c r="Y215" i="17"/>
  <c r="Y197" i="17"/>
  <c r="Y159" i="17"/>
  <c r="Y124" i="17"/>
  <c r="Y100" i="17"/>
  <c r="Y76" i="17"/>
  <c r="Y52" i="17"/>
  <c r="Y16" i="17"/>
  <c r="Y392" i="17"/>
  <c r="Y376" i="17"/>
  <c r="Y350" i="17"/>
  <c r="Y332" i="17"/>
  <c r="Y278" i="17"/>
  <c r="Y242" i="17"/>
  <c r="Y206" i="17"/>
  <c r="Y188" i="17"/>
  <c r="Y167" i="17"/>
  <c r="Y391" i="17"/>
  <c r="Y375" i="17"/>
  <c r="Y367" i="17"/>
  <c r="Y349" i="17"/>
  <c r="Y331" i="17"/>
  <c r="Y313" i="17"/>
  <c r="Y295" i="17"/>
  <c r="Y277" i="17"/>
  <c r="Y259" i="17"/>
  <c r="Y241" i="17"/>
  <c r="Y223" i="17"/>
  <c r="Y205" i="17"/>
  <c r="Y187" i="17"/>
  <c r="Y177" i="17"/>
  <c r="Y166" i="17"/>
  <c r="Y155" i="17"/>
  <c r="Y356" i="17"/>
  <c r="Y338" i="17"/>
  <c r="Y302" i="17"/>
  <c r="Y284" i="17"/>
  <c r="Y248" i="17"/>
  <c r="Y230" i="17"/>
  <c r="Y194" i="17"/>
  <c r="Y154" i="17"/>
  <c r="Y381" i="17"/>
  <c r="Y364" i="17"/>
  <c r="Y328" i="17"/>
  <c r="Y310" i="17"/>
  <c r="Y292" i="17"/>
  <c r="Y256" i="17"/>
  <c r="Y238" i="17"/>
  <c r="Y220" i="17"/>
  <c r="Y202" i="17"/>
  <c r="Y173" i="17"/>
  <c r="Y164" i="17"/>
  <c r="Y142" i="17"/>
  <c r="Y130" i="17"/>
  <c r="Y118" i="17"/>
  <c r="Y106" i="17"/>
  <c r="Y94" i="17"/>
  <c r="Y82" i="17"/>
  <c r="Y70" i="17"/>
  <c r="Y58" i="17"/>
  <c r="Y46" i="17"/>
  <c r="Y34" i="17"/>
  <c r="Y22" i="17"/>
  <c r="Y10" i="17"/>
  <c r="Y389" i="17"/>
  <c r="Y320" i="17"/>
  <c r="Y266" i="17"/>
  <c r="Y212" i="17"/>
  <c r="Y165" i="17"/>
  <c r="Y373" i="17"/>
  <c r="Y346" i="17"/>
  <c r="Y274" i="17"/>
  <c r="Y184" i="17"/>
  <c r="Y388" i="17"/>
  <c r="Y380" i="17"/>
  <c r="Y372" i="17"/>
  <c r="Y355" i="17"/>
  <c r="Y337" i="17"/>
  <c r="Y319" i="17"/>
  <c r="Y301" i="17"/>
  <c r="Y283" i="17"/>
  <c r="Y265" i="17"/>
  <c r="Y247" i="17"/>
  <c r="Y229" i="17"/>
  <c r="Y211" i="17"/>
  <c r="Y193" i="17"/>
  <c r="Y153" i="17"/>
  <c r="Y371" i="17"/>
  <c r="Y363" i="17"/>
  <c r="Y353" i="17"/>
  <c r="Y345" i="17"/>
  <c r="Y335" i="17"/>
  <c r="Y327" i="17"/>
  <c r="Y317" i="17"/>
  <c r="Y309" i="17"/>
  <c r="Y299" i="17"/>
  <c r="Y291" i="17"/>
  <c r="Y281" i="17"/>
  <c r="Y273" i="17"/>
  <c r="Y263" i="17"/>
  <c r="Y255" i="17"/>
  <c r="Y245" i="17"/>
  <c r="Y237" i="17"/>
  <c r="Y227" i="17"/>
  <c r="Y219" i="17"/>
  <c r="Y209" i="17"/>
  <c r="Y201" i="17"/>
  <c r="Y191" i="17"/>
  <c r="Y183" i="17"/>
  <c r="Y172" i="17"/>
  <c r="Y161" i="17"/>
  <c r="Y152" i="17"/>
  <c r="Y140" i="17"/>
  <c r="Y128" i="17"/>
  <c r="Y116" i="17"/>
  <c r="Y104" i="17"/>
  <c r="Y92" i="17"/>
  <c r="Y80" i="17"/>
  <c r="Y68" i="17"/>
  <c r="Y56" i="17"/>
  <c r="Y44" i="17"/>
  <c r="Y32" i="17"/>
  <c r="Y20" i="17"/>
  <c r="Y8" i="17"/>
  <c r="Y280" i="17"/>
  <c r="Y171" i="17"/>
  <c r="Y113" i="17"/>
  <c r="Y29" i="17"/>
  <c r="Y377" i="17"/>
  <c r="Y343" i="17"/>
  <c r="Y385" i="17"/>
  <c r="Y341" i="17"/>
  <c r="Y287" i="17"/>
  <c r="Y225" i="17"/>
  <c r="Y136" i="17"/>
  <c r="Y28" i="17"/>
  <c r="Y129" i="17"/>
  <c r="Y147" i="17"/>
  <c r="Y141" i="17"/>
  <c r="Y135" i="17"/>
  <c r="Y123" i="17"/>
  <c r="Y117" i="17"/>
  <c r="Y111" i="17"/>
  <c r="Y105" i="17"/>
  <c r="Y99" i="17"/>
  <c r="Y93" i="17"/>
  <c r="Y87" i="17"/>
  <c r="Y81" i="17"/>
  <c r="Y75" i="17"/>
  <c r="Y69" i="17"/>
  <c r="Y63" i="17"/>
  <c r="Y57" i="17"/>
  <c r="Y51" i="17"/>
  <c r="Y45" i="17"/>
  <c r="Y39" i="17"/>
  <c r="Y33" i="17"/>
  <c r="Y27" i="17"/>
  <c r="Y21" i="17"/>
  <c r="Y15" i="17"/>
  <c r="Y9" i="17"/>
  <c r="Y181" i="17"/>
  <c r="Y175" i="17"/>
  <c r="Y169" i="17"/>
  <c r="Y163" i="17"/>
  <c r="Y157" i="17"/>
  <c r="Y151" i="17"/>
  <c r="Y145" i="17"/>
  <c r="Y139" i="17"/>
  <c r="Y133" i="17"/>
  <c r="Y127" i="17"/>
  <c r="Y121" i="17"/>
  <c r="Y115" i="17"/>
  <c r="Y109" i="17"/>
  <c r="Y103" i="17"/>
  <c r="Y97" i="17"/>
  <c r="Y91" i="17"/>
  <c r="Y85" i="17"/>
  <c r="Y79" i="17"/>
  <c r="Y73" i="17"/>
  <c r="Y67" i="17"/>
  <c r="Y61" i="17"/>
  <c r="Y55" i="17"/>
  <c r="Y49" i="17"/>
  <c r="Y43" i="17"/>
  <c r="Y37" i="17"/>
  <c r="Y31" i="17"/>
  <c r="Y25" i="17"/>
  <c r="Y19" i="17"/>
  <c r="Y13" i="17"/>
  <c r="Y7" i="17"/>
  <c r="Y366" i="17"/>
  <c r="Y354" i="17"/>
  <c r="Y336" i="17"/>
  <c r="Y324" i="17"/>
  <c r="Y306" i="17"/>
  <c r="Y294" i="17"/>
  <c r="Y282" i="17"/>
  <c r="Y270" i="17"/>
  <c r="Y258" i="17"/>
  <c r="Y240" i="17"/>
  <c r="Y228" i="17"/>
  <c r="Y210" i="17"/>
  <c r="Y198" i="17"/>
  <c r="Y180" i="17"/>
  <c r="Y168" i="17"/>
  <c r="Y156" i="17"/>
  <c r="Y144" i="17"/>
  <c r="Y132" i="17"/>
  <c r="Y126" i="17"/>
  <c r="Y120" i="17"/>
  <c r="Y108" i="17"/>
  <c r="Y102" i="17"/>
  <c r="Y96" i="17"/>
  <c r="Y90" i="17"/>
  <c r="Y84" i="17"/>
  <c r="Y78" i="17"/>
  <c r="Y72" i="17"/>
  <c r="Y66" i="17"/>
  <c r="Y60" i="17"/>
  <c r="Y54" i="17"/>
  <c r="Y42" i="17"/>
  <c r="Y36" i="17"/>
  <c r="Y30" i="17"/>
  <c r="Y24" i="17"/>
  <c r="Y18" i="17"/>
  <c r="Y12" i="17"/>
  <c r="Y6" i="17"/>
  <c r="Y360" i="17"/>
  <c r="Y348" i="17"/>
  <c r="Y342" i="17"/>
  <c r="Y330" i="17"/>
  <c r="Y318" i="17"/>
  <c r="Y312" i="17"/>
  <c r="Y300" i="17"/>
  <c r="Y288" i="17"/>
  <c r="Y276" i="17"/>
  <c r="Y264" i="17"/>
  <c r="Y252" i="17"/>
  <c r="Y246" i="17"/>
  <c r="Y234" i="17"/>
  <c r="Y222" i="17"/>
  <c r="Y216" i="17"/>
  <c r="Y204" i="17"/>
  <c r="Y192" i="17"/>
  <c r="Y186" i="17"/>
  <c r="Y174" i="17"/>
  <c r="Y162" i="17"/>
  <c r="Y150" i="17"/>
  <c r="Y138" i="17"/>
  <c r="Y114" i="17"/>
  <c r="Y48" i="17"/>
  <c r="Y3" i="17"/>
  <c r="X335" i="17"/>
  <c r="X251" i="17"/>
  <c r="X179" i="17"/>
  <c r="X370" i="17"/>
  <c r="X311" i="17"/>
  <c r="X334" i="17"/>
  <c r="X245" i="17"/>
  <c r="X173" i="17"/>
  <c r="X382" i="17"/>
  <c r="X365" i="17"/>
  <c r="X329" i="17"/>
  <c r="X305" i="17"/>
  <c r="X239" i="17"/>
  <c r="X203" i="17"/>
  <c r="X167" i="17"/>
  <c r="X131" i="17"/>
  <c r="X381" i="17"/>
  <c r="X387" i="17"/>
  <c r="X353" i="17"/>
  <c r="X287" i="17"/>
  <c r="X215" i="17"/>
  <c r="X143" i="17"/>
  <c r="X383" i="17"/>
  <c r="X352" i="17"/>
  <c r="X281" i="17"/>
  <c r="X209" i="17"/>
  <c r="X137" i="17"/>
  <c r="X369" i="17"/>
  <c r="X347" i="17"/>
  <c r="X275" i="17"/>
  <c r="X377" i="17"/>
  <c r="X364" i="17"/>
  <c r="X346" i="17"/>
  <c r="X269" i="17"/>
  <c r="X233" i="17"/>
  <c r="X197" i="17"/>
  <c r="X161" i="17"/>
  <c r="X125" i="17"/>
  <c r="X393" i="17"/>
  <c r="X323" i="17"/>
  <c r="X299" i="17"/>
  <c r="X389" i="17"/>
  <c r="X376" i="17"/>
  <c r="X359" i="17"/>
  <c r="X341" i="17"/>
  <c r="X263" i="17"/>
  <c r="X227" i="17"/>
  <c r="X191" i="17"/>
  <c r="X155" i="17"/>
  <c r="X119" i="17"/>
  <c r="X388" i="17"/>
  <c r="X375" i="17"/>
  <c r="X358" i="17"/>
  <c r="X340" i="17"/>
  <c r="X317" i="17"/>
  <c r="X293" i="17"/>
  <c r="X257" i="17"/>
  <c r="X221" i="17"/>
  <c r="X185" i="17"/>
  <c r="X149" i="17"/>
  <c r="X371" i="17"/>
  <c r="X351" i="17"/>
  <c r="X303" i="17"/>
  <c r="X249" i="17"/>
  <c r="X213" i="17"/>
  <c r="X189" i="17"/>
  <c r="X177" i="17"/>
  <c r="X153" i="17"/>
  <c r="X129" i="17"/>
  <c r="X111" i="17"/>
  <c r="X99" i="17"/>
  <c r="X87" i="17"/>
  <c r="X75" i="17"/>
  <c r="X63" i="17"/>
  <c r="X45" i="17"/>
  <c r="X39" i="17"/>
  <c r="X33" i="17"/>
  <c r="X27" i="17"/>
  <c r="X21" i="17"/>
  <c r="X15" i="17"/>
  <c r="X363" i="17"/>
  <c r="X321" i="17"/>
  <c r="X279" i="17"/>
  <c r="X243" i="17"/>
  <c r="X219" i="17"/>
  <c r="X195" i="17"/>
  <c r="X183" i="17"/>
  <c r="X165" i="17"/>
  <c r="X135" i="17"/>
  <c r="X105" i="17"/>
  <c r="X93" i="17"/>
  <c r="X81" i="17"/>
  <c r="X69" i="17"/>
  <c r="X9" i="17"/>
  <c r="X345" i="17"/>
  <c r="X309" i="17"/>
  <c r="X285" i="17"/>
  <c r="X261" i="17"/>
  <c r="X231" i="17"/>
  <c r="X201" i="17"/>
  <c r="X159" i="17"/>
  <c r="X57" i="17"/>
  <c r="X392" i="17"/>
  <c r="X386" i="17"/>
  <c r="X380" i="17"/>
  <c r="X368" i="17"/>
  <c r="X362" i="17"/>
  <c r="X356" i="17"/>
  <c r="X350" i="17"/>
  <c r="X344" i="17"/>
  <c r="X338" i="17"/>
  <c r="X332" i="17"/>
  <c r="X320" i="17"/>
  <c r="X314" i="17"/>
  <c r="X308" i="17"/>
  <c r="X302" i="17"/>
  <c r="X296" i="17"/>
  <c r="X290" i="17"/>
  <c r="X284" i="17"/>
  <c r="X278" i="17"/>
  <c r="X272" i="17"/>
  <c r="X266" i="17"/>
  <c r="X260" i="17"/>
  <c r="X254" i="17"/>
  <c r="X248" i="17"/>
  <c r="X242" i="17"/>
  <c r="X236" i="17"/>
  <c r="X230" i="17"/>
  <c r="X224" i="17"/>
  <c r="X218" i="17"/>
  <c r="X212" i="17"/>
  <c r="X206" i="17"/>
  <c r="X200" i="17"/>
  <c r="X194" i="17"/>
  <c r="X188" i="17"/>
  <c r="X182" i="17"/>
  <c r="X176" i="17"/>
  <c r="X170" i="17"/>
  <c r="X164" i="17"/>
  <c r="X158" i="17"/>
  <c r="X152" i="17"/>
  <c r="X146" i="17"/>
  <c r="X140" i="17"/>
  <c r="X134" i="17"/>
  <c r="X128" i="17"/>
  <c r="X122" i="17"/>
  <c r="X116" i="17"/>
  <c r="X110" i="17"/>
  <c r="X104" i="17"/>
  <c r="X98" i="17"/>
  <c r="X92" i="17"/>
  <c r="X86" i="17"/>
  <c r="X80" i="17"/>
  <c r="X74" i="17"/>
  <c r="X68" i="17"/>
  <c r="X62" i="17"/>
  <c r="X56" i="17"/>
  <c r="X50" i="17"/>
  <c r="X44" i="17"/>
  <c r="X38" i="17"/>
  <c r="X32" i="17"/>
  <c r="X26" i="17"/>
  <c r="X20" i="17"/>
  <c r="X14" i="17"/>
  <c r="X8" i="17"/>
  <c r="X357" i="17"/>
  <c r="X315" i="17"/>
  <c r="X273" i="17"/>
  <c r="X237" i="17"/>
  <c r="X207" i="17"/>
  <c r="X171" i="17"/>
  <c r="X51" i="17"/>
  <c r="X374" i="17"/>
  <c r="X326" i="17"/>
  <c r="X327" i="17"/>
  <c r="X255" i="17"/>
  <c r="X147" i="17"/>
  <c r="X391" i="17"/>
  <c r="X367" i="17"/>
  <c r="X343" i="17"/>
  <c r="X319" i="17"/>
  <c r="X295" i="17"/>
  <c r="X265" i="17"/>
  <c r="X241" i="17"/>
  <c r="X223" i="17"/>
  <c r="X211" i="17"/>
  <c r="X205" i="17"/>
  <c r="X193" i="17"/>
  <c r="X175" i="17"/>
  <c r="X163" i="17"/>
  <c r="X151" i="17"/>
  <c r="X139" i="17"/>
  <c r="X127" i="17"/>
  <c r="X115" i="17"/>
  <c r="X103" i="17"/>
  <c r="X91" i="17"/>
  <c r="X73" i="17"/>
  <c r="X55" i="17"/>
  <c r="X13" i="17"/>
  <c r="X333" i="17"/>
  <c r="X267" i="17"/>
  <c r="X141" i="17"/>
  <c r="X379" i="17"/>
  <c r="X349" i="17"/>
  <c r="X325" i="17"/>
  <c r="X301" i="17"/>
  <c r="X277" i="17"/>
  <c r="X253" i="17"/>
  <c r="X235" i="17"/>
  <c r="X217" i="17"/>
  <c r="X199" i="17"/>
  <c r="X169" i="17"/>
  <c r="X157" i="17"/>
  <c r="X145" i="17"/>
  <c r="X133" i="17"/>
  <c r="X121" i="17"/>
  <c r="X109" i="17"/>
  <c r="X97" i="17"/>
  <c r="X85" i="17"/>
  <c r="X79" i="17"/>
  <c r="X67" i="17"/>
  <c r="X61" i="17"/>
  <c r="X49" i="17"/>
  <c r="X43" i="17"/>
  <c r="X37" i="17"/>
  <c r="X31" i="17"/>
  <c r="X25" i="17"/>
  <c r="X19" i="17"/>
  <c r="X7" i="17"/>
  <c r="X297" i="17"/>
  <c r="X123" i="17"/>
  <c r="X385" i="17"/>
  <c r="X361" i="17"/>
  <c r="X337" i="17"/>
  <c r="X313" i="17"/>
  <c r="X283" i="17"/>
  <c r="X259" i="17"/>
  <c r="X187" i="17"/>
  <c r="X390" i="17"/>
  <c r="X378" i="17"/>
  <c r="X366" i="17"/>
  <c r="X354" i="17"/>
  <c r="X336" i="17"/>
  <c r="X318" i="17"/>
  <c r="X306" i="17"/>
  <c r="X294" i="17"/>
  <c r="X282" i="17"/>
  <c r="X264" i="17"/>
  <c r="X252" i="17"/>
  <c r="X240" i="17"/>
  <c r="X228" i="17"/>
  <c r="X216" i="17"/>
  <c r="X210" i="17"/>
  <c r="X204" i="17"/>
  <c r="X198" i="17"/>
  <c r="X192" i="17"/>
  <c r="X186" i="17"/>
  <c r="X180" i="17"/>
  <c r="X168" i="17"/>
  <c r="X162" i="17"/>
  <c r="X156" i="17"/>
  <c r="X150" i="17"/>
  <c r="X144" i="17"/>
  <c r="X138" i="17"/>
  <c r="X132" i="17"/>
  <c r="X126" i="17"/>
  <c r="X120" i="17"/>
  <c r="X114" i="17"/>
  <c r="X108" i="17"/>
  <c r="X102" i="17"/>
  <c r="X96" i="17"/>
  <c r="X90" i="17"/>
  <c r="X84" i="17"/>
  <c r="X78" i="17"/>
  <c r="X72" i="17"/>
  <c r="X66" i="17"/>
  <c r="X60" i="17"/>
  <c r="X54" i="17"/>
  <c r="X48" i="17"/>
  <c r="X42" i="17"/>
  <c r="X36" i="17"/>
  <c r="X30" i="17"/>
  <c r="X24" i="17"/>
  <c r="X18" i="17"/>
  <c r="X12" i="17"/>
  <c r="X6" i="17"/>
  <c r="X339" i="17"/>
  <c r="X291" i="17"/>
  <c r="X225" i="17"/>
  <c r="X117" i="17"/>
  <c r="X373" i="17"/>
  <c r="X355" i="17"/>
  <c r="X331" i="17"/>
  <c r="X307" i="17"/>
  <c r="X289" i="17"/>
  <c r="X271" i="17"/>
  <c r="X247" i="17"/>
  <c r="X229" i="17"/>
  <c r="X181" i="17"/>
  <c r="X384" i="17"/>
  <c r="X372" i="17"/>
  <c r="X360" i="17"/>
  <c r="X348" i="17"/>
  <c r="X342" i="17"/>
  <c r="X330" i="17"/>
  <c r="X324" i="17"/>
  <c r="X312" i="17"/>
  <c r="X300" i="17"/>
  <c r="X288" i="17"/>
  <c r="X276" i="17"/>
  <c r="X270" i="17"/>
  <c r="X258" i="17"/>
  <c r="X246" i="17"/>
  <c r="X234" i="17"/>
  <c r="X222" i="17"/>
  <c r="X174" i="17"/>
  <c r="X113" i="17"/>
  <c r="X107" i="17"/>
  <c r="X101" i="17"/>
  <c r="X95" i="17"/>
  <c r="X89" i="17"/>
  <c r="X83" i="17"/>
  <c r="X77" i="17"/>
  <c r="X71" i="17"/>
  <c r="X65" i="17"/>
  <c r="X59" i="17"/>
  <c r="X53" i="17"/>
  <c r="X47" i="17"/>
  <c r="X41" i="17"/>
  <c r="X35" i="17"/>
  <c r="X29" i="17"/>
  <c r="X23" i="17"/>
  <c r="X17" i="17"/>
  <c r="X11" i="17"/>
  <c r="X5" i="17"/>
  <c r="X328" i="17"/>
  <c r="X322" i="17"/>
  <c r="X316" i="17"/>
  <c r="X310" i="17"/>
  <c r="X304" i="17"/>
  <c r="X298" i="17"/>
  <c r="X292" i="17"/>
  <c r="X286" i="17"/>
  <c r="X280" i="17"/>
  <c r="X274" i="17"/>
  <c r="X268" i="17"/>
  <c r="X262" i="17"/>
  <c r="X256" i="17"/>
  <c r="X250" i="17"/>
  <c r="X244" i="17"/>
  <c r="X238" i="17"/>
  <c r="X232" i="17"/>
  <c r="X226" i="17"/>
  <c r="X220" i="17"/>
  <c r="X214" i="17"/>
  <c r="X208" i="17"/>
  <c r="X202" i="17"/>
  <c r="X196" i="17"/>
  <c r="X190" i="17"/>
  <c r="X184" i="17"/>
  <c r="X178" i="17"/>
  <c r="X172" i="17"/>
  <c r="X166" i="17"/>
  <c r="X160" i="17"/>
  <c r="X154" i="17"/>
  <c r="X148" i="17"/>
  <c r="X142" i="17"/>
  <c r="X136" i="17"/>
  <c r="X130" i="17"/>
  <c r="X124" i="17"/>
  <c r="X118" i="17"/>
  <c r="X112" i="17"/>
  <c r="X106" i="17"/>
  <c r="X100" i="17"/>
  <c r="X94" i="17"/>
  <c r="X88" i="17"/>
  <c r="X82" i="17"/>
  <c r="X76" i="17"/>
  <c r="X70" i="17"/>
  <c r="X64" i="17"/>
  <c r="X58" i="17"/>
  <c r="X52" i="17"/>
  <c r="X46" i="17"/>
  <c r="X40" i="17"/>
  <c r="X34" i="17"/>
  <c r="X28" i="17"/>
  <c r="X22" i="17"/>
  <c r="X16" i="17"/>
  <c r="X10" i="17"/>
  <c r="X4" i="17"/>
  <c r="X3" i="17"/>
  <c r="W387" i="17"/>
  <c r="W333" i="17"/>
  <c r="W297" i="17"/>
  <c r="W261" i="17"/>
  <c r="W225" i="17"/>
  <c r="W195" i="17"/>
  <c r="W183" i="17"/>
  <c r="W165" i="17"/>
  <c r="W87" i="17"/>
  <c r="W345" i="17"/>
  <c r="W303" i="17"/>
  <c r="W267" i="17"/>
  <c r="W231" i="17"/>
  <c r="W201" i="17"/>
  <c r="W189" i="17"/>
  <c r="W177" i="17"/>
  <c r="W171" i="17"/>
  <c r="W147" i="17"/>
  <c r="W117" i="17"/>
  <c r="W111" i="17"/>
  <c r="W105" i="17"/>
  <c r="W99" i="17"/>
  <c r="W93" i="17"/>
  <c r="W81" i="17"/>
  <c r="W75" i="17"/>
  <c r="W69" i="17"/>
  <c r="W63" i="17"/>
  <c r="W57" i="17"/>
  <c r="W51" i="17"/>
  <c r="W45" i="17"/>
  <c r="W39" i="17"/>
  <c r="W33" i="17"/>
  <c r="W27" i="17"/>
  <c r="W21" i="17"/>
  <c r="W15" i="17"/>
  <c r="W9" i="17"/>
  <c r="W393" i="17"/>
  <c r="W321" i="17"/>
  <c r="W243" i="17"/>
  <c r="W141" i="17"/>
  <c r="W386" i="17"/>
  <c r="W362" i="17"/>
  <c r="W344" i="17"/>
  <c r="W332" i="17"/>
  <c r="W320" i="17"/>
  <c r="W308" i="17"/>
  <c r="W296" i="17"/>
  <c r="W284" i="17"/>
  <c r="W272" i="17"/>
  <c r="W260" i="17"/>
  <c r="W248" i="17"/>
  <c r="W242" i="17"/>
  <c r="W230" i="17"/>
  <c r="W224" i="17"/>
  <c r="W212" i="17"/>
  <c r="W206" i="17"/>
  <c r="W200" i="17"/>
  <c r="W194" i="17"/>
  <c r="W188" i="17"/>
  <c r="W182" i="17"/>
  <c r="W176" i="17"/>
  <c r="W170" i="17"/>
  <c r="W164" i="17"/>
  <c r="W152" i="17"/>
  <c r="W146" i="17"/>
  <c r="W140" i="17"/>
  <c r="W134" i="17"/>
  <c r="W128" i="17"/>
  <c r="W122" i="17"/>
  <c r="W116" i="17"/>
  <c r="W110" i="17"/>
  <c r="W104" i="17"/>
  <c r="W98" i="17"/>
  <c r="W92" i="17"/>
  <c r="W86" i="17"/>
  <c r="W80" i="17"/>
  <c r="W74" i="17"/>
  <c r="W68" i="17"/>
  <c r="W62" i="17"/>
  <c r="W56" i="17"/>
  <c r="W50" i="17"/>
  <c r="W44" i="17"/>
  <c r="W38" i="17"/>
  <c r="W32" i="17"/>
  <c r="W26" i="17"/>
  <c r="W20" i="17"/>
  <c r="W14" i="17"/>
  <c r="W8" i="17"/>
  <c r="W357" i="17"/>
  <c r="W315" i="17"/>
  <c r="W273" i="17"/>
  <c r="W255" i="17"/>
  <c r="W207" i="17"/>
  <c r="W135" i="17"/>
  <c r="W368" i="17"/>
  <c r="W350" i="17"/>
  <c r="W338" i="17"/>
  <c r="W326" i="17"/>
  <c r="W314" i="17"/>
  <c r="W302" i="17"/>
  <c r="W290" i="17"/>
  <c r="W278" i="17"/>
  <c r="W266" i="17"/>
  <c r="W254" i="17"/>
  <c r="W236" i="17"/>
  <c r="W218" i="17"/>
  <c r="W158" i="17"/>
  <c r="W375" i="17"/>
  <c r="W327" i="17"/>
  <c r="W279" i="17"/>
  <c r="W237" i="17"/>
  <c r="W153" i="17"/>
  <c r="W392" i="17"/>
  <c r="W391" i="17"/>
  <c r="W379" i="17"/>
  <c r="W367" i="17"/>
  <c r="W355" i="17"/>
  <c r="W343" i="17"/>
  <c r="W331" i="17"/>
  <c r="W319" i="17"/>
  <c r="W307" i="17"/>
  <c r="W295" i="17"/>
  <c r="W289" i="17"/>
  <c r="W283" i="17"/>
  <c r="W271" i="17"/>
  <c r="W265" i="17"/>
  <c r="W259" i="17"/>
  <c r="W253" i="17"/>
  <c r="W247" i="17"/>
  <c r="W241" i="17"/>
  <c r="W235" i="17"/>
  <c r="W229" i="17"/>
  <c r="W217" i="17"/>
  <c r="W211" i="17"/>
  <c r="W205" i="17"/>
  <c r="W199" i="17"/>
  <c r="W193" i="17"/>
  <c r="W187" i="17"/>
  <c r="W181" i="17"/>
  <c r="W175" i="17"/>
  <c r="W169" i="17"/>
  <c r="W163" i="17"/>
  <c r="W157" i="17"/>
  <c r="W151" i="17"/>
  <c r="W145" i="17"/>
  <c r="W139" i="17"/>
  <c r="W133" i="17"/>
  <c r="W127" i="17"/>
  <c r="W121" i="17"/>
  <c r="W115" i="17"/>
  <c r="W109" i="17"/>
  <c r="W103" i="17"/>
  <c r="W97" i="17"/>
  <c r="W91" i="17"/>
  <c r="W85" i="17"/>
  <c r="W79" i="17"/>
  <c r="W73" i="17"/>
  <c r="W67" i="17"/>
  <c r="W61" i="17"/>
  <c r="W55" i="17"/>
  <c r="W49" i="17"/>
  <c r="W43" i="17"/>
  <c r="W37" i="17"/>
  <c r="W31" i="17"/>
  <c r="W25" i="17"/>
  <c r="W19" i="17"/>
  <c r="W13" i="17"/>
  <c r="W7" i="17"/>
  <c r="W381" i="17"/>
  <c r="W309" i="17"/>
  <c r="W249" i="17"/>
  <c r="W159" i="17"/>
  <c r="W356" i="17"/>
  <c r="W385" i="17"/>
  <c r="W373" i="17"/>
  <c r="W361" i="17"/>
  <c r="W349" i="17"/>
  <c r="W337" i="17"/>
  <c r="W325" i="17"/>
  <c r="W313" i="17"/>
  <c r="W301" i="17"/>
  <c r="W277" i="17"/>
  <c r="W223" i="17"/>
  <c r="W363" i="17"/>
  <c r="W291" i="17"/>
  <c r="W219" i="17"/>
  <c r="W123" i="17"/>
  <c r="W374" i="17"/>
  <c r="W384" i="17"/>
  <c r="W372" i="17"/>
  <c r="W360" i="17"/>
  <c r="W348" i="17"/>
  <c r="W336" i="17"/>
  <c r="W324" i="17"/>
  <c r="W312" i="17"/>
  <c r="W300" i="17"/>
  <c r="W288" i="17"/>
  <c r="W276" i="17"/>
  <c r="W264" i="17"/>
  <c r="W252" i="17"/>
  <c r="W246" i="17"/>
  <c r="W234" i="17"/>
  <c r="W228" i="17"/>
  <c r="W222" i="17"/>
  <c r="W216" i="17"/>
  <c r="W210" i="17"/>
  <c r="W198" i="17"/>
  <c r="W192" i="17"/>
  <c r="W186" i="17"/>
  <c r="W180" i="17"/>
  <c r="W174" i="17"/>
  <c r="W168" i="17"/>
  <c r="W162" i="17"/>
  <c r="W156" i="17"/>
  <c r="W150" i="17"/>
  <c r="W144" i="17"/>
  <c r="W138" i="17"/>
  <c r="W132" i="17"/>
  <c r="W126" i="17"/>
  <c r="W120" i="17"/>
  <c r="W114" i="17"/>
  <c r="W108" i="17"/>
  <c r="W102" i="17"/>
  <c r="W96" i="17"/>
  <c r="W90" i="17"/>
  <c r="W84" i="17"/>
  <c r="W78" i="17"/>
  <c r="W72" i="17"/>
  <c r="W66" i="17"/>
  <c r="W60" i="17"/>
  <c r="W54" i="17"/>
  <c r="W48" i="17"/>
  <c r="W42" i="17"/>
  <c r="W36" i="17"/>
  <c r="W30" i="17"/>
  <c r="W24" i="17"/>
  <c r="W18" i="17"/>
  <c r="W12" i="17"/>
  <c r="W6" i="17"/>
  <c r="W351" i="17"/>
  <c r="W285" i="17"/>
  <c r="W213" i="17"/>
  <c r="W129" i="17"/>
  <c r="W380" i="17"/>
  <c r="W390" i="17"/>
  <c r="W378" i="17"/>
  <c r="W366" i="17"/>
  <c r="W354" i="17"/>
  <c r="W342" i="17"/>
  <c r="W330" i="17"/>
  <c r="W318" i="17"/>
  <c r="W306" i="17"/>
  <c r="W294" i="17"/>
  <c r="W282" i="17"/>
  <c r="W270" i="17"/>
  <c r="W258" i="17"/>
  <c r="W240" i="17"/>
  <c r="W204" i="17"/>
  <c r="W339" i="17"/>
  <c r="W383" i="17"/>
  <c r="W371" i="17"/>
  <c r="W359" i="17"/>
  <c r="W347" i="17"/>
  <c r="W335" i="17"/>
  <c r="W323" i="17"/>
  <c r="W317" i="17"/>
  <c r="W305" i="17"/>
  <c r="W293" i="17"/>
  <c r="W281" i="17"/>
  <c r="W269" i="17"/>
  <c r="W257" i="17"/>
  <c r="W245" i="17"/>
  <c r="W233" i="17"/>
  <c r="W215" i="17"/>
  <c r="W203" i="17"/>
  <c r="W191" i="17"/>
  <c r="W179" i="17"/>
  <c r="W167" i="17"/>
  <c r="W155" i="17"/>
  <c r="W143" i="17"/>
  <c r="W137" i="17"/>
  <c r="W125" i="17"/>
  <c r="W119" i="17"/>
  <c r="W113" i="17"/>
  <c r="W107" i="17"/>
  <c r="W101" i="17"/>
  <c r="W95" i="17"/>
  <c r="W89" i="17"/>
  <c r="W83" i="17"/>
  <c r="W77" i="17"/>
  <c r="W71" i="17"/>
  <c r="W59" i="17"/>
  <c r="W53" i="17"/>
  <c r="W47" i="17"/>
  <c r="W41" i="17"/>
  <c r="W35" i="17"/>
  <c r="W29" i="17"/>
  <c r="W23" i="17"/>
  <c r="W17" i="17"/>
  <c r="W11" i="17"/>
  <c r="W5" i="17"/>
  <c r="W369" i="17"/>
  <c r="W389" i="17"/>
  <c r="W377" i="17"/>
  <c r="W365" i="17"/>
  <c r="W353" i="17"/>
  <c r="W341" i="17"/>
  <c r="W329" i="17"/>
  <c r="W311" i="17"/>
  <c r="W299" i="17"/>
  <c r="W287" i="17"/>
  <c r="W275" i="17"/>
  <c r="W263" i="17"/>
  <c r="W251" i="17"/>
  <c r="W239" i="17"/>
  <c r="W227" i="17"/>
  <c r="W221" i="17"/>
  <c r="W209" i="17"/>
  <c r="W197" i="17"/>
  <c r="W185" i="17"/>
  <c r="W173" i="17"/>
  <c r="W161" i="17"/>
  <c r="W149" i="17"/>
  <c r="W131" i="17"/>
  <c r="W65" i="17"/>
  <c r="W388" i="17"/>
  <c r="W382" i="17"/>
  <c r="W376" i="17"/>
  <c r="W370" i="17"/>
  <c r="W364" i="17"/>
  <c r="W358" i="17"/>
  <c r="W352" i="17"/>
  <c r="W346" i="17"/>
  <c r="W340" i="17"/>
  <c r="W334" i="17"/>
  <c r="W328" i="17"/>
  <c r="W322" i="17"/>
  <c r="W316" i="17"/>
  <c r="W310" i="17"/>
  <c r="W304" i="17"/>
  <c r="W298" i="17"/>
  <c r="W292" i="17"/>
  <c r="W286" i="17"/>
  <c r="W280" i="17"/>
  <c r="W274" i="17"/>
  <c r="W268" i="17"/>
  <c r="W262" i="17"/>
  <c r="W256" i="17"/>
  <c r="W250" i="17"/>
  <c r="W244" i="17"/>
  <c r="W238" i="17"/>
  <c r="W232" i="17"/>
  <c r="W226" i="17"/>
  <c r="W220" i="17"/>
  <c r="W214" i="17"/>
  <c r="W208" i="17"/>
  <c r="W202" i="17"/>
  <c r="W196" i="17"/>
  <c r="W190" i="17"/>
  <c r="W184" i="17"/>
  <c r="W178" i="17"/>
  <c r="W172" i="17"/>
  <c r="W166" i="17"/>
  <c r="W160" i="17"/>
  <c r="W154" i="17"/>
  <c r="W148" i="17"/>
  <c r="W142" i="17"/>
  <c r="W136" i="17"/>
  <c r="W130" i="17"/>
  <c r="W124" i="17"/>
  <c r="W118" i="17"/>
  <c r="W112" i="17"/>
  <c r="W106" i="17"/>
  <c r="W100" i="17"/>
  <c r="W94" i="17"/>
  <c r="W88" i="17"/>
  <c r="W82" i="17"/>
  <c r="W76" i="17"/>
  <c r="W70" i="17"/>
  <c r="W64" i="17"/>
  <c r="W58" i="17"/>
  <c r="W52" i="17"/>
  <c r="W46" i="17"/>
  <c r="W40" i="17"/>
  <c r="W34" i="17"/>
  <c r="W28" i="17"/>
  <c r="W22" i="17"/>
  <c r="W16" i="17"/>
  <c r="W10" i="17"/>
  <c r="W4" i="17"/>
  <c r="W3" i="17"/>
  <c r="V317" i="17"/>
  <c r="V232" i="17"/>
  <c r="V159" i="17"/>
  <c r="V330" i="17"/>
  <c r="V265" i="17"/>
  <c r="V173" i="17"/>
  <c r="V11" i="17"/>
  <c r="V363" i="17"/>
  <c r="V305" i="17"/>
  <c r="V263" i="17"/>
  <c r="V142" i="17"/>
  <c r="V378" i="17"/>
  <c r="V283" i="17"/>
  <c r="V219" i="17"/>
  <c r="V375" i="17"/>
  <c r="V323" i="17"/>
  <c r="V281" i="17"/>
  <c r="V193" i="17"/>
  <c r="V137" i="17"/>
  <c r="V5" i="17"/>
  <c r="V342" i="17"/>
  <c r="V279" i="17"/>
  <c r="V191" i="17"/>
  <c r="V35" i="17"/>
  <c r="V322" i="17"/>
  <c r="V299" i="17"/>
  <c r="V233" i="17"/>
  <c r="V214" i="17"/>
  <c r="V189" i="17"/>
  <c r="V131" i="17"/>
  <c r="V70" i="17"/>
  <c r="V355" i="17"/>
  <c r="V209" i="17"/>
  <c r="V65" i="17"/>
  <c r="V309" i="17"/>
  <c r="V243" i="17"/>
  <c r="V201" i="17"/>
  <c r="V112" i="17"/>
  <c r="V47" i="17"/>
  <c r="V379" i="17"/>
  <c r="V327" i="17"/>
  <c r="V286" i="17"/>
  <c r="V197" i="17"/>
  <c r="V81" i="17"/>
  <c r="V393" i="17"/>
  <c r="V346" i="17"/>
  <c r="V261" i="17"/>
  <c r="V107" i="17"/>
  <c r="V390" i="17"/>
  <c r="V343" i="17"/>
  <c r="V304" i="17"/>
  <c r="V215" i="17"/>
  <c r="V76" i="17"/>
  <c r="V41" i="17"/>
  <c r="V389" i="17"/>
  <c r="V358" i="17"/>
  <c r="V301" i="17"/>
  <c r="V237" i="17"/>
  <c r="V101" i="17"/>
  <c r="V387" i="17"/>
  <c r="V371" i="17"/>
  <c r="V339" i="17"/>
  <c r="V319" i="17"/>
  <c r="V297" i="17"/>
  <c r="V255" i="17"/>
  <c r="V211" i="17"/>
  <c r="V129" i="17"/>
  <c r="V251" i="17"/>
  <c r="V386" i="17"/>
  <c r="V29" i="17"/>
  <c r="V370" i="17"/>
  <c r="V354" i="17"/>
  <c r="V315" i="17"/>
  <c r="V273" i="17"/>
  <c r="V229" i="17"/>
  <c r="V207" i="17"/>
  <c r="V123" i="17"/>
  <c r="V59" i="17"/>
  <c r="V23" i="17"/>
  <c r="V367" i="17"/>
  <c r="V351" i="17"/>
  <c r="V334" i="17"/>
  <c r="V269" i="17"/>
  <c r="V250" i="17"/>
  <c r="V227" i="17"/>
  <c r="V183" i="17"/>
  <c r="V153" i="17"/>
  <c r="V382" i="17"/>
  <c r="V366" i="17"/>
  <c r="V291" i="17"/>
  <c r="V247" i="17"/>
  <c r="V225" i="17"/>
  <c r="V179" i="17"/>
  <c r="V118" i="17"/>
  <c r="V365" i="17"/>
  <c r="V331" i="17"/>
  <c r="V287" i="17"/>
  <c r="V268" i="17"/>
  <c r="V245" i="17"/>
  <c r="V148" i="17"/>
  <c r="V87" i="17"/>
  <c r="V53" i="17"/>
  <c r="V17" i="17"/>
  <c r="V347" i="17"/>
  <c r="V196" i="17"/>
  <c r="V167" i="17"/>
  <c r="V117" i="17"/>
  <c r="V95" i="17"/>
  <c r="V329" i="17"/>
  <c r="V313" i="17"/>
  <c r="V259" i="17"/>
  <c r="V223" i="17"/>
  <c r="V187" i="17"/>
  <c r="V136" i="17"/>
  <c r="V75" i="17"/>
  <c r="V64" i="17"/>
  <c r="V40" i="17"/>
  <c r="V4" i="17"/>
  <c r="V385" i="17"/>
  <c r="V369" i="17"/>
  <c r="V337" i="17"/>
  <c r="V303" i="17"/>
  <c r="V285" i="17"/>
  <c r="V267" i="17"/>
  <c r="V249" i="17"/>
  <c r="V231" i="17"/>
  <c r="V213" i="17"/>
  <c r="V195" i="17"/>
  <c r="V185" i="17"/>
  <c r="V166" i="17"/>
  <c r="V105" i="17"/>
  <c r="V94" i="17"/>
  <c r="V384" i="17"/>
  <c r="V376" i="17"/>
  <c r="V360" i="17"/>
  <c r="V352" i="17"/>
  <c r="V336" i="17"/>
  <c r="V328" i="17"/>
  <c r="V135" i="17"/>
  <c r="V124" i="17"/>
  <c r="V113" i="17"/>
  <c r="V178" i="17"/>
  <c r="V106" i="17"/>
  <c r="V377" i="17"/>
  <c r="V353" i="17"/>
  <c r="V295" i="17"/>
  <c r="V277" i="17"/>
  <c r="V241" i="17"/>
  <c r="V205" i="17"/>
  <c r="V147" i="17"/>
  <c r="V125" i="17"/>
  <c r="V52" i="17"/>
  <c r="V28" i="17"/>
  <c r="V16" i="17"/>
  <c r="V392" i="17"/>
  <c r="V361" i="17"/>
  <c r="V345" i="17"/>
  <c r="V321" i="17"/>
  <c r="V311" i="17"/>
  <c r="V293" i="17"/>
  <c r="V275" i="17"/>
  <c r="V257" i="17"/>
  <c r="V239" i="17"/>
  <c r="V221" i="17"/>
  <c r="V203" i="17"/>
  <c r="V177" i="17"/>
  <c r="V155" i="17"/>
  <c r="V83" i="17"/>
  <c r="V391" i="17"/>
  <c r="V383" i="17"/>
  <c r="V359" i="17"/>
  <c r="V335" i="17"/>
  <c r="V310" i="17"/>
  <c r="V292" i="17"/>
  <c r="V274" i="17"/>
  <c r="V256" i="17"/>
  <c r="V238" i="17"/>
  <c r="V220" i="17"/>
  <c r="V202" i="17"/>
  <c r="V184" i="17"/>
  <c r="V165" i="17"/>
  <c r="V154" i="17"/>
  <c r="V143" i="17"/>
  <c r="V93" i="17"/>
  <c r="V82" i="17"/>
  <c r="V71" i="17"/>
  <c r="V341" i="17"/>
  <c r="V172" i="17"/>
  <c r="V111" i="17"/>
  <c r="V100" i="17"/>
  <c r="V46" i="17"/>
  <c r="V34" i="17"/>
  <c r="V10" i="17"/>
  <c r="V161" i="17"/>
  <c r="V89" i="17"/>
  <c r="V58" i="17"/>
  <c r="V22" i="17"/>
  <c r="V388" i="17"/>
  <c r="V381" i="17"/>
  <c r="V373" i="17"/>
  <c r="V357" i="17"/>
  <c r="V349" i="17"/>
  <c r="V333" i="17"/>
  <c r="V325" i="17"/>
  <c r="V316" i="17"/>
  <c r="V298" i="17"/>
  <c r="V280" i="17"/>
  <c r="V262" i="17"/>
  <c r="V244" i="17"/>
  <c r="V226" i="17"/>
  <c r="V208" i="17"/>
  <c r="V190" i="17"/>
  <c r="V141" i="17"/>
  <c r="V130" i="17"/>
  <c r="V119" i="17"/>
  <c r="V69" i="17"/>
  <c r="V372" i="17"/>
  <c r="V364" i="17"/>
  <c r="V348" i="17"/>
  <c r="V340" i="17"/>
  <c r="V324" i="17"/>
  <c r="V307" i="17"/>
  <c r="V289" i="17"/>
  <c r="V271" i="17"/>
  <c r="V253" i="17"/>
  <c r="V235" i="17"/>
  <c r="V217" i="17"/>
  <c r="V199" i="17"/>
  <c r="V181" i="17"/>
  <c r="V171" i="17"/>
  <c r="V160" i="17"/>
  <c r="V149" i="17"/>
  <c r="V99" i="17"/>
  <c r="V88" i="17"/>
  <c r="V77" i="17"/>
  <c r="V63" i="17"/>
  <c r="V57" i="17"/>
  <c r="V51" i="17"/>
  <c r="V45" i="17"/>
  <c r="V39" i="17"/>
  <c r="V33" i="17"/>
  <c r="V27" i="17"/>
  <c r="V21" i="17"/>
  <c r="V15" i="17"/>
  <c r="V9" i="17"/>
  <c r="V380" i="17"/>
  <c r="V374" i="17"/>
  <c r="V368" i="17"/>
  <c r="V362" i="17"/>
  <c r="V356" i="17"/>
  <c r="V350" i="17"/>
  <c r="V344" i="17"/>
  <c r="V338" i="17"/>
  <c r="V332" i="17"/>
  <c r="V326" i="17"/>
  <c r="V320" i="17"/>
  <c r="V314" i="17"/>
  <c r="V308" i="17"/>
  <c r="V302" i="17"/>
  <c r="V296" i="17"/>
  <c r="V290" i="17"/>
  <c r="V284" i="17"/>
  <c r="V278" i="17"/>
  <c r="V272" i="17"/>
  <c r="V266" i="17"/>
  <c r="V260" i="17"/>
  <c r="V254" i="17"/>
  <c r="V248" i="17"/>
  <c r="V242" i="17"/>
  <c r="V236" i="17"/>
  <c r="V230" i="17"/>
  <c r="V224" i="17"/>
  <c r="V218" i="17"/>
  <c r="V212" i="17"/>
  <c r="V206" i="17"/>
  <c r="V200" i="17"/>
  <c r="V194" i="17"/>
  <c r="V188" i="17"/>
  <c r="V182" i="17"/>
  <c r="V176" i="17"/>
  <c r="V170" i="17"/>
  <c r="V164" i="17"/>
  <c r="V158" i="17"/>
  <c r="V152" i="17"/>
  <c r="V146" i="17"/>
  <c r="V140" i="17"/>
  <c r="V134" i="17"/>
  <c r="V128" i="17"/>
  <c r="V122" i="17"/>
  <c r="V116" i="17"/>
  <c r="V110" i="17"/>
  <c r="V104" i="17"/>
  <c r="V98" i="17"/>
  <c r="V92" i="17"/>
  <c r="V86" i="17"/>
  <c r="V80" i="17"/>
  <c r="V74" i="17"/>
  <c r="V68" i="17"/>
  <c r="V62" i="17"/>
  <c r="V56" i="17"/>
  <c r="V50" i="17"/>
  <c r="V44" i="17"/>
  <c r="V38" i="17"/>
  <c r="V32" i="17"/>
  <c r="V26" i="17"/>
  <c r="V20" i="17"/>
  <c r="V14" i="17"/>
  <c r="V8" i="17"/>
  <c r="V175" i="17"/>
  <c r="V169" i="17"/>
  <c r="V163" i="17"/>
  <c r="V157" i="17"/>
  <c r="V151" i="17"/>
  <c r="V145" i="17"/>
  <c r="V139" i="17"/>
  <c r="V133" i="17"/>
  <c r="V127" i="17"/>
  <c r="V121" i="17"/>
  <c r="V115" i="17"/>
  <c r="V109" i="17"/>
  <c r="V103" i="17"/>
  <c r="V97" i="17"/>
  <c r="V91" i="17"/>
  <c r="V85" i="17"/>
  <c r="V79" i="17"/>
  <c r="V73" i="17"/>
  <c r="V67" i="17"/>
  <c r="V61" i="17"/>
  <c r="V55" i="17"/>
  <c r="V49" i="17"/>
  <c r="V43" i="17"/>
  <c r="V37" i="17"/>
  <c r="V31" i="17"/>
  <c r="V25" i="17"/>
  <c r="V19" i="17"/>
  <c r="V13" i="17"/>
  <c r="V7" i="17"/>
  <c r="V318" i="17"/>
  <c r="V300" i="17"/>
  <c r="V282" i="17"/>
  <c r="V270" i="17"/>
  <c r="V252" i="17"/>
  <c r="V234" i="17"/>
  <c r="V222" i="17"/>
  <c r="V204" i="17"/>
  <c r="V186" i="17"/>
  <c r="V174" i="17"/>
  <c r="V156" i="17"/>
  <c r="V138" i="17"/>
  <c r="V120" i="17"/>
  <c r="V108" i="17"/>
  <c r="V90" i="17"/>
  <c r="V72" i="17"/>
  <c r="V60" i="17"/>
  <c r="V48" i="17"/>
  <c r="V36" i="17"/>
  <c r="V30" i="17"/>
  <c r="V24" i="17"/>
  <c r="V18" i="17"/>
  <c r="V6" i="17"/>
  <c r="V312" i="17"/>
  <c r="V306" i="17"/>
  <c r="V294" i="17"/>
  <c r="V288" i="17"/>
  <c r="V276" i="17"/>
  <c r="V264" i="17"/>
  <c r="V258" i="17"/>
  <c r="V246" i="17"/>
  <c r="V240" i="17"/>
  <c r="V228" i="17"/>
  <c r="V216" i="17"/>
  <c r="V210" i="17"/>
  <c r="V198" i="17"/>
  <c r="V192" i="17"/>
  <c r="V180" i="17"/>
  <c r="V168" i="17"/>
  <c r="V162" i="17"/>
  <c r="V150" i="17"/>
  <c r="V144" i="17"/>
  <c r="V132" i="17"/>
  <c r="V126" i="17"/>
  <c r="V114" i="17"/>
  <c r="V102" i="17"/>
  <c r="V96" i="17"/>
  <c r="V84" i="17"/>
  <c r="V78" i="17"/>
  <c r="V66" i="17"/>
  <c r="V54" i="17"/>
  <c r="V42" i="17"/>
  <c r="V12" i="17"/>
  <c r="V3" i="17"/>
  <c r="U368" i="17"/>
  <c r="U232" i="17"/>
  <c r="U95" i="17"/>
  <c r="U389" i="17"/>
  <c r="U309" i="17"/>
  <c r="U227" i="17"/>
  <c r="U269" i="17"/>
  <c r="U155" i="17"/>
  <c r="U83" i="17"/>
  <c r="U385" i="17"/>
  <c r="U266" i="17"/>
  <c r="U384" i="17"/>
  <c r="U333" i="17"/>
  <c r="U71" i="17"/>
  <c r="U296" i="17"/>
  <c r="U261" i="17"/>
  <c r="U392" i="17"/>
  <c r="U341" i="17"/>
  <c r="U167" i="17"/>
  <c r="U23" i="17"/>
  <c r="U365" i="17"/>
  <c r="U274" i="17"/>
  <c r="U337" i="17"/>
  <c r="U221" i="17"/>
  <c r="U11" i="17"/>
  <c r="U361" i="17"/>
  <c r="U360" i="17"/>
  <c r="U301" i="17"/>
  <c r="U143" i="17"/>
  <c r="U381" i="17"/>
  <c r="U357" i="17"/>
  <c r="U131" i="17"/>
  <c r="U59" i="17"/>
  <c r="U325" i="17"/>
  <c r="U292" i="17"/>
  <c r="U256" i="17"/>
  <c r="U376" i="17"/>
  <c r="U352" i="17"/>
  <c r="U321" i="17"/>
  <c r="U287" i="17"/>
  <c r="U251" i="17"/>
  <c r="U119" i="17"/>
  <c r="U47" i="17"/>
  <c r="U317" i="17"/>
  <c r="U284" i="17"/>
  <c r="U248" i="17"/>
  <c r="U187" i="17"/>
  <c r="U373" i="17"/>
  <c r="U349" i="17"/>
  <c r="U242" i="17"/>
  <c r="U179" i="17"/>
  <c r="U107" i="17"/>
  <c r="U35" i="17"/>
  <c r="U393" i="17"/>
  <c r="U369" i="17"/>
  <c r="U345" i="17"/>
  <c r="U313" i="17"/>
  <c r="U279" i="17"/>
  <c r="U238" i="17"/>
  <c r="U196" i="17"/>
  <c r="U161" i="17"/>
  <c r="U137" i="17"/>
  <c r="U101" i="17"/>
  <c r="U65" i="17"/>
  <c r="U53" i="17"/>
  <c r="U5" i="17"/>
  <c r="U372" i="17"/>
  <c r="U364" i="17"/>
  <c r="U340" i="17"/>
  <c r="U324" i="17"/>
  <c r="U299" i="17"/>
  <c r="U226" i="17"/>
  <c r="U371" i="17"/>
  <c r="U291" i="17"/>
  <c r="U273" i="17"/>
  <c r="U245" i="17"/>
  <c r="U194" i="17"/>
  <c r="U172" i="17"/>
  <c r="U136" i="17"/>
  <c r="U112" i="17"/>
  <c r="U88" i="17"/>
  <c r="U64" i="17"/>
  <c r="U40" i="17"/>
  <c r="U4" i="17"/>
  <c r="U387" i="17"/>
  <c r="U355" i="17"/>
  <c r="U331" i="17"/>
  <c r="U315" i="17"/>
  <c r="U298" i="17"/>
  <c r="U254" i="17"/>
  <c r="U224" i="17"/>
  <c r="U203" i="17"/>
  <c r="U386" i="17"/>
  <c r="U378" i="17"/>
  <c r="U354" i="17"/>
  <c r="U346" i="17"/>
  <c r="U330" i="17"/>
  <c r="U322" i="17"/>
  <c r="U314" i="17"/>
  <c r="U306" i="17"/>
  <c r="U280" i="17"/>
  <c r="U262" i="17"/>
  <c r="U244" i="17"/>
  <c r="U233" i="17"/>
  <c r="U193" i="17"/>
  <c r="U182" i="17"/>
  <c r="U170" i="17"/>
  <c r="U158" i="17"/>
  <c r="U146" i="17"/>
  <c r="U134" i="17"/>
  <c r="U122" i="17"/>
  <c r="U110" i="17"/>
  <c r="U98" i="17"/>
  <c r="U86" i="17"/>
  <c r="U74" i="17"/>
  <c r="U62" i="17"/>
  <c r="U50" i="17"/>
  <c r="U38" i="17"/>
  <c r="U26" i="17"/>
  <c r="U14" i="17"/>
  <c r="U206" i="17"/>
  <c r="U185" i="17"/>
  <c r="U149" i="17"/>
  <c r="U113" i="17"/>
  <c r="U77" i="17"/>
  <c r="U41" i="17"/>
  <c r="U17" i="17"/>
  <c r="U380" i="17"/>
  <c r="U348" i="17"/>
  <c r="U332" i="17"/>
  <c r="U308" i="17"/>
  <c r="U283" i="17"/>
  <c r="U247" i="17"/>
  <c r="U215" i="17"/>
  <c r="U347" i="17"/>
  <c r="U323" i="17"/>
  <c r="U281" i="17"/>
  <c r="U255" i="17"/>
  <c r="U205" i="17"/>
  <c r="U184" i="17"/>
  <c r="U148" i="17"/>
  <c r="U124" i="17"/>
  <c r="U100" i="17"/>
  <c r="U76" i="17"/>
  <c r="U52" i="17"/>
  <c r="U16" i="17"/>
  <c r="U379" i="17"/>
  <c r="U363" i="17"/>
  <c r="U339" i="17"/>
  <c r="U307" i="17"/>
  <c r="U290" i="17"/>
  <c r="U272" i="17"/>
  <c r="U235" i="17"/>
  <c r="U214" i="17"/>
  <c r="U370" i="17"/>
  <c r="U362" i="17"/>
  <c r="U338" i="17"/>
  <c r="U377" i="17"/>
  <c r="U353" i="17"/>
  <c r="U329" i="17"/>
  <c r="U305" i="17"/>
  <c r="U297" i="17"/>
  <c r="U289" i="17"/>
  <c r="U271" i="17"/>
  <c r="U253" i="17"/>
  <c r="U223" i="17"/>
  <c r="U212" i="17"/>
  <c r="U202" i="17"/>
  <c r="U191" i="17"/>
  <c r="U344" i="17"/>
  <c r="U336" i="17"/>
  <c r="U320" i="17"/>
  <c r="U304" i="17"/>
  <c r="U278" i="17"/>
  <c r="U211" i="17"/>
  <c r="U190" i="17"/>
  <c r="U359" i="17"/>
  <c r="U335" i="17"/>
  <c r="U311" i="17"/>
  <c r="U286" i="17"/>
  <c r="U268" i="17"/>
  <c r="U250" i="17"/>
  <c r="U241" i="17"/>
  <c r="U230" i="17"/>
  <c r="U220" i="17"/>
  <c r="U209" i="17"/>
  <c r="U166" i="17"/>
  <c r="U154" i="17"/>
  <c r="U142" i="17"/>
  <c r="U130" i="17"/>
  <c r="U118" i="17"/>
  <c r="U106" i="17"/>
  <c r="U94" i="17"/>
  <c r="U82" i="17"/>
  <c r="U70" i="17"/>
  <c r="U58" i="17"/>
  <c r="U46" i="17"/>
  <c r="U34" i="17"/>
  <c r="U22" i="17"/>
  <c r="U10" i="17"/>
  <c r="U328" i="17"/>
  <c r="U312" i="17"/>
  <c r="U260" i="17"/>
  <c r="U200" i="17"/>
  <c r="U383" i="17"/>
  <c r="U295" i="17"/>
  <c r="U178" i="17"/>
  <c r="U391" i="17"/>
  <c r="U375" i="17"/>
  <c r="U367" i="17"/>
  <c r="U351" i="17"/>
  <c r="U343" i="17"/>
  <c r="U327" i="17"/>
  <c r="U319" i="17"/>
  <c r="U303" i="17"/>
  <c r="U294" i="17"/>
  <c r="U277" i="17"/>
  <c r="U259" i="17"/>
  <c r="U239" i="17"/>
  <c r="U199" i="17"/>
  <c r="U188" i="17"/>
  <c r="U390" i="17"/>
  <c r="U382" i="17"/>
  <c r="U374" i="17"/>
  <c r="U366" i="17"/>
  <c r="U358" i="17"/>
  <c r="U350" i="17"/>
  <c r="U342" i="17"/>
  <c r="U334" i="17"/>
  <c r="U326" i="17"/>
  <c r="U318" i="17"/>
  <c r="U310" i="17"/>
  <c r="U302" i="17"/>
  <c r="U293" i="17"/>
  <c r="U285" i="17"/>
  <c r="U275" i="17"/>
  <c r="U267" i="17"/>
  <c r="U257" i="17"/>
  <c r="U249" i="17"/>
  <c r="U229" i="17"/>
  <c r="U218" i="17"/>
  <c r="U208" i="17"/>
  <c r="U197" i="17"/>
  <c r="U176" i="17"/>
  <c r="U164" i="17"/>
  <c r="U152" i="17"/>
  <c r="U140" i="17"/>
  <c r="U128" i="17"/>
  <c r="U116" i="17"/>
  <c r="U104" i="17"/>
  <c r="U92" i="17"/>
  <c r="U80" i="17"/>
  <c r="U68" i="17"/>
  <c r="U56" i="17"/>
  <c r="U44" i="17"/>
  <c r="U32" i="17"/>
  <c r="U20" i="17"/>
  <c r="U8" i="17"/>
  <c r="U217" i="17"/>
  <c r="U173" i="17"/>
  <c r="U125" i="17"/>
  <c r="U89" i="17"/>
  <c r="U29" i="17"/>
  <c r="U388" i="17"/>
  <c r="U356" i="17"/>
  <c r="U316" i="17"/>
  <c r="U265" i="17"/>
  <c r="U236" i="17"/>
  <c r="U263" i="17"/>
  <c r="U160" i="17"/>
  <c r="U28" i="17"/>
  <c r="U231" i="17"/>
  <c r="U219" i="17"/>
  <c r="U207" i="17"/>
  <c r="U195" i="17"/>
  <c r="U183" i="17"/>
  <c r="U165" i="17"/>
  <c r="U153" i="17"/>
  <c r="U141" i="17"/>
  <c r="U129" i="17"/>
  <c r="U117" i="17"/>
  <c r="U105" i="17"/>
  <c r="U87" i="17"/>
  <c r="U51" i="17"/>
  <c r="U243" i="17"/>
  <c r="U237" i="17"/>
  <c r="U225" i="17"/>
  <c r="U213" i="17"/>
  <c r="U201" i="17"/>
  <c r="U189" i="17"/>
  <c r="U177" i="17"/>
  <c r="U171" i="17"/>
  <c r="U159" i="17"/>
  <c r="U147" i="17"/>
  <c r="U135" i="17"/>
  <c r="U123" i="17"/>
  <c r="U111" i="17"/>
  <c r="U99" i="17"/>
  <c r="U93" i="17"/>
  <c r="U81" i="17"/>
  <c r="U75" i="17"/>
  <c r="U69" i="17"/>
  <c r="U63" i="17"/>
  <c r="U57" i="17"/>
  <c r="U45" i="17"/>
  <c r="U39" i="17"/>
  <c r="U33" i="17"/>
  <c r="U27" i="17"/>
  <c r="U21" i="17"/>
  <c r="U15" i="17"/>
  <c r="U9" i="17"/>
  <c r="U181" i="17"/>
  <c r="U175" i="17"/>
  <c r="U169" i="17"/>
  <c r="U163" i="17"/>
  <c r="U157" i="17"/>
  <c r="U151" i="17"/>
  <c r="U145" i="17"/>
  <c r="U139" i="17"/>
  <c r="U133" i="17"/>
  <c r="U127" i="17"/>
  <c r="U121" i="17"/>
  <c r="U115" i="17"/>
  <c r="U109" i="17"/>
  <c r="U103" i="17"/>
  <c r="U97" i="17"/>
  <c r="U91" i="17"/>
  <c r="U85" i="17"/>
  <c r="U79" i="17"/>
  <c r="U73" i="17"/>
  <c r="U67" i="17"/>
  <c r="U61" i="17"/>
  <c r="U55" i="17"/>
  <c r="U49" i="17"/>
  <c r="U43" i="17"/>
  <c r="U37" i="17"/>
  <c r="U31" i="17"/>
  <c r="U25" i="17"/>
  <c r="U19" i="17"/>
  <c r="U13" i="17"/>
  <c r="U7" i="17"/>
  <c r="U282" i="17"/>
  <c r="U270" i="17"/>
  <c r="U258" i="17"/>
  <c r="U246" i="17"/>
  <c r="U228" i="17"/>
  <c r="U216" i="17"/>
  <c r="U204" i="17"/>
  <c r="U186" i="17"/>
  <c r="U174" i="17"/>
  <c r="U162" i="17"/>
  <c r="U150" i="17"/>
  <c r="U138" i="17"/>
  <c r="U126" i="17"/>
  <c r="U114" i="17"/>
  <c r="U102" i="17"/>
  <c r="U90" i="17"/>
  <c r="U78" i="17"/>
  <c r="U66" i="17"/>
  <c r="U54" i="17"/>
  <c r="U42" i="17"/>
  <c r="U36" i="17"/>
  <c r="U30" i="17"/>
  <c r="U24" i="17"/>
  <c r="U18" i="17"/>
  <c r="U6" i="17"/>
  <c r="U300" i="17"/>
  <c r="U288" i="17"/>
  <c r="U276" i="17"/>
  <c r="U264" i="17"/>
  <c r="U252" i="17"/>
  <c r="U240" i="17"/>
  <c r="U234" i="17"/>
  <c r="U222" i="17"/>
  <c r="U210" i="17"/>
  <c r="U198" i="17"/>
  <c r="U192" i="17"/>
  <c r="U180" i="17"/>
  <c r="U168" i="17"/>
  <c r="U156" i="17"/>
  <c r="U144" i="17"/>
  <c r="U132" i="17"/>
  <c r="U120" i="17"/>
  <c r="U108" i="17"/>
  <c r="U96" i="17"/>
  <c r="U84" i="17"/>
  <c r="U72" i="17"/>
  <c r="U60" i="17"/>
  <c r="U48" i="17"/>
  <c r="U12" i="17"/>
  <c r="U3" i="17"/>
  <c r="T305" i="17"/>
  <c r="T142" i="17"/>
  <c r="T352" i="17"/>
  <c r="T232" i="17"/>
  <c r="T137" i="17"/>
  <c r="T172" i="17"/>
  <c r="T76" i="17"/>
  <c r="T347" i="17"/>
  <c r="T299" i="17"/>
  <c r="T251" i="17"/>
  <c r="T203" i="17"/>
  <c r="T131" i="17"/>
  <c r="T370" i="17"/>
  <c r="T322" i="17"/>
  <c r="T298" i="17"/>
  <c r="T274" i="17"/>
  <c r="T250" i="17"/>
  <c r="T226" i="17"/>
  <c r="T202" i="17"/>
  <c r="T166" i="17"/>
  <c r="T130" i="17"/>
  <c r="T64" i="17"/>
  <c r="T353" i="17"/>
  <c r="T257" i="17"/>
  <c r="T16" i="17"/>
  <c r="T304" i="17"/>
  <c r="T173" i="17"/>
  <c r="T136" i="17"/>
  <c r="T4" i="17"/>
  <c r="T371" i="17"/>
  <c r="T323" i="17"/>
  <c r="T275" i="17"/>
  <c r="T227" i="17"/>
  <c r="T167" i="17"/>
  <c r="T70" i="17"/>
  <c r="T346" i="17"/>
  <c r="T197" i="17"/>
  <c r="T161" i="17"/>
  <c r="T125" i="17"/>
  <c r="T58" i="17"/>
  <c r="T209" i="17"/>
  <c r="T376" i="17"/>
  <c r="T82" i="17"/>
  <c r="T341" i="17"/>
  <c r="T269" i="17"/>
  <c r="T160" i="17"/>
  <c r="T364" i="17"/>
  <c r="T292" i="17"/>
  <c r="T220" i="17"/>
  <c r="T155" i="17"/>
  <c r="T154" i="17"/>
  <c r="T383" i="17"/>
  <c r="T359" i="17"/>
  <c r="T335" i="17"/>
  <c r="T311" i="17"/>
  <c r="T287" i="17"/>
  <c r="T263" i="17"/>
  <c r="T239" i="17"/>
  <c r="T215" i="17"/>
  <c r="T185" i="17"/>
  <c r="T149" i="17"/>
  <c r="T106" i="17"/>
  <c r="T34" i="17"/>
  <c r="T377" i="17"/>
  <c r="T281" i="17"/>
  <c r="T178" i="17"/>
  <c r="T280" i="17"/>
  <c r="T10" i="17"/>
  <c r="T365" i="17"/>
  <c r="T293" i="17"/>
  <c r="T221" i="17"/>
  <c r="T52" i="17"/>
  <c r="T316" i="17"/>
  <c r="T244" i="17"/>
  <c r="T46" i="17"/>
  <c r="T112" i="17"/>
  <c r="T358" i="17"/>
  <c r="T286" i="17"/>
  <c r="T238" i="17"/>
  <c r="T214" i="17"/>
  <c r="T184" i="17"/>
  <c r="T148" i="17"/>
  <c r="T100" i="17"/>
  <c r="T28" i="17"/>
  <c r="T329" i="17"/>
  <c r="T233" i="17"/>
  <c r="T88" i="17"/>
  <c r="T328" i="17"/>
  <c r="T256" i="17"/>
  <c r="T208" i="17"/>
  <c r="T389" i="17"/>
  <c r="T317" i="17"/>
  <c r="T245" i="17"/>
  <c r="T196" i="17"/>
  <c r="T124" i="17"/>
  <c r="T388" i="17"/>
  <c r="T340" i="17"/>
  <c r="T268" i="17"/>
  <c r="T191" i="17"/>
  <c r="T118" i="17"/>
  <c r="T190" i="17"/>
  <c r="T40" i="17"/>
  <c r="T382" i="17"/>
  <c r="T334" i="17"/>
  <c r="T310" i="17"/>
  <c r="T262" i="17"/>
  <c r="T179" i="17"/>
  <c r="T143" i="17"/>
  <c r="T94" i="17"/>
  <c r="T22" i="17"/>
  <c r="T369" i="17"/>
  <c r="T333" i="17"/>
  <c r="T321" i="17"/>
  <c r="T315" i="17"/>
  <c r="T309" i="17"/>
  <c r="T303" i="17"/>
  <c r="T297" i="17"/>
  <c r="T291" i="17"/>
  <c r="T285" i="17"/>
  <c r="T279" i="17"/>
  <c r="T273" i="17"/>
  <c r="T267" i="17"/>
  <c r="T261" i="17"/>
  <c r="T255" i="17"/>
  <c r="T249" i="17"/>
  <c r="T243" i="17"/>
  <c r="T237" i="17"/>
  <c r="T231" i="17"/>
  <c r="T225" i="17"/>
  <c r="T219" i="17"/>
  <c r="T213" i="17"/>
  <c r="T207" i="17"/>
  <c r="T201" i="17"/>
  <c r="T195" i="17"/>
  <c r="T189" i="17"/>
  <c r="T183" i="17"/>
  <c r="T177" i="17"/>
  <c r="T171" i="17"/>
  <c r="T165" i="17"/>
  <c r="T159" i="17"/>
  <c r="T153" i="17"/>
  <c r="T147" i="17"/>
  <c r="T141" i="17"/>
  <c r="T135" i="17"/>
  <c r="T129" i="17"/>
  <c r="T123" i="17"/>
  <c r="T117" i="17"/>
  <c r="T111" i="17"/>
  <c r="T105" i="17"/>
  <c r="T99" i="17"/>
  <c r="T93" i="17"/>
  <c r="T87" i="17"/>
  <c r="T81" i="17"/>
  <c r="T75" i="17"/>
  <c r="T69" i="17"/>
  <c r="T63" i="17"/>
  <c r="T57" i="17"/>
  <c r="T51" i="17"/>
  <c r="T45" i="17"/>
  <c r="T39" i="17"/>
  <c r="T33" i="17"/>
  <c r="T27" i="17"/>
  <c r="T21" i="17"/>
  <c r="T15" i="17"/>
  <c r="T9" i="17"/>
  <c r="T327" i="17"/>
  <c r="T339" i="17"/>
  <c r="T380" i="17"/>
  <c r="T356" i="17"/>
  <c r="T332" i="17"/>
  <c r="T326" i="17"/>
  <c r="T320" i="17"/>
  <c r="T314" i="17"/>
  <c r="T296" i="17"/>
  <c r="T290" i="17"/>
  <c r="T284" i="17"/>
  <c r="T272" i="17"/>
  <c r="T266" i="17"/>
  <c r="T260" i="17"/>
  <c r="T254" i="17"/>
  <c r="T248" i="17"/>
  <c r="T242" i="17"/>
  <c r="T236" i="17"/>
  <c r="T230" i="17"/>
  <c r="T224" i="17"/>
  <c r="T218" i="17"/>
  <c r="T212" i="17"/>
  <c r="T206" i="17"/>
  <c r="T200" i="17"/>
  <c r="T194" i="17"/>
  <c r="T188" i="17"/>
  <c r="T182" i="17"/>
  <c r="T176" i="17"/>
  <c r="T170" i="17"/>
  <c r="T164" i="17"/>
  <c r="T158" i="17"/>
  <c r="T152" i="17"/>
  <c r="T146" i="17"/>
  <c r="T140" i="17"/>
  <c r="T134" i="17"/>
  <c r="T128" i="17"/>
  <c r="T122" i="17"/>
  <c r="T116" i="17"/>
  <c r="T110" i="17"/>
  <c r="T104" i="17"/>
  <c r="T98" i="17"/>
  <c r="T92" i="17"/>
  <c r="T86" i="17"/>
  <c r="T80" i="17"/>
  <c r="T74" i="17"/>
  <c r="T68" i="17"/>
  <c r="T62" i="17"/>
  <c r="T56" i="17"/>
  <c r="T50" i="17"/>
  <c r="T44" i="17"/>
  <c r="T38" i="17"/>
  <c r="T32" i="17"/>
  <c r="T26" i="17"/>
  <c r="T20" i="17"/>
  <c r="T14" i="17"/>
  <c r="T8" i="17"/>
  <c r="T375" i="17"/>
  <c r="T344" i="17"/>
  <c r="T278" i="17"/>
  <c r="T381" i="17"/>
  <c r="T345" i="17"/>
  <c r="T392" i="17"/>
  <c r="T362" i="17"/>
  <c r="T338" i="17"/>
  <c r="T302" i="17"/>
  <c r="T385" i="17"/>
  <c r="T373" i="17"/>
  <c r="T361" i="17"/>
  <c r="T349" i="17"/>
  <c r="T337" i="17"/>
  <c r="T325" i="17"/>
  <c r="T313" i="17"/>
  <c r="T301" i="17"/>
  <c r="T289" i="17"/>
  <c r="T277" i="17"/>
  <c r="T265" i="17"/>
  <c r="T259" i="17"/>
  <c r="T253" i="17"/>
  <c r="T241" i="17"/>
  <c r="T235" i="17"/>
  <c r="T229" i="17"/>
  <c r="T223" i="17"/>
  <c r="T217" i="17"/>
  <c r="T211" i="17"/>
  <c r="T199" i="17"/>
  <c r="T193" i="17"/>
  <c r="T187" i="17"/>
  <c r="T181" i="17"/>
  <c r="T175" i="17"/>
  <c r="T169" i="17"/>
  <c r="T163" i="17"/>
  <c r="T157" i="17"/>
  <c r="T151" i="17"/>
  <c r="T145" i="17"/>
  <c r="T139" i="17"/>
  <c r="T133" i="17"/>
  <c r="T127" i="17"/>
  <c r="T121" i="17"/>
  <c r="T115" i="17"/>
  <c r="T109" i="17"/>
  <c r="T103" i="17"/>
  <c r="T97" i="17"/>
  <c r="T91" i="17"/>
  <c r="T85" i="17"/>
  <c r="T79" i="17"/>
  <c r="T73" i="17"/>
  <c r="T67" i="17"/>
  <c r="T61" i="17"/>
  <c r="T55" i="17"/>
  <c r="T49" i="17"/>
  <c r="T43" i="17"/>
  <c r="T37" i="17"/>
  <c r="T31" i="17"/>
  <c r="T25" i="17"/>
  <c r="T19" i="17"/>
  <c r="T13" i="17"/>
  <c r="T7" i="17"/>
  <c r="T393" i="17"/>
  <c r="T357" i="17"/>
  <c r="T386" i="17"/>
  <c r="T350" i="17"/>
  <c r="T308" i="17"/>
  <c r="T391" i="17"/>
  <c r="T379" i="17"/>
  <c r="T367" i="17"/>
  <c r="T355" i="17"/>
  <c r="T343" i="17"/>
  <c r="T331" i="17"/>
  <c r="T319" i="17"/>
  <c r="T307" i="17"/>
  <c r="T295" i="17"/>
  <c r="T283" i="17"/>
  <c r="T271" i="17"/>
  <c r="T247" i="17"/>
  <c r="T205" i="17"/>
  <c r="T363" i="17"/>
  <c r="T374" i="17"/>
  <c r="T384" i="17"/>
  <c r="T366" i="17"/>
  <c r="T354" i="17"/>
  <c r="T336" i="17"/>
  <c r="T324" i="17"/>
  <c r="T312" i="17"/>
  <c r="T300" i="17"/>
  <c r="T282" i="17"/>
  <c r="T270" i="17"/>
  <c r="T252" i="17"/>
  <c r="T240" i="17"/>
  <c r="T222" i="17"/>
  <c r="T210" i="17"/>
  <c r="T198" i="17"/>
  <c r="T186" i="17"/>
  <c r="T180" i="17"/>
  <c r="T174" i="17"/>
  <c r="T168" i="17"/>
  <c r="T162" i="17"/>
  <c r="T150" i="17"/>
  <c r="T144" i="17"/>
  <c r="T138" i="17"/>
  <c r="T132" i="17"/>
  <c r="T126" i="17"/>
  <c r="T120" i="17"/>
  <c r="T114" i="17"/>
  <c r="T108" i="17"/>
  <c r="T102" i="17"/>
  <c r="T96" i="17"/>
  <c r="T90" i="17"/>
  <c r="T84" i="17"/>
  <c r="T78" i="17"/>
  <c r="T72" i="17"/>
  <c r="T66" i="17"/>
  <c r="T60" i="17"/>
  <c r="T54" i="17"/>
  <c r="T48" i="17"/>
  <c r="T42" i="17"/>
  <c r="T36" i="17"/>
  <c r="T30" i="17"/>
  <c r="T24" i="17"/>
  <c r="T18" i="17"/>
  <c r="T12" i="17"/>
  <c r="T6" i="17"/>
  <c r="T387" i="17"/>
  <c r="T351" i="17"/>
  <c r="T368" i="17"/>
  <c r="T390" i="17"/>
  <c r="T378" i="17"/>
  <c r="T372" i="17"/>
  <c r="T360" i="17"/>
  <c r="T348" i="17"/>
  <c r="T342" i="17"/>
  <c r="T330" i="17"/>
  <c r="T318" i="17"/>
  <c r="T306" i="17"/>
  <c r="T294" i="17"/>
  <c r="T288" i="17"/>
  <c r="T276" i="17"/>
  <c r="T264" i="17"/>
  <c r="T258" i="17"/>
  <c r="T246" i="17"/>
  <c r="T234" i="17"/>
  <c r="T228" i="17"/>
  <c r="T216" i="17"/>
  <c r="T204" i="17"/>
  <c r="T192" i="17"/>
  <c r="T156" i="17"/>
  <c r="T119" i="17"/>
  <c r="T113" i="17"/>
  <c r="T107" i="17"/>
  <c r="T101" i="17"/>
  <c r="T95" i="17"/>
  <c r="T89" i="17"/>
  <c r="T83" i="17"/>
  <c r="T77" i="17"/>
  <c r="T71" i="17"/>
  <c r="T65" i="17"/>
  <c r="T59" i="17"/>
  <c r="T53" i="17"/>
  <c r="T47" i="17"/>
  <c r="T41" i="17"/>
  <c r="T35" i="17"/>
  <c r="T29" i="17"/>
  <c r="T23" i="17"/>
  <c r="T17" i="17"/>
  <c r="T11" i="17"/>
  <c r="T5" i="17"/>
  <c r="T3" i="17"/>
  <c r="R341" i="17"/>
  <c r="R317" i="17"/>
  <c r="R257" i="17"/>
  <c r="R160" i="17"/>
  <c r="R88" i="17"/>
  <c r="R380" i="17"/>
  <c r="R326" i="17"/>
  <c r="R290" i="17"/>
  <c r="R266" i="17"/>
  <c r="R218" i="17"/>
  <c r="R167" i="17"/>
  <c r="R378" i="17"/>
  <c r="R358" i="17"/>
  <c r="R335" i="17"/>
  <c r="R311" i="17"/>
  <c r="R299" i="17"/>
  <c r="R263" i="17"/>
  <c r="R239" i="17"/>
  <c r="R215" i="17"/>
  <c r="R149" i="17"/>
  <c r="R113" i="17"/>
  <c r="R95" i="17"/>
  <c r="R59" i="17"/>
  <c r="R5" i="17"/>
  <c r="R377" i="17"/>
  <c r="R184" i="17"/>
  <c r="R366" i="17"/>
  <c r="R346" i="17"/>
  <c r="R322" i="17"/>
  <c r="R298" i="17"/>
  <c r="R274" i="17"/>
  <c r="R250" i="17"/>
  <c r="R226" i="17"/>
  <c r="R200" i="17"/>
  <c r="R130" i="17"/>
  <c r="R94" i="17"/>
  <c r="R40" i="17"/>
  <c r="R4" i="17"/>
  <c r="R376" i="17"/>
  <c r="R356" i="17"/>
  <c r="R179" i="17"/>
  <c r="R386" i="17"/>
  <c r="R354" i="17"/>
  <c r="R345" i="17"/>
  <c r="R333" i="17"/>
  <c r="R321" i="17"/>
  <c r="R309" i="17"/>
  <c r="R297" i="17"/>
  <c r="R285" i="17"/>
  <c r="R273" i="17"/>
  <c r="R261" i="17"/>
  <c r="R249" i="17"/>
  <c r="R237" i="17"/>
  <c r="R225" i="17"/>
  <c r="R212" i="17"/>
  <c r="R161" i="17"/>
  <c r="R143" i="17"/>
  <c r="R125" i="17"/>
  <c r="R107" i="17"/>
  <c r="R89" i="17"/>
  <c r="R71" i="17"/>
  <c r="R53" i="17"/>
  <c r="R35" i="17"/>
  <c r="R17" i="17"/>
  <c r="R374" i="17"/>
  <c r="R329" i="17"/>
  <c r="R281" i="17"/>
  <c r="R221" i="17"/>
  <c r="R70" i="17"/>
  <c r="R389" i="17"/>
  <c r="R348" i="17"/>
  <c r="R314" i="17"/>
  <c r="R278" i="17"/>
  <c r="R254" i="17"/>
  <c r="R230" i="17"/>
  <c r="R185" i="17"/>
  <c r="R369" i="17"/>
  <c r="R347" i="17"/>
  <c r="R323" i="17"/>
  <c r="R287" i="17"/>
  <c r="R251" i="17"/>
  <c r="R227" i="17"/>
  <c r="R202" i="17"/>
  <c r="R131" i="17"/>
  <c r="R77" i="17"/>
  <c r="R41" i="17"/>
  <c r="R23" i="17"/>
  <c r="R388" i="17"/>
  <c r="R368" i="17"/>
  <c r="R166" i="17"/>
  <c r="R357" i="17"/>
  <c r="R334" i="17"/>
  <c r="R310" i="17"/>
  <c r="R286" i="17"/>
  <c r="R262" i="17"/>
  <c r="R238" i="17"/>
  <c r="R214" i="17"/>
  <c r="R148" i="17"/>
  <c r="R112" i="17"/>
  <c r="R76" i="17"/>
  <c r="R58" i="17"/>
  <c r="R22" i="17"/>
  <c r="R387" i="17"/>
  <c r="R365" i="17"/>
  <c r="R197" i="17"/>
  <c r="R164" i="17"/>
  <c r="R384" i="17"/>
  <c r="R375" i="17"/>
  <c r="R364" i="17"/>
  <c r="R353" i="17"/>
  <c r="R344" i="17"/>
  <c r="R332" i="17"/>
  <c r="R320" i="17"/>
  <c r="R308" i="17"/>
  <c r="R296" i="17"/>
  <c r="R284" i="17"/>
  <c r="R272" i="17"/>
  <c r="R260" i="17"/>
  <c r="R248" i="17"/>
  <c r="R236" i="17"/>
  <c r="R224" i="17"/>
  <c r="R209" i="17"/>
  <c r="R196" i="17"/>
  <c r="R178" i="17"/>
  <c r="R293" i="17"/>
  <c r="R233" i="17"/>
  <c r="R124" i="17"/>
  <c r="R16" i="17"/>
  <c r="R372" i="17"/>
  <c r="R352" i="17"/>
  <c r="R191" i="17"/>
  <c r="R382" i="17"/>
  <c r="R280" i="17"/>
  <c r="R383" i="17"/>
  <c r="R269" i="17"/>
  <c r="R34" i="17"/>
  <c r="R363" i="17"/>
  <c r="R208" i="17"/>
  <c r="R173" i="17"/>
  <c r="R393" i="17"/>
  <c r="R371" i="17"/>
  <c r="R362" i="17"/>
  <c r="R340" i="17"/>
  <c r="R328" i="17"/>
  <c r="R316" i="17"/>
  <c r="R304" i="17"/>
  <c r="R292" i="17"/>
  <c r="R268" i="17"/>
  <c r="R256" i="17"/>
  <c r="R244" i="17"/>
  <c r="R232" i="17"/>
  <c r="R220" i="17"/>
  <c r="R155" i="17"/>
  <c r="R137" i="17"/>
  <c r="R119" i="17"/>
  <c r="R101" i="17"/>
  <c r="R83" i="17"/>
  <c r="R65" i="17"/>
  <c r="R47" i="17"/>
  <c r="R29" i="17"/>
  <c r="R11" i="17"/>
  <c r="R392" i="17"/>
  <c r="R360" i="17"/>
  <c r="R351" i="17"/>
  <c r="R206" i="17"/>
  <c r="R190" i="17"/>
  <c r="R172" i="17"/>
  <c r="R390" i="17"/>
  <c r="R381" i="17"/>
  <c r="R370" i="17"/>
  <c r="R359" i="17"/>
  <c r="R350" i="17"/>
  <c r="R339" i="17"/>
  <c r="R327" i="17"/>
  <c r="R315" i="17"/>
  <c r="R303" i="17"/>
  <c r="R291" i="17"/>
  <c r="R279" i="17"/>
  <c r="R267" i="17"/>
  <c r="R255" i="17"/>
  <c r="R243" i="17"/>
  <c r="R231" i="17"/>
  <c r="R219" i="17"/>
  <c r="R203" i="17"/>
  <c r="R154" i="17"/>
  <c r="R136" i="17"/>
  <c r="R118" i="17"/>
  <c r="R100" i="17"/>
  <c r="R82" i="17"/>
  <c r="R64" i="17"/>
  <c r="R46" i="17"/>
  <c r="R28" i="17"/>
  <c r="R10" i="17"/>
  <c r="R305" i="17"/>
  <c r="R245" i="17"/>
  <c r="R142" i="17"/>
  <c r="R106" i="17"/>
  <c r="R52" i="17"/>
  <c r="R338" i="17"/>
  <c r="R302" i="17"/>
  <c r="R242" i="17"/>
  <c r="R275" i="17"/>
  <c r="R213" i="17"/>
  <c r="R195" i="17"/>
  <c r="R183" i="17"/>
  <c r="R165" i="17"/>
  <c r="R153" i="17"/>
  <c r="R141" i="17"/>
  <c r="R129" i="17"/>
  <c r="R111" i="17"/>
  <c r="R99" i="17"/>
  <c r="R75" i="17"/>
  <c r="R45" i="17"/>
  <c r="R207" i="17"/>
  <c r="R201" i="17"/>
  <c r="R189" i="17"/>
  <c r="R177" i="17"/>
  <c r="R171" i="17"/>
  <c r="R159" i="17"/>
  <c r="R147" i="17"/>
  <c r="R135" i="17"/>
  <c r="R123" i="17"/>
  <c r="R117" i="17"/>
  <c r="R105" i="17"/>
  <c r="R93" i="17"/>
  <c r="R87" i="17"/>
  <c r="R81" i="17"/>
  <c r="R69" i="17"/>
  <c r="R63" i="17"/>
  <c r="R57" i="17"/>
  <c r="R51" i="17"/>
  <c r="R39" i="17"/>
  <c r="R33" i="17"/>
  <c r="R27" i="17"/>
  <c r="R21" i="17"/>
  <c r="R15" i="17"/>
  <c r="R9" i="17"/>
  <c r="R194" i="17"/>
  <c r="R188" i="17"/>
  <c r="R182" i="17"/>
  <c r="R176" i="17"/>
  <c r="R170" i="17"/>
  <c r="R152" i="17"/>
  <c r="R146" i="17"/>
  <c r="R140" i="17"/>
  <c r="R134" i="17"/>
  <c r="R128" i="17"/>
  <c r="R122" i="17"/>
  <c r="R116" i="17"/>
  <c r="R110" i="17"/>
  <c r="R104" i="17"/>
  <c r="R98" i="17"/>
  <c r="R92" i="17"/>
  <c r="R86" i="17"/>
  <c r="R80" i="17"/>
  <c r="R74" i="17"/>
  <c r="R68" i="17"/>
  <c r="R62" i="17"/>
  <c r="R56" i="17"/>
  <c r="R50" i="17"/>
  <c r="R44" i="17"/>
  <c r="R38" i="17"/>
  <c r="R32" i="17"/>
  <c r="R26" i="17"/>
  <c r="R20" i="17"/>
  <c r="R14" i="17"/>
  <c r="R8" i="17"/>
  <c r="R379" i="17"/>
  <c r="R367" i="17"/>
  <c r="R355" i="17"/>
  <c r="R343" i="17"/>
  <c r="R331" i="17"/>
  <c r="R319" i="17"/>
  <c r="R301" i="17"/>
  <c r="R289" i="17"/>
  <c r="R277" i="17"/>
  <c r="R259" i="17"/>
  <c r="R247" i="17"/>
  <c r="R235" i="17"/>
  <c r="R229" i="17"/>
  <c r="R217" i="17"/>
  <c r="R211" i="17"/>
  <c r="R205" i="17"/>
  <c r="R199" i="17"/>
  <c r="R193" i="17"/>
  <c r="R187" i="17"/>
  <c r="R181" i="17"/>
  <c r="R175" i="17"/>
  <c r="R169" i="17"/>
  <c r="R157" i="17"/>
  <c r="R151" i="17"/>
  <c r="R145" i="17"/>
  <c r="R139" i="17"/>
  <c r="R133" i="17"/>
  <c r="R127" i="17"/>
  <c r="R121" i="17"/>
  <c r="R115" i="17"/>
  <c r="R109" i="17"/>
  <c r="R103" i="17"/>
  <c r="R97" i="17"/>
  <c r="R91" i="17"/>
  <c r="R85" i="17"/>
  <c r="R79" i="17"/>
  <c r="R73" i="17"/>
  <c r="R67" i="17"/>
  <c r="R61" i="17"/>
  <c r="R55" i="17"/>
  <c r="R49" i="17"/>
  <c r="R43" i="17"/>
  <c r="R37" i="17"/>
  <c r="R31" i="17"/>
  <c r="R25" i="17"/>
  <c r="R19" i="17"/>
  <c r="R13" i="17"/>
  <c r="R7" i="17"/>
  <c r="R158" i="17"/>
  <c r="R391" i="17"/>
  <c r="R385" i="17"/>
  <c r="R373" i="17"/>
  <c r="R361" i="17"/>
  <c r="R349" i="17"/>
  <c r="R337" i="17"/>
  <c r="R325" i="17"/>
  <c r="R313" i="17"/>
  <c r="R307" i="17"/>
  <c r="R295" i="17"/>
  <c r="R283" i="17"/>
  <c r="R271" i="17"/>
  <c r="R265" i="17"/>
  <c r="R253" i="17"/>
  <c r="R241" i="17"/>
  <c r="R223" i="17"/>
  <c r="R163" i="17"/>
  <c r="R336" i="17"/>
  <c r="R324" i="17"/>
  <c r="R306" i="17"/>
  <c r="R288" i="17"/>
  <c r="R276" i="17"/>
  <c r="R264" i="17"/>
  <c r="R252" i="17"/>
  <c r="R240" i="17"/>
  <c r="R222" i="17"/>
  <c r="R210" i="17"/>
  <c r="R198" i="17"/>
  <c r="R186" i="17"/>
  <c r="R174" i="17"/>
  <c r="R162" i="17"/>
  <c r="R150" i="17"/>
  <c r="R138" i="17"/>
  <c r="R126" i="17"/>
  <c r="R114" i="17"/>
  <c r="R108" i="17"/>
  <c r="R96" i="17"/>
  <c r="R90" i="17"/>
  <c r="R84" i="17"/>
  <c r="R78" i="17"/>
  <c r="R72" i="17"/>
  <c r="R66" i="17"/>
  <c r="R60" i="17"/>
  <c r="R54" i="17"/>
  <c r="R48" i="17"/>
  <c r="R36" i="17"/>
  <c r="R30" i="17"/>
  <c r="R24" i="17"/>
  <c r="R18" i="17"/>
  <c r="R12" i="17"/>
  <c r="R6" i="17"/>
  <c r="R342" i="17"/>
  <c r="R330" i="17"/>
  <c r="R318" i="17"/>
  <c r="R312" i="17"/>
  <c r="R300" i="17"/>
  <c r="R294" i="17"/>
  <c r="R282" i="17"/>
  <c r="R270" i="17"/>
  <c r="R258" i="17"/>
  <c r="R246" i="17"/>
  <c r="R234" i="17"/>
  <c r="R228" i="17"/>
  <c r="R216" i="17"/>
  <c r="R204" i="17"/>
  <c r="R192" i="17"/>
  <c r="R180" i="17"/>
  <c r="R168" i="17"/>
  <c r="R156" i="17"/>
  <c r="R144" i="17"/>
  <c r="R132" i="17"/>
  <c r="R120" i="17"/>
  <c r="R102" i="17"/>
  <c r="R42" i="17"/>
  <c r="R3" i="17"/>
  <c r="Q368" i="17"/>
  <c r="Q377" i="17"/>
  <c r="Q336" i="17"/>
  <c r="Q170" i="17"/>
  <c r="Q47" i="17"/>
  <c r="Q362" i="17"/>
  <c r="Q341" i="17"/>
  <c r="Q35" i="17"/>
  <c r="Q371" i="17"/>
  <c r="Q330" i="17"/>
  <c r="Q309" i="17"/>
  <c r="Q285" i="17"/>
  <c r="Q261" i="17"/>
  <c r="Q237" i="17"/>
  <c r="Q213" i="17"/>
  <c r="Q189" i="17"/>
  <c r="Q161" i="17"/>
  <c r="Q146" i="17"/>
  <c r="Q381" i="17"/>
  <c r="Q350" i="17"/>
  <c r="Q308" i="17"/>
  <c r="Q284" i="17"/>
  <c r="Q260" i="17"/>
  <c r="Q236" i="17"/>
  <c r="Q224" i="17"/>
  <c r="Q200" i="17"/>
  <c r="Q143" i="17"/>
  <c r="Q110" i="17"/>
  <c r="Q74" i="17"/>
  <c r="Q32" i="17"/>
  <c r="Q390" i="17"/>
  <c r="Q380" i="17"/>
  <c r="Q359" i="17"/>
  <c r="Q339" i="17"/>
  <c r="Q318" i="17"/>
  <c r="Q173" i="17"/>
  <c r="Q107" i="17"/>
  <c r="Q89" i="17"/>
  <c r="Q71" i="17"/>
  <c r="Q53" i="17"/>
  <c r="Q29" i="17"/>
  <c r="Q347" i="17"/>
  <c r="Q357" i="17"/>
  <c r="Q137" i="17"/>
  <c r="Q68" i="17"/>
  <c r="Q393" i="17"/>
  <c r="Q372" i="17"/>
  <c r="Q321" i="17"/>
  <c r="Q11" i="17"/>
  <c r="Q392" i="17"/>
  <c r="Q351" i="17"/>
  <c r="Q320" i="17"/>
  <c r="Q297" i="17"/>
  <c r="Q273" i="17"/>
  <c r="Q249" i="17"/>
  <c r="Q225" i="17"/>
  <c r="Q201" i="17"/>
  <c r="Q176" i="17"/>
  <c r="Q128" i="17"/>
  <c r="Q360" i="17"/>
  <c r="Q329" i="17"/>
  <c r="Q296" i="17"/>
  <c r="Q272" i="17"/>
  <c r="Q248" i="17"/>
  <c r="Q212" i="17"/>
  <c r="Q188" i="17"/>
  <c r="Q125" i="17"/>
  <c r="Q92" i="17"/>
  <c r="Q56" i="17"/>
  <c r="Q389" i="17"/>
  <c r="Q369" i="17"/>
  <c r="Q348" i="17"/>
  <c r="Q338" i="17"/>
  <c r="Q317" i="17"/>
  <c r="Q305" i="17"/>
  <c r="Q293" i="17"/>
  <c r="Q281" i="17"/>
  <c r="Q269" i="17"/>
  <c r="Q257" i="17"/>
  <c r="Q245" i="17"/>
  <c r="Q233" i="17"/>
  <c r="Q221" i="17"/>
  <c r="Q209" i="17"/>
  <c r="Q197" i="17"/>
  <c r="Q185" i="17"/>
  <c r="Q158" i="17"/>
  <c r="Q327" i="17"/>
  <c r="Q140" i="17"/>
  <c r="Q122" i="17"/>
  <c r="Q50" i="17"/>
  <c r="Q26" i="17"/>
  <c r="Q378" i="17"/>
  <c r="Q326" i="17"/>
  <c r="Q155" i="17"/>
  <c r="Q104" i="17"/>
  <c r="Q23" i="17"/>
  <c r="Q366" i="17"/>
  <c r="Q335" i="17"/>
  <c r="Q315" i="17"/>
  <c r="Q303" i="17"/>
  <c r="Q291" i="17"/>
  <c r="Q279" i="17"/>
  <c r="Q267" i="17"/>
  <c r="Q243" i="17"/>
  <c r="Q231" i="17"/>
  <c r="Q219" i="17"/>
  <c r="Q207" i="17"/>
  <c r="Q195" i="17"/>
  <c r="Q183" i="17"/>
  <c r="Q119" i="17"/>
  <c r="Q101" i="17"/>
  <c r="Q83" i="17"/>
  <c r="Q65" i="17"/>
  <c r="Q386" i="17"/>
  <c r="Q365" i="17"/>
  <c r="Q345" i="17"/>
  <c r="Q324" i="17"/>
  <c r="Q314" i="17"/>
  <c r="Q302" i="17"/>
  <c r="Q290" i="17"/>
  <c r="Q278" i="17"/>
  <c r="Q266" i="17"/>
  <c r="Q254" i="17"/>
  <c r="Q242" i="17"/>
  <c r="Q230" i="17"/>
  <c r="Q218" i="17"/>
  <c r="Q206" i="17"/>
  <c r="Q194" i="17"/>
  <c r="Q182" i="17"/>
  <c r="Q167" i="17"/>
  <c r="Q44" i="17"/>
  <c r="Q20" i="17"/>
  <c r="Q375" i="17"/>
  <c r="Q354" i="17"/>
  <c r="Q344" i="17"/>
  <c r="Q323" i="17"/>
  <c r="Q152" i="17"/>
  <c r="Q134" i="17"/>
  <c r="Q41" i="17"/>
  <c r="Q17" i="17"/>
  <c r="Q86" i="17"/>
  <c r="Q387" i="17"/>
  <c r="Q356" i="17"/>
  <c r="Q255" i="17"/>
  <c r="Q384" i="17"/>
  <c r="Q374" i="17"/>
  <c r="Q353" i="17"/>
  <c r="Q333" i="17"/>
  <c r="Q311" i="17"/>
  <c r="Q299" i="17"/>
  <c r="Q287" i="17"/>
  <c r="Q275" i="17"/>
  <c r="Q263" i="17"/>
  <c r="Q251" i="17"/>
  <c r="Q239" i="17"/>
  <c r="Q227" i="17"/>
  <c r="Q215" i="17"/>
  <c r="Q203" i="17"/>
  <c r="Q191" i="17"/>
  <c r="Q179" i="17"/>
  <c r="Q149" i="17"/>
  <c r="Q131" i="17"/>
  <c r="Q116" i="17"/>
  <c r="Q98" i="17"/>
  <c r="Q80" i="17"/>
  <c r="Q62" i="17"/>
  <c r="Q383" i="17"/>
  <c r="Q363" i="17"/>
  <c r="Q342" i="17"/>
  <c r="Q332" i="17"/>
  <c r="Q164" i="17"/>
  <c r="Q113" i="17"/>
  <c r="Q95" i="17"/>
  <c r="Q77" i="17"/>
  <c r="Q59" i="17"/>
  <c r="Q38" i="17"/>
  <c r="Q14" i="17"/>
  <c r="Q177" i="17"/>
  <c r="Q165" i="17"/>
  <c r="Q153" i="17"/>
  <c r="Q141" i="17"/>
  <c r="Q129" i="17"/>
  <c r="Q117" i="17"/>
  <c r="Q93" i="17"/>
  <c r="Q57" i="17"/>
  <c r="Q171" i="17"/>
  <c r="Q159" i="17"/>
  <c r="Q147" i="17"/>
  <c r="Q135" i="17"/>
  <c r="Q123" i="17"/>
  <c r="Q111" i="17"/>
  <c r="Q105" i="17"/>
  <c r="Q99" i="17"/>
  <c r="Q87" i="17"/>
  <c r="Q81" i="17"/>
  <c r="Q75" i="17"/>
  <c r="Q69" i="17"/>
  <c r="Q63" i="17"/>
  <c r="Q51" i="17"/>
  <c r="Q45" i="17"/>
  <c r="Q39" i="17"/>
  <c r="Q33" i="17"/>
  <c r="Q27" i="17"/>
  <c r="Q21" i="17"/>
  <c r="Q15" i="17"/>
  <c r="Q9" i="17"/>
  <c r="Q8" i="17"/>
  <c r="Q385" i="17"/>
  <c r="Q373" i="17"/>
  <c r="Q367" i="17"/>
  <c r="Q355" i="17"/>
  <c r="Q343" i="17"/>
  <c r="Q331" i="17"/>
  <c r="Q319" i="17"/>
  <c r="Q307" i="17"/>
  <c r="Q295" i="17"/>
  <c r="Q289" i="17"/>
  <c r="Q277" i="17"/>
  <c r="Q271" i="17"/>
  <c r="Q265" i="17"/>
  <c r="Q259" i="17"/>
  <c r="Q253" i="17"/>
  <c r="Q247" i="17"/>
  <c r="Q241" i="17"/>
  <c r="Q235" i="17"/>
  <c r="Q229" i="17"/>
  <c r="Q217" i="17"/>
  <c r="Q211" i="17"/>
  <c r="Q205" i="17"/>
  <c r="Q199" i="17"/>
  <c r="Q193" i="17"/>
  <c r="Q187" i="17"/>
  <c r="Q181" i="17"/>
  <c r="Q175" i="17"/>
  <c r="Q169" i="17"/>
  <c r="Q163" i="17"/>
  <c r="Q157" i="17"/>
  <c r="Q151" i="17"/>
  <c r="Q145" i="17"/>
  <c r="Q139" i="17"/>
  <c r="Q133" i="17"/>
  <c r="Q127" i="17"/>
  <c r="Q121" i="17"/>
  <c r="Q115" i="17"/>
  <c r="Q109" i="17"/>
  <c r="Q103" i="17"/>
  <c r="Q97" i="17"/>
  <c r="Q91" i="17"/>
  <c r="Q85" i="17"/>
  <c r="Q79" i="17"/>
  <c r="Q73" i="17"/>
  <c r="Q67" i="17"/>
  <c r="Q61" i="17"/>
  <c r="Q55" i="17"/>
  <c r="Q49" i="17"/>
  <c r="Q43" i="17"/>
  <c r="Q37" i="17"/>
  <c r="Q31" i="17"/>
  <c r="Q25" i="17"/>
  <c r="Q19" i="17"/>
  <c r="Q13" i="17"/>
  <c r="Q7" i="17"/>
  <c r="Q391" i="17"/>
  <c r="Q379" i="17"/>
  <c r="Q361" i="17"/>
  <c r="Q349" i="17"/>
  <c r="Q337" i="17"/>
  <c r="Q325" i="17"/>
  <c r="Q313" i="17"/>
  <c r="Q301" i="17"/>
  <c r="Q283" i="17"/>
  <c r="Q223" i="17"/>
  <c r="Q312" i="17"/>
  <c r="Q300" i="17"/>
  <c r="Q288" i="17"/>
  <c r="Q270" i="17"/>
  <c r="Q258" i="17"/>
  <c r="Q246" i="17"/>
  <c r="Q228" i="17"/>
  <c r="Q216" i="17"/>
  <c r="Q198" i="17"/>
  <c r="Q186" i="17"/>
  <c r="Q174" i="17"/>
  <c r="Q162" i="17"/>
  <c r="Q144" i="17"/>
  <c r="Q132" i="17"/>
  <c r="Q120" i="17"/>
  <c r="Q108" i="17"/>
  <c r="Q96" i="17"/>
  <c r="Q84" i="17"/>
  <c r="Q72" i="17"/>
  <c r="Q66" i="17"/>
  <c r="Q60" i="17"/>
  <c r="Q54" i="17"/>
  <c r="Q48" i="17"/>
  <c r="Q42" i="17"/>
  <c r="Q36" i="17"/>
  <c r="Q30" i="17"/>
  <c r="Q24" i="17"/>
  <c r="Q12" i="17"/>
  <c r="Q6" i="17"/>
  <c r="Q306" i="17"/>
  <c r="Q294" i="17"/>
  <c r="Q282" i="17"/>
  <c r="Q276" i="17"/>
  <c r="Q264" i="17"/>
  <c r="Q252" i="17"/>
  <c r="Q240" i="17"/>
  <c r="Q234" i="17"/>
  <c r="Q222" i="17"/>
  <c r="Q210" i="17"/>
  <c r="Q204" i="17"/>
  <c r="Q192" i="17"/>
  <c r="Q180" i="17"/>
  <c r="Q168" i="17"/>
  <c r="Q156" i="17"/>
  <c r="Q150" i="17"/>
  <c r="Q138" i="17"/>
  <c r="Q126" i="17"/>
  <c r="Q114" i="17"/>
  <c r="Q102" i="17"/>
  <c r="Q90" i="17"/>
  <c r="Q78" i="17"/>
  <c r="Q18" i="17"/>
  <c r="Q5" i="17"/>
  <c r="Q388" i="17"/>
  <c r="Q382" i="17"/>
  <c r="Q376" i="17"/>
  <c r="Q370" i="17"/>
  <c r="Q364" i="17"/>
  <c r="Q358" i="17"/>
  <c r="Q352" i="17"/>
  <c r="Q346" i="17"/>
  <c r="Q340" i="17"/>
  <c r="Q334" i="17"/>
  <c r="Q328" i="17"/>
  <c r="Q322" i="17"/>
  <c r="Q316" i="17"/>
  <c r="Q310" i="17"/>
  <c r="Q304" i="17"/>
  <c r="Q298" i="17"/>
  <c r="Q292" i="17"/>
  <c r="Q286" i="17"/>
  <c r="Q280" i="17"/>
  <c r="Q274" i="17"/>
  <c r="Q268" i="17"/>
  <c r="Q262" i="17"/>
  <c r="Q256" i="17"/>
  <c r="Q250" i="17"/>
  <c r="Q244" i="17"/>
  <c r="Q238" i="17"/>
  <c r="Q232" i="17"/>
  <c r="Q226" i="17"/>
  <c r="Q220" i="17"/>
  <c r="Q214" i="17"/>
  <c r="Q208" i="17"/>
  <c r="Q202" i="17"/>
  <c r="Q196" i="17"/>
  <c r="Q190" i="17"/>
  <c r="Q184" i="17"/>
  <c r="Q178" i="17"/>
  <c r="Q172" i="17"/>
  <c r="Q166" i="17"/>
  <c r="Q160" i="17"/>
  <c r="Q154" i="17"/>
  <c r="Q148" i="17"/>
  <c r="Q142" i="17"/>
  <c r="Q136" i="17"/>
  <c r="Q130" i="17"/>
  <c r="Q124" i="17"/>
  <c r="Q118" i="17"/>
  <c r="Q112" i="17"/>
  <c r="Q106" i="17"/>
  <c r="Q100" i="17"/>
  <c r="Q94" i="17"/>
  <c r="Q88" i="17"/>
  <c r="Q82" i="17"/>
  <c r="Q76" i="17"/>
  <c r="Q70" i="17"/>
  <c r="Q64" i="17"/>
  <c r="Q58" i="17"/>
  <c r="Q52" i="17"/>
  <c r="Q46" i="17"/>
  <c r="Q40" i="17"/>
  <c r="Q34" i="17"/>
  <c r="Q28" i="17"/>
  <c r="Q22" i="17"/>
  <c r="Q16" i="17"/>
  <c r="Q10" i="17"/>
  <c r="Q4" i="17"/>
  <c r="Q3" i="17"/>
  <c r="P386" i="17"/>
  <c r="P380" i="17"/>
  <c r="P362" i="17"/>
  <c r="P302" i="17"/>
  <c r="P212" i="17"/>
  <c r="P373" i="17"/>
  <c r="P343" i="17"/>
  <c r="P319" i="17"/>
  <c r="P289" i="17"/>
  <c r="P259" i="17"/>
  <c r="P235" i="17"/>
  <c r="P229" i="17"/>
  <c r="P199" i="17"/>
  <c r="P248" i="17"/>
  <c r="P368" i="17"/>
  <c r="P332" i="17"/>
  <c r="P296" i="17"/>
  <c r="P272" i="17"/>
  <c r="P206" i="17"/>
  <c r="P379" i="17"/>
  <c r="P355" i="17"/>
  <c r="P331" i="17"/>
  <c r="P301" i="17"/>
  <c r="P277" i="17"/>
  <c r="P247" i="17"/>
  <c r="P205" i="17"/>
  <c r="P390" i="17"/>
  <c r="P384" i="17"/>
  <c r="P378" i="17"/>
  <c r="P372" i="17"/>
  <c r="P366" i="17"/>
  <c r="P360" i="17"/>
  <c r="P354" i="17"/>
  <c r="P348" i="17"/>
  <c r="P342" i="17"/>
  <c r="P336" i="17"/>
  <c r="P330" i="17"/>
  <c r="P324" i="17"/>
  <c r="P318" i="17"/>
  <c r="P312" i="17"/>
  <c r="P306" i="17"/>
  <c r="P300" i="17"/>
  <c r="P294" i="17"/>
  <c r="P288" i="17"/>
  <c r="P282" i="17"/>
  <c r="P276" i="17"/>
  <c r="P270" i="17"/>
  <c r="P264" i="17"/>
  <c r="P258" i="17"/>
  <c r="P252" i="17"/>
  <c r="P246" i="17"/>
  <c r="P240" i="17"/>
  <c r="P234" i="17"/>
  <c r="P228" i="17"/>
  <c r="P222" i="17"/>
  <c r="P216" i="17"/>
  <c r="P210" i="17"/>
  <c r="P204" i="17"/>
  <c r="P198" i="17"/>
  <c r="P242" i="17"/>
  <c r="P260" i="17"/>
  <c r="P356" i="17"/>
  <c r="P290" i="17"/>
  <c r="P218" i="17"/>
  <c r="P391" i="17"/>
  <c r="P367" i="17"/>
  <c r="P337" i="17"/>
  <c r="P307" i="17"/>
  <c r="P283" i="17"/>
  <c r="P253" i="17"/>
  <c r="P223" i="17"/>
  <c r="P383" i="17"/>
  <c r="P377" i="17"/>
  <c r="P371" i="17"/>
  <c r="P365" i="17"/>
  <c r="P359" i="17"/>
  <c r="P353" i="17"/>
  <c r="P347" i="17"/>
  <c r="P341" i="17"/>
  <c r="P335" i="17"/>
  <c r="P329" i="17"/>
  <c r="P323" i="17"/>
  <c r="P317" i="17"/>
  <c r="P311" i="17"/>
  <c r="P305" i="17"/>
  <c r="P299" i="17"/>
  <c r="P293" i="17"/>
  <c r="P287" i="17"/>
  <c r="P281" i="17"/>
  <c r="P275" i="17"/>
  <c r="P269" i="17"/>
  <c r="P263" i="17"/>
  <c r="P257" i="17"/>
  <c r="P251" i="17"/>
  <c r="P245" i="17"/>
  <c r="P239" i="17"/>
  <c r="P233" i="17"/>
  <c r="P227" i="17"/>
  <c r="P221" i="17"/>
  <c r="P215" i="17"/>
  <c r="P209" i="17"/>
  <c r="P203" i="17"/>
  <c r="P197" i="17"/>
  <c r="P344" i="17"/>
  <c r="P236" i="17"/>
  <c r="P349" i="17"/>
  <c r="P313" i="17"/>
  <c r="P265" i="17"/>
  <c r="P217" i="17"/>
  <c r="P382" i="17"/>
  <c r="P370" i="17"/>
  <c r="P352" i="17"/>
  <c r="P334" i="17"/>
  <c r="P304" i="17"/>
  <c r="P244" i="17"/>
  <c r="P374" i="17"/>
  <c r="P338" i="17"/>
  <c r="P308" i="17"/>
  <c r="P278" i="17"/>
  <c r="P200" i="17"/>
  <c r="P385" i="17"/>
  <c r="P361" i="17"/>
  <c r="P325" i="17"/>
  <c r="P295" i="17"/>
  <c r="P271" i="17"/>
  <c r="P241" i="17"/>
  <c r="P211" i="17"/>
  <c r="P389" i="17"/>
  <c r="P388" i="17"/>
  <c r="P376" i="17"/>
  <c r="P364" i="17"/>
  <c r="P358" i="17"/>
  <c r="P346" i="17"/>
  <c r="P340" i="17"/>
  <c r="P328" i="17"/>
  <c r="P322" i="17"/>
  <c r="P316" i="17"/>
  <c r="P310" i="17"/>
  <c r="P298" i="17"/>
  <c r="P292" i="17"/>
  <c r="P286" i="17"/>
  <c r="P280" i="17"/>
  <c r="P274" i="17"/>
  <c r="P268" i="17"/>
  <c r="P262" i="17"/>
  <c r="P256" i="17"/>
  <c r="P250" i="17"/>
  <c r="P238" i="17"/>
  <c r="P232" i="17"/>
  <c r="P226" i="17"/>
  <c r="P220" i="17"/>
  <c r="P214" i="17"/>
  <c r="P208" i="17"/>
  <c r="P202" i="17"/>
  <c r="P196" i="17"/>
  <c r="P320" i="17"/>
  <c r="P224" i="17"/>
  <c r="P387" i="17"/>
  <c r="P375" i="17"/>
  <c r="P363" i="17"/>
  <c r="P351" i="17"/>
  <c r="P339" i="17"/>
  <c r="P327" i="17"/>
  <c r="P315" i="17"/>
  <c r="P303" i="17"/>
  <c r="P297" i="17"/>
  <c r="P291" i="17"/>
  <c r="P285" i="17"/>
  <c r="P279" i="17"/>
  <c r="P267" i="17"/>
  <c r="P261" i="17"/>
  <c r="P255" i="17"/>
  <c r="P249" i="17"/>
  <c r="P243" i="17"/>
  <c r="P237" i="17"/>
  <c r="P231" i="17"/>
  <c r="P225" i="17"/>
  <c r="P219" i="17"/>
  <c r="P213" i="17"/>
  <c r="P207" i="17"/>
  <c r="P201" i="17"/>
  <c r="P195" i="17"/>
  <c r="P392" i="17"/>
  <c r="P326" i="17"/>
  <c r="P230" i="17"/>
  <c r="P393" i="17"/>
  <c r="P381" i="17"/>
  <c r="P369" i="17"/>
  <c r="P357" i="17"/>
  <c r="P345" i="17"/>
  <c r="P333" i="17"/>
  <c r="P321" i="17"/>
  <c r="P309" i="17"/>
  <c r="P273" i="17"/>
  <c r="P350" i="17"/>
  <c r="P314" i="17"/>
  <c r="P284" i="17"/>
  <c r="P266" i="17"/>
  <c r="P254" i="17"/>
  <c r="P194" i="17"/>
  <c r="O380" i="17"/>
  <c r="O356" i="17"/>
  <c r="O320" i="17"/>
  <c r="O314" i="17"/>
  <c r="O308" i="17"/>
  <c r="O302" i="17"/>
  <c r="O296" i="17"/>
  <c r="O290" i="17"/>
  <c r="O284" i="17"/>
  <c r="O278" i="17"/>
  <c r="O272" i="17"/>
  <c r="O266" i="17"/>
  <c r="O260" i="17"/>
  <c r="O254" i="17"/>
  <c r="O248" i="17"/>
  <c r="O242" i="17"/>
  <c r="O236" i="17"/>
  <c r="O230" i="17"/>
  <c r="O224" i="17"/>
  <c r="O218" i="17"/>
  <c r="O212" i="17"/>
  <c r="O206" i="17"/>
  <c r="O200" i="17"/>
  <c r="O194" i="17"/>
  <c r="O391" i="17"/>
  <c r="O385" i="17"/>
  <c r="O379" i="17"/>
  <c r="O373" i="17"/>
  <c r="O367" i="17"/>
  <c r="O361" i="17"/>
  <c r="O355" i="17"/>
  <c r="O349" i="17"/>
  <c r="O343" i="17"/>
  <c r="O337" i="17"/>
  <c r="O331" i="17"/>
  <c r="O325" i="17"/>
  <c r="O319" i="17"/>
  <c r="O313" i="17"/>
  <c r="O307" i="17"/>
  <c r="O301" i="17"/>
  <c r="O295" i="17"/>
  <c r="O289" i="17"/>
  <c r="O283" i="17"/>
  <c r="O277" i="17"/>
  <c r="O271" i="17"/>
  <c r="O265" i="17"/>
  <c r="O259" i="17"/>
  <c r="O253" i="17"/>
  <c r="O247" i="17"/>
  <c r="O241" i="17"/>
  <c r="O235" i="17"/>
  <c r="O229" i="17"/>
  <c r="O223" i="17"/>
  <c r="O217" i="17"/>
  <c r="O211" i="17"/>
  <c r="O205" i="17"/>
  <c r="O199" i="17"/>
  <c r="O344" i="17"/>
  <c r="O386" i="17"/>
  <c r="O350" i="17"/>
  <c r="O360" i="17"/>
  <c r="O348" i="17"/>
  <c r="O324" i="17"/>
  <c r="O318" i="17"/>
  <c r="O312" i="17"/>
  <c r="O306" i="17"/>
  <c r="O300" i="17"/>
  <c r="O294" i="17"/>
  <c r="O288" i="17"/>
  <c r="O282" i="17"/>
  <c r="O276" i="17"/>
  <c r="O270" i="17"/>
  <c r="O264" i="17"/>
  <c r="O258" i="17"/>
  <c r="O252" i="17"/>
  <c r="O246" i="17"/>
  <c r="O240" i="17"/>
  <c r="O234" i="17"/>
  <c r="O228" i="17"/>
  <c r="O222" i="17"/>
  <c r="O216" i="17"/>
  <c r="O210" i="17"/>
  <c r="O204" i="17"/>
  <c r="O198" i="17"/>
  <c r="O392" i="17"/>
  <c r="O326" i="17"/>
  <c r="O384" i="17"/>
  <c r="O366" i="17"/>
  <c r="O336" i="17"/>
  <c r="O377" i="17"/>
  <c r="O353" i="17"/>
  <c r="O323" i="17"/>
  <c r="O281" i="17"/>
  <c r="O209" i="17"/>
  <c r="O374" i="17"/>
  <c r="O338" i="17"/>
  <c r="O372" i="17"/>
  <c r="O330" i="17"/>
  <c r="O383" i="17"/>
  <c r="O365" i="17"/>
  <c r="O347" i="17"/>
  <c r="O335" i="17"/>
  <c r="O317" i="17"/>
  <c r="O305" i="17"/>
  <c r="O293" i="17"/>
  <c r="O275" i="17"/>
  <c r="O263" i="17"/>
  <c r="O245" i="17"/>
  <c r="O233" i="17"/>
  <c r="O215" i="17"/>
  <c r="O197" i="17"/>
  <c r="O376" i="17"/>
  <c r="O358" i="17"/>
  <c r="O346" i="17"/>
  <c r="O340" i="17"/>
  <c r="O328" i="17"/>
  <c r="O322" i="17"/>
  <c r="O316" i="17"/>
  <c r="O310" i="17"/>
  <c r="O304" i="17"/>
  <c r="O292" i="17"/>
  <c r="O286" i="17"/>
  <c r="O280" i="17"/>
  <c r="O274" i="17"/>
  <c r="O268" i="17"/>
  <c r="O262" i="17"/>
  <c r="O256" i="17"/>
  <c r="O250" i="17"/>
  <c r="O244" i="17"/>
  <c r="O238" i="17"/>
  <c r="O232" i="17"/>
  <c r="O226" i="17"/>
  <c r="O220" i="17"/>
  <c r="O214" i="17"/>
  <c r="O208" i="17"/>
  <c r="O202" i="17"/>
  <c r="O196" i="17"/>
  <c r="O368" i="17"/>
  <c r="O332" i="17"/>
  <c r="O390" i="17"/>
  <c r="O378" i="17"/>
  <c r="O354" i="17"/>
  <c r="O342" i="17"/>
  <c r="O389" i="17"/>
  <c r="O371" i="17"/>
  <c r="O359" i="17"/>
  <c r="O341" i="17"/>
  <c r="O329" i="17"/>
  <c r="O311" i="17"/>
  <c r="O299" i="17"/>
  <c r="O287" i="17"/>
  <c r="O269" i="17"/>
  <c r="O257" i="17"/>
  <c r="O251" i="17"/>
  <c r="O239" i="17"/>
  <c r="O227" i="17"/>
  <c r="O221" i="17"/>
  <c r="O203" i="17"/>
  <c r="O388" i="17"/>
  <c r="O382" i="17"/>
  <c r="O370" i="17"/>
  <c r="O364" i="17"/>
  <c r="O352" i="17"/>
  <c r="O334" i="17"/>
  <c r="O298" i="17"/>
  <c r="O362" i="17"/>
  <c r="O393" i="17"/>
  <c r="O387" i="17"/>
  <c r="O381" i="17"/>
  <c r="O375" i="17"/>
  <c r="O369" i="17"/>
  <c r="O363" i="17"/>
  <c r="O357" i="17"/>
  <c r="O351" i="17"/>
  <c r="O345" i="17"/>
  <c r="O339" i="17"/>
  <c r="O333" i="17"/>
  <c r="O327" i="17"/>
  <c r="O321" i="17"/>
  <c r="O315" i="17"/>
  <c r="O309" i="17"/>
  <c r="O303" i="17"/>
  <c r="O297" i="17"/>
  <c r="O291" i="17"/>
  <c r="O285" i="17"/>
  <c r="O279" i="17"/>
  <c r="O273" i="17"/>
  <c r="O267" i="17"/>
  <c r="O261" i="17"/>
  <c r="O255" i="17"/>
  <c r="O249" i="17"/>
  <c r="O243" i="17"/>
  <c r="O237" i="17"/>
  <c r="O231" i="17"/>
  <c r="O225" i="17"/>
  <c r="O219" i="17"/>
  <c r="O213" i="17"/>
  <c r="O207" i="17"/>
  <c r="O201" i="17"/>
  <c r="O195" i="17"/>
  <c r="N373" i="17"/>
  <c r="N349" i="17"/>
  <c r="N325" i="17"/>
  <c r="N319" i="17"/>
  <c r="N313" i="17"/>
  <c r="N307" i="17"/>
  <c r="N301" i="17"/>
  <c r="N295" i="17"/>
  <c r="N289" i="17"/>
  <c r="N283" i="17"/>
  <c r="N277" i="17"/>
  <c r="N271" i="17"/>
  <c r="N265" i="17"/>
  <c r="N259" i="17"/>
  <c r="N253" i="17"/>
  <c r="N247" i="17"/>
  <c r="N241" i="17"/>
  <c r="N235" i="17"/>
  <c r="N229" i="17"/>
  <c r="N223" i="17"/>
  <c r="N217" i="17"/>
  <c r="N211" i="17"/>
  <c r="N205" i="17"/>
  <c r="N199" i="17"/>
  <c r="N367" i="17"/>
  <c r="N360" i="17"/>
  <c r="N312" i="17"/>
  <c r="N288" i="17"/>
  <c r="N270" i="17"/>
  <c r="N258" i="17"/>
  <c r="N246" i="17"/>
  <c r="N234" i="17"/>
  <c r="N228" i="17"/>
  <c r="N222" i="17"/>
  <c r="N216" i="17"/>
  <c r="N204" i="17"/>
  <c r="N198" i="17"/>
  <c r="N385" i="17"/>
  <c r="N337" i="17"/>
  <c r="N372" i="17"/>
  <c r="N348" i="17"/>
  <c r="N318" i="17"/>
  <c r="N306" i="17"/>
  <c r="N294" i="17"/>
  <c r="N276" i="17"/>
  <c r="N264" i="17"/>
  <c r="N252" i="17"/>
  <c r="N210" i="17"/>
  <c r="N379" i="17"/>
  <c r="N355" i="17"/>
  <c r="N384" i="17"/>
  <c r="N354" i="17"/>
  <c r="N324" i="17"/>
  <c r="N300" i="17"/>
  <c r="N282" i="17"/>
  <c r="N240" i="17"/>
  <c r="N389" i="17"/>
  <c r="N383" i="17"/>
  <c r="N377" i="17"/>
  <c r="N371" i="17"/>
  <c r="N365" i="17"/>
  <c r="N359" i="17"/>
  <c r="N353" i="17"/>
  <c r="N347" i="17"/>
  <c r="N341" i="17"/>
  <c r="N335" i="17"/>
  <c r="N329" i="17"/>
  <c r="N323" i="17"/>
  <c r="N317" i="17"/>
  <c r="N311" i="17"/>
  <c r="N305" i="17"/>
  <c r="N299" i="17"/>
  <c r="N293" i="17"/>
  <c r="N287" i="17"/>
  <c r="N281" i="17"/>
  <c r="N275" i="17"/>
  <c r="N269" i="17"/>
  <c r="N263" i="17"/>
  <c r="N257" i="17"/>
  <c r="N251" i="17"/>
  <c r="N245" i="17"/>
  <c r="N239" i="17"/>
  <c r="N233" i="17"/>
  <c r="N227" i="17"/>
  <c r="N221" i="17"/>
  <c r="N215" i="17"/>
  <c r="N209" i="17"/>
  <c r="N203" i="17"/>
  <c r="N197" i="17"/>
  <c r="N361" i="17"/>
  <c r="N342" i="17"/>
  <c r="N331" i="17"/>
  <c r="N378" i="17"/>
  <c r="N336" i="17"/>
  <c r="N376" i="17"/>
  <c r="N364" i="17"/>
  <c r="N358" i="17"/>
  <c r="N346" i="17"/>
  <c r="N340" i="17"/>
  <c r="N334" i="17"/>
  <c r="N328" i="17"/>
  <c r="N322" i="17"/>
  <c r="N316" i="17"/>
  <c r="N304" i="17"/>
  <c r="N298" i="17"/>
  <c r="N292" i="17"/>
  <c r="N286" i="17"/>
  <c r="N280" i="17"/>
  <c r="N274" i="17"/>
  <c r="N268" i="17"/>
  <c r="N262" i="17"/>
  <c r="N256" i="17"/>
  <c r="N250" i="17"/>
  <c r="N244" i="17"/>
  <c r="N238" i="17"/>
  <c r="N232" i="17"/>
  <c r="N226" i="17"/>
  <c r="N220" i="17"/>
  <c r="N214" i="17"/>
  <c r="N208" i="17"/>
  <c r="N202" i="17"/>
  <c r="N196" i="17"/>
  <c r="N391" i="17"/>
  <c r="N343" i="17"/>
  <c r="N390" i="17"/>
  <c r="N366" i="17"/>
  <c r="N330" i="17"/>
  <c r="N388" i="17"/>
  <c r="N382" i="17"/>
  <c r="N370" i="17"/>
  <c r="N352" i="17"/>
  <c r="N310" i="17"/>
  <c r="N393" i="17"/>
  <c r="N387" i="17"/>
  <c r="N381" i="17"/>
  <c r="N375" i="17"/>
  <c r="N369" i="17"/>
  <c r="N363" i="17"/>
  <c r="N357" i="17"/>
  <c r="N351" i="17"/>
  <c r="N345" i="17"/>
  <c r="N339" i="17"/>
  <c r="N333" i="17"/>
  <c r="N327" i="17"/>
  <c r="N321" i="17"/>
  <c r="N315" i="17"/>
  <c r="N309" i="17"/>
  <c r="N303" i="17"/>
  <c r="N297" i="17"/>
  <c r="N291" i="17"/>
  <c r="N285" i="17"/>
  <c r="N279" i="17"/>
  <c r="N273" i="17"/>
  <c r="N267" i="17"/>
  <c r="N261" i="17"/>
  <c r="N255" i="17"/>
  <c r="N249" i="17"/>
  <c r="N243" i="17"/>
  <c r="N237" i="17"/>
  <c r="N231" i="17"/>
  <c r="N225" i="17"/>
  <c r="N219" i="17"/>
  <c r="N213" i="17"/>
  <c r="N207" i="17"/>
  <c r="N201" i="17"/>
  <c r="N195" i="17"/>
  <c r="N392" i="17"/>
  <c r="N386" i="17"/>
  <c r="N380" i="17"/>
  <c r="N374" i="17"/>
  <c r="N368" i="17"/>
  <c r="N362" i="17"/>
  <c r="N356" i="17"/>
  <c r="N350" i="17"/>
  <c r="N344" i="17"/>
  <c r="N338" i="17"/>
  <c r="N332" i="17"/>
  <c r="N326" i="17"/>
  <c r="N320" i="17"/>
  <c r="N314" i="17"/>
  <c r="N308" i="17"/>
  <c r="N302" i="17"/>
  <c r="N296" i="17"/>
  <c r="N290" i="17"/>
  <c r="N284" i="17"/>
  <c r="N278" i="17"/>
  <c r="N272" i="17"/>
  <c r="N266" i="17"/>
  <c r="N260" i="17"/>
  <c r="N254" i="17"/>
  <c r="N248" i="17"/>
  <c r="N242" i="17"/>
  <c r="N236" i="17"/>
  <c r="N230" i="17"/>
  <c r="N224" i="17"/>
  <c r="N218" i="17"/>
  <c r="N212" i="17"/>
  <c r="N206" i="17"/>
  <c r="N200" i="17"/>
  <c r="N194" i="17"/>
  <c r="M333" i="17"/>
  <c r="M255" i="17"/>
  <c r="M243" i="17"/>
  <c r="M237" i="17"/>
  <c r="M381" i="17"/>
  <c r="M309" i="17"/>
  <c r="M375" i="17"/>
  <c r="M303" i="17"/>
  <c r="M327" i="17"/>
  <c r="M321" i="17"/>
  <c r="M315" i="17"/>
  <c r="M369" i="17"/>
  <c r="M291" i="17"/>
  <c r="M351" i="17"/>
  <c r="M279" i="17"/>
  <c r="M261" i="17"/>
  <c r="M393" i="17"/>
  <c r="M387" i="17"/>
  <c r="M297" i="17"/>
  <c r="M363" i="17"/>
  <c r="M357" i="17"/>
  <c r="M285" i="17"/>
  <c r="M345" i="17"/>
  <c r="M273" i="17"/>
  <c r="M339" i="17"/>
  <c r="M267" i="17"/>
  <c r="M213" i="17"/>
  <c r="M332" i="17"/>
  <c r="M195" i="17"/>
  <c r="M392" i="17"/>
  <c r="M374" i="17"/>
  <c r="M356" i="17"/>
  <c r="M326" i="17"/>
  <c r="M379" i="17"/>
  <c r="M367" i="17"/>
  <c r="M349" i="17"/>
  <c r="M331" i="17"/>
  <c r="M319" i="17"/>
  <c r="M307" i="17"/>
  <c r="M295" i="17"/>
  <c r="M283" i="17"/>
  <c r="M277" i="17"/>
  <c r="M271" i="17"/>
  <c r="M259" i="17"/>
  <c r="M253" i="17"/>
  <c r="M247" i="17"/>
  <c r="M241" i="17"/>
  <c r="M235" i="17"/>
  <c r="M229" i="17"/>
  <c r="M223" i="17"/>
  <c r="M217" i="17"/>
  <c r="M211" i="17"/>
  <c r="M205" i="17"/>
  <c r="M199" i="17"/>
  <c r="M207" i="17"/>
  <c r="M380" i="17"/>
  <c r="M362" i="17"/>
  <c r="M338" i="17"/>
  <c r="M391" i="17"/>
  <c r="M385" i="17"/>
  <c r="M373" i="17"/>
  <c r="M361" i="17"/>
  <c r="M355" i="17"/>
  <c r="M343" i="17"/>
  <c r="M337" i="17"/>
  <c r="M325" i="17"/>
  <c r="M313" i="17"/>
  <c r="M301" i="17"/>
  <c r="M289" i="17"/>
  <c r="M265" i="17"/>
  <c r="M390" i="17"/>
  <c r="M384" i="17"/>
  <c r="M378" i="17"/>
  <c r="M372" i="17"/>
  <c r="M366" i="17"/>
  <c r="M360" i="17"/>
  <c r="M354" i="17"/>
  <c r="M348" i="17"/>
  <c r="M342" i="17"/>
  <c r="M336" i="17"/>
  <c r="M330" i="17"/>
  <c r="M324" i="17"/>
  <c r="M318" i="17"/>
  <c r="M312" i="17"/>
  <c r="M306" i="17"/>
  <c r="M300" i="17"/>
  <c r="M294" i="17"/>
  <c r="M288" i="17"/>
  <c r="M282" i="17"/>
  <c r="M276" i="17"/>
  <c r="M270" i="17"/>
  <c r="M264" i="17"/>
  <c r="M258" i="17"/>
  <c r="M252" i="17"/>
  <c r="M246" i="17"/>
  <c r="M240" i="17"/>
  <c r="M234" i="17"/>
  <c r="M228" i="17"/>
  <c r="M222" i="17"/>
  <c r="M216" i="17"/>
  <c r="M210" i="17"/>
  <c r="M204" i="17"/>
  <c r="M198" i="17"/>
  <c r="M219" i="17"/>
  <c r="M365" i="17"/>
  <c r="M341" i="17"/>
  <c r="M317" i="17"/>
  <c r="M287" i="17"/>
  <c r="M269" i="17"/>
  <c r="M251" i="17"/>
  <c r="M239" i="17"/>
  <c r="M227" i="17"/>
  <c r="M221" i="17"/>
  <c r="M215" i="17"/>
  <c r="M197" i="17"/>
  <c r="M231" i="17"/>
  <c r="M389" i="17"/>
  <c r="M371" i="17"/>
  <c r="M353" i="17"/>
  <c r="M329" i="17"/>
  <c r="M311" i="17"/>
  <c r="M299" i="17"/>
  <c r="M281" i="17"/>
  <c r="M263" i="17"/>
  <c r="M245" i="17"/>
  <c r="M203" i="17"/>
  <c r="M382" i="17"/>
  <c r="M370" i="17"/>
  <c r="M364" i="17"/>
  <c r="M358" i="17"/>
  <c r="M352" i="17"/>
  <c r="M340" i="17"/>
  <c r="M334" i="17"/>
  <c r="M328" i="17"/>
  <c r="M322" i="17"/>
  <c r="M316" i="17"/>
  <c r="M310" i="17"/>
  <c r="M304" i="17"/>
  <c r="M298" i="17"/>
  <c r="M292" i="17"/>
  <c r="M286" i="17"/>
  <c r="M280" i="17"/>
  <c r="M274" i="17"/>
  <c r="M268" i="17"/>
  <c r="M262" i="17"/>
  <c r="M256" i="17"/>
  <c r="M250" i="17"/>
  <c r="M244" i="17"/>
  <c r="M238" i="17"/>
  <c r="M232" i="17"/>
  <c r="M226" i="17"/>
  <c r="M220" i="17"/>
  <c r="M214" i="17"/>
  <c r="M208" i="17"/>
  <c r="M202" i="17"/>
  <c r="M196" i="17"/>
  <c r="M201" i="17"/>
  <c r="M383" i="17"/>
  <c r="M377" i="17"/>
  <c r="M359" i="17"/>
  <c r="M347" i="17"/>
  <c r="M335" i="17"/>
  <c r="M323" i="17"/>
  <c r="M305" i="17"/>
  <c r="M293" i="17"/>
  <c r="M275" i="17"/>
  <c r="M257" i="17"/>
  <c r="M233" i="17"/>
  <c r="M209" i="17"/>
  <c r="M388" i="17"/>
  <c r="M376" i="17"/>
  <c r="M346" i="17"/>
  <c r="M249" i="17"/>
  <c r="M225" i="17"/>
  <c r="M386" i="17"/>
  <c r="M368" i="17"/>
  <c r="M350" i="17"/>
  <c r="M344" i="17"/>
  <c r="M320" i="17"/>
  <c r="M314" i="17"/>
  <c r="M308" i="17"/>
  <c r="M302" i="17"/>
  <c r="M296" i="17"/>
  <c r="M290" i="17"/>
  <c r="M284" i="17"/>
  <c r="M278" i="17"/>
  <c r="M272" i="17"/>
  <c r="M266" i="17"/>
  <c r="M260" i="17"/>
  <c r="M254" i="17"/>
  <c r="M248" i="17"/>
  <c r="M242" i="17"/>
  <c r="M236" i="17"/>
  <c r="M230" i="17"/>
  <c r="M224" i="17"/>
  <c r="M218" i="17"/>
  <c r="M212" i="17"/>
  <c r="M206" i="17"/>
  <c r="M200" i="17"/>
  <c r="M194" i="17"/>
  <c r="L362" i="17"/>
  <c r="L392" i="17"/>
  <c r="L368" i="17"/>
  <c r="L320" i="17"/>
  <c r="L356" i="17"/>
  <c r="L386" i="17"/>
  <c r="L380" i="17"/>
  <c r="L344" i="17"/>
  <c r="L296" i="17"/>
  <c r="L332" i="17"/>
  <c r="L350" i="17"/>
  <c r="L374" i="17"/>
  <c r="L338" i="17"/>
  <c r="L314" i="17"/>
  <c r="L284" i="17"/>
  <c r="L218" i="17"/>
  <c r="L302" i="17"/>
  <c r="L260" i="17"/>
  <c r="L236" i="17"/>
  <c r="L200" i="17"/>
  <c r="L391" i="17"/>
  <c r="L385" i="17"/>
  <c r="L379" i="17"/>
  <c r="L373" i="17"/>
  <c r="L367" i="17"/>
  <c r="L361" i="17"/>
  <c r="L355" i="17"/>
  <c r="L349" i="17"/>
  <c r="L343" i="17"/>
  <c r="L337" i="17"/>
  <c r="L331" i="17"/>
  <c r="L325" i="17"/>
  <c r="L319" i="17"/>
  <c r="L313" i="17"/>
  <c r="L307" i="17"/>
  <c r="L301" i="17"/>
  <c r="L295" i="17"/>
  <c r="L289" i="17"/>
  <c r="L283" i="17"/>
  <c r="L277" i="17"/>
  <c r="L271" i="17"/>
  <c r="L265" i="17"/>
  <c r="L259" i="17"/>
  <c r="L253" i="17"/>
  <c r="L247" i="17"/>
  <c r="L241" i="17"/>
  <c r="L235" i="17"/>
  <c r="L229" i="17"/>
  <c r="L223" i="17"/>
  <c r="L217" i="17"/>
  <c r="L211" i="17"/>
  <c r="L205" i="17"/>
  <c r="L199" i="17"/>
  <c r="L266" i="17"/>
  <c r="L194" i="17"/>
  <c r="L372" i="17"/>
  <c r="L348" i="17"/>
  <c r="L330" i="17"/>
  <c r="L324" i="17"/>
  <c r="L312" i="17"/>
  <c r="L294" i="17"/>
  <c r="L288" i="17"/>
  <c r="L282" i="17"/>
  <c r="L276" i="17"/>
  <c r="L270" i="17"/>
  <c r="L264" i="17"/>
  <c r="L258" i="17"/>
  <c r="L252" i="17"/>
  <c r="L246" i="17"/>
  <c r="L240" i="17"/>
  <c r="L234" i="17"/>
  <c r="L228" i="17"/>
  <c r="L222" i="17"/>
  <c r="L216" i="17"/>
  <c r="L210" i="17"/>
  <c r="L204" i="17"/>
  <c r="L198" i="17"/>
  <c r="L308" i="17"/>
  <c r="L278" i="17"/>
  <c r="L248" i="17"/>
  <c r="L242" i="17"/>
  <c r="L224" i="17"/>
  <c r="L390" i="17"/>
  <c r="L366" i="17"/>
  <c r="L336" i="17"/>
  <c r="L300" i="17"/>
  <c r="L383" i="17"/>
  <c r="L371" i="17"/>
  <c r="L359" i="17"/>
  <c r="L353" i="17"/>
  <c r="L347" i="17"/>
  <c r="L341" i="17"/>
  <c r="L335" i="17"/>
  <c r="L329" i="17"/>
  <c r="L323" i="17"/>
  <c r="L317" i="17"/>
  <c r="L311" i="17"/>
  <c r="L305" i="17"/>
  <c r="L299" i="17"/>
  <c r="L293" i="17"/>
  <c r="L287" i="17"/>
  <c r="L281" i="17"/>
  <c r="L275" i="17"/>
  <c r="L269" i="17"/>
  <c r="L263" i="17"/>
  <c r="L257" i="17"/>
  <c r="L251" i="17"/>
  <c r="L245" i="17"/>
  <c r="L239" i="17"/>
  <c r="L233" i="17"/>
  <c r="L227" i="17"/>
  <c r="L221" i="17"/>
  <c r="L215" i="17"/>
  <c r="L209" i="17"/>
  <c r="L203" i="17"/>
  <c r="L197" i="17"/>
  <c r="L272" i="17"/>
  <c r="L212" i="17"/>
  <c r="L378" i="17"/>
  <c r="L354" i="17"/>
  <c r="L318" i="17"/>
  <c r="L377" i="17"/>
  <c r="L382" i="17"/>
  <c r="L370" i="17"/>
  <c r="L352" i="17"/>
  <c r="L340" i="17"/>
  <c r="L328" i="17"/>
  <c r="L310" i="17"/>
  <c r="L298" i="17"/>
  <c r="L280" i="17"/>
  <c r="L262" i="17"/>
  <c r="L250" i="17"/>
  <c r="L232" i="17"/>
  <c r="L214" i="17"/>
  <c r="L196" i="17"/>
  <c r="L326" i="17"/>
  <c r="L290" i="17"/>
  <c r="L254" i="17"/>
  <c r="L230" i="17"/>
  <c r="L206" i="17"/>
  <c r="L384" i="17"/>
  <c r="L360" i="17"/>
  <c r="L342" i="17"/>
  <c r="L306" i="17"/>
  <c r="L389" i="17"/>
  <c r="L365" i="17"/>
  <c r="L388" i="17"/>
  <c r="L376" i="17"/>
  <c r="L364" i="17"/>
  <c r="L358" i="17"/>
  <c r="L346" i="17"/>
  <c r="L334" i="17"/>
  <c r="L322" i="17"/>
  <c r="L316" i="17"/>
  <c r="L304" i="17"/>
  <c r="L292" i="17"/>
  <c r="L286" i="17"/>
  <c r="L274" i="17"/>
  <c r="L268" i="17"/>
  <c r="L256" i="17"/>
  <c r="L244" i="17"/>
  <c r="L238" i="17"/>
  <c r="L226" i="17"/>
  <c r="L220" i="17"/>
  <c r="L208" i="17"/>
  <c r="L202" i="17"/>
  <c r="L393" i="17"/>
  <c r="L387" i="17"/>
  <c r="L381" i="17"/>
  <c r="L375" i="17"/>
  <c r="L369" i="17"/>
  <c r="L363" i="17"/>
  <c r="L357" i="17"/>
  <c r="L351" i="17"/>
  <c r="L345" i="17"/>
  <c r="L339" i="17"/>
  <c r="L333" i="17"/>
  <c r="L327" i="17"/>
  <c r="L321" i="17"/>
  <c r="L315" i="17"/>
  <c r="L309" i="17"/>
  <c r="L303" i="17"/>
  <c r="L297" i="17"/>
  <c r="L291" i="17"/>
  <c r="L285" i="17"/>
  <c r="L279" i="17"/>
  <c r="L273" i="17"/>
  <c r="L267" i="17"/>
  <c r="L261" i="17"/>
  <c r="L255" i="17"/>
  <c r="L249" i="17"/>
  <c r="L243" i="17"/>
  <c r="L237" i="17"/>
  <c r="L231" i="17"/>
  <c r="L225" i="17"/>
  <c r="L219" i="17"/>
  <c r="L213" i="17"/>
  <c r="L207" i="17"/>
  <c r="L201" i="17"/>
  <c r="L195" i="17"/>
  <c r="K272" i="17"/>
  <c r="K195" i="17"/>
  <c r="K339" i="17"/>
  <c r="K267" i="17"/>
  <c r="K386" i="17"/>
  <c r="K338" i="17"/>
  <c r="K314" i="17"/>
  <c r="K290" i="17"/>
  <c r="K266" i="17"/>
  <c r="K242" i="17"/>
  <c r="K218" i="17"/>
  <c r="K390" i="17"/>
  <c r="K296" i="17"/>
  <c r="K224" i="17"/>
  <c r="K363" i="17"/>
  <c r="K291" i="17"/>
  <c r="K219" i="17"/>
  <c r="K333" i="17"/>
  <c r="K237" i="17"/>
  <c r="K368" i="17"/>
  <c r="K248" i="17"/>
  <c r="K387" i="17"/>
  <c r="K315" i="17"/>
  <c r="K243" i="17"/>
  <c r="K362" i="17"/>
  <c r="K381" i="17"/>
  <c r="K357" i="17"/>
  <c r="K309" i="17"/>
  <c r="K285" i="17"/>
  <c r="K261" i="17"/>
  <c r="K213" i="17"/>
  <c r="K344" i="17"/>
  <c r="K380" i="17"/>
  <c r="K332" i="17"/>
  <c r="K284" i="17"/>
  <c r="K212" i="17"/>
  <c r="K351" i="17"/>
  <c r="K303" i="17"/>
  <c r="K279" i="17"/>
  <c r="K255" i="17"/>
  <c r="K231" i="17"/>
  <c r="K207" i="17"/>
  <c r="K393" i="17"/>
  <c r="K374" i="17"/>
  <c r="K350" i="17"/>
  <c r="K326" i="17"/>
  <c r="K302" i="17"/>
  <c r="K278" i="17"/>
  <c r="K254" i="17"/>
  <c r="K230" i="17"/>
  <c r="K206" i="17"/>
  <c r="K320" i="17"/>
  <c r="K356" i="17"/>
  <c r="K308" i="17"/>
  <c r="K260" i="17"/>
  <c r="K236" i="17"/>
  <c r="K375" i="17"/>
  <c r="K327" i="17"/>
  <c r="K369" i="17"/>
  <c r="K345" i="17"/>
  <c r="K321" i="17"/>
  <c r="K297" i="17"/>
  <c r="K273" i="17"/>
  <c r="K249" i="17"/>
  <c r="K225" i="17"/>
  <c r="K201" i="17"/>
  <c r="K392" i="17"/>
  <c r="K200" i="17"/>
  <c r="K194" i="17"/>
  <c r="K391" i="17"/>
  <c r="K385" i="17"/>
  <c r="K379" i="17"/>
  <c r="K373" i="17"/>
  <c r="K367" i="17"/>
  <c r="K361" i="17"/>
  <c r="K355" i="17"/>
  <c r="K349" i="17"/>
  <c r="K343" i="17"/>
  <c r="K337" i="17"/>
  <c r="K331" i="17"/>
  <c r="K325" i="17"/>
  <c r="K319" i="17"/>
  <c r="K313" i="17"/>
  <c r="K307" i="17"/>
  <c r="K301" i="17"/>
  <c r="K295" i="17"/>
  <c r="K289" i="17"/>
  <c r="K283" i="17"/>
  <c r="K277" i="17"/>
  <c r="K271" i="17"/>
  <c r="K265" i="17"/>
  <c r="K259" i="17"/>
  <c r="K253" i="17"/>
  <c r="K247" i="17"/>
  <c r="K241" i="17"/>
  <c r="K235" i="17"/>
  <c r="K229" i="17"/>
  <c r="K223" i="17"/>
  <c r="K217" i="17"/>
  <c r="K211" i="17"/>
  <c r="K205" i="17"/>
  <c r="K199" i="17"/>
  <c r="K372" i="17"/>
  <c r="K354" i="17"/>
  <c r="K336" i="17"/>
  <c r="K318" i="17"/>
  <c r="K300" i="17"/>
  <c r="K288" i="17"/>
  <c r="K270" i="17"/>
  <c r="K252" i="17"/>
  <c r="K228" i="17"/>
  <c r="K210" i="17"/>
  <c r="K389" i="17"/>
  <c r="K371" i="17"/>
  <c r="K365" i="17"/>
  <c r="K347" i="17"/>
  <c r="K341" i="17"/>
  <c r="K335" i="17"/>
  <c r="K329" i="17"/>
  <c r="K323" i="17"/>
  <c r="K317" i="17"/>
  <c r="K311" i="17"/>
  <c r="K305" i="17"/>
  <c r="K299" i="17"/>
  <c r="K293" i="17"/>
  <c r="K287" i="17"/>
  <c r="K281" i="17"/>
  <c r="K275" i="17"/>
  <c r="K269" i="17"/>
  <c r="K263" i="17"/>
  <c r="K257" i="17"/>
  <c r="K251" i="17"/>
  <c r="K245" i="17"/>
  <c r="K239" i="17"/>
  <c r="K233" i="17"/>
  <c r="K227" i="17"/>
  <c r="K221" i="17"/>
  <c r="K215" i="17"/>
  <c r="K209" i="17"/>
  <c r="K203" i="17"/>
  <c r="K197" i="17"/>
  <c r="K378" i="17"/>
  <c r="K360" i="17"/>
  <c r="K342" i="17"/>
  <c r="K324" i="17"/>
  <c r="K306" i="17"/>
  <c r="K282" i="17"/>
  <c r="K258" i="17"/>
  <c r="K240" i="17"/>
  <c r="K204" i="17"/>
  <c r="K383" i="17"/>
  <c r="K359" i="17"/>
  <c r="K382" i="17"/>
  <c r="K364" i="17"/>
  <c r="K352" i="17"/>
  <c r="K340" i="17"/>
  <c r="K328" i="17"/>
  <c r="K316" i="17"/>
  <c r="K304" i="17"/>
  <c r="K286" i="17"/>
  <c r="K274" i="17"/>
  <c r="K256" i="17"/>
  <c r="K244" i="17"/>
  <c r="K238" i="17"/>
  <c r="K232" i="17"/>
  <c r="K226" i="17"/>
  <c r="K220" i="17"/>
  <c r="K214" i="17"/>
  <c r="K208" i="17"/>
  <c r="K196" i="17"/>
  <c r="K384" i="17"/>
  <c r="K366" i="17"/>
  <c r="K348" i="17"/>
  <c r="K330" i="17"/>
  <c r="K312" i="17"/>
  <c r="K294" i="17"/>
  <c r="K276" i="17"/>
  <c r="K264" i="17"/>
  <c r="K246" i="17"/>
  <c r="K234" i="17"/>
  <c r="K222" i="17"/>
  <c r="K216" i="17"/>
  <c r="K198" i="17"/>
  <c r="K377" i="17"/>
  <c r="K353" i="17"/>
  <c r="K388" i="17"/>
  <c r="K376" i="17"/>
  <c r="K370" i="17"/>
  <c r="K358" i="17"/>
  <c r="K346" i="17"/>
  <c r="K334" i="17"/>
  <c r="K322" i="17"/>
  <c r="K310" i="17"/>
  <c r="K298" i="17"/>
  <c r="K292" i="17"/>
  <c r="K280" i="17"/>
  <c r="K268" i="17"/>
  <c r="K262" i="17"/>
  <c r="K250" i="17"/>
  <c r="K202" i="17"/>
  <c r="J351" i="17"/>
  <c r="J213" i="17"/>
  <c r="J381" i="17"/>
  <c r="J309" i="17"/>
  <c r="J201" i="17"/>
  <c r="J195" i="17"/>
  <c r="J339" i="17"/>
  <c r="J261" i="17"/>
  <c r="J255" i="17"/>
  <c r="J387" i="17"/>
  <c r="J279" i="17"/>
  <c r="J345" i="17"/>
  <c r="J273" i="17"/>
  <c r="J267" i="17"/>
  <c r="J375" i="17"/>
  <c r="J303" i="17"/>
  <c r="J369" i="17"/>
  <c r="J333" i="17"/>
  <c r="J297" i="17"/>
  <c r="J249" i="17"/>
  <c r="J315" i="17"/>
  <c r="J207" i="17"/>
  <c r="J243" i="17"/>
  <c r="J363" i="17"/>
  <c r="J327" i="17"/>
  <c r="J291" i="17"/>
  <c r="J237" i="17"/>
  <c r="J231" i="17"/>
  <c r="J393" i="17"/>
  <c r="J357" i="17"/>
  <c r="J321" i="17"/>
  <c r="J285" i="17"/>
  <c r="J225" i="17"/>
  <c r="J219" i="17"/>
  <c r="J392" i="17"/>
  <c r="J368" i="17"/>
  <c r="J344" i="17"/>
  <c r="J320" i="17"/>
  <c r="J314" i="17"/>
  <c r="J296" i="17"/>
  <c r="J278" i="17"/>
  <c r="J272" i="17"/>
  <c r="J266" i="17"/>
  <c r="J260" i="17"/>
  <c r="J254" i="17"/>
  <c r="J248" i="17"/>
  <c r="J236" i="17"/>
  <c r="J230" i="17"/>
  <c r="J224" i="17"/>
  <c r="J218" i="17"/>
  <c r="J212" i="17"/>
  <c r="J206" i="17"/>
  <c r="J200" i="17"/>
  <c r="J194" i="17"/>
  <c r="J391" i="17"/>
  <c r="J385" i="17"/>
  <c r="J379" i="17"/>
  <c r="J373" i="17"/>
  <c r="J367" i="17"/>
  <c r="J361" i="17"/>
  <c r="J355" i="17"/>
  <c r="J349" i="17"/>
  <c r="J343" i="17"/>
  <c r="J337" i="17"/>
  <c r="J331" i="17"/>
  <c r="J325" i="17"/>
  <c r="J319" i="17"/>
  <c r="J313" i="17"/>
  <c r="J307" i="17"/>
  <c r="J301" i="17"/>
  <c r="J295" i="17"/>
  <c r="J289" i="17"/>
  <c r="J283" i="17"/>
  <c r="J277" i="17"/>
  <c r="J271" i="17"/>
  <c r="J265" i="17"/>
  <c r="J259" i="17"/>
  <c r="J253" i="17"/>
  <c r="J247" i="17"/>
  <c r="J241" i="17"/>
  <c r="J235" i="17"/>
  <c r="J229" i="17"/>
  <c r="J223" i="17"/>
  <c r="J217" i="17"/>
  <c r="J211" i="17"/>
  <c r="J205" i="17"/>
  <c r="J199" i="17"/>
  <c r="J386" i="17"/>
  <c r="J356" i="17"/>
  <c r="J332" i="17"/>
  <c r="J308" i="17"/>
  <c r="J242" i="17"/>
  <c r="J374" i="17"/>
  <c r="J338" i="17"/>
  <c r="J290" i="17"/>
  <c r="J378" i="17"/>
  <c r="J360" i="17"/>
  <c r="J348" i="17"/>
  <c r="J330" i="17"/>
  <c r="J312" i="17"/>
  <c r="J288" i="17"/>
  <c r="J270" i="17"/>
  <c r="J258" i="17"/>
  <c r="J240" i="17"/>
  <c r="J222" i="17"/>
  <c r="J216" i="17"/>
  <c r="J198" i="17"/>
  <c r="J389" i="17"/>
  <c r="J377" i="17"/>
  <c r="J371" i="17"/>
  <c r="J365" i="17"/>
  <c r="J359" i="17"/>
  <c r="J353" i="17"/>
  <c r="J347" i="17"/>
  <c r="J341" i="17"/>
  <c r="J335" i="17"/>
  <c r="J329" i="17"/>
  <c r="J323" i="17"/>
  <c r="J317" i="17"/>
  <c r="J311" i="17"/>
  <c r="J305" i="17"/>
  <c r="J299" i="17"/>
  <c r="J293" i="17"/>
  <c r="J287" i="17"/>
  <c r="J281" i="17"/>
  <c r="J275" i="17"/>
  <c r="J269" i="17"/>
  <c r="J263" i="17"/>
  <c r="J257" i="17"/>
  <c r="J251" i="17"/>
  <c r="J245" i="17"/>
  <c r="J239" i="17"/>
  <c r="J233" i="17"/>
  <c r="J227" i="17"/>
  <c r="J221" i="17"/>
  <c r="J215" i="17"/>
  <c r="J209" i="17"/>
  <c r="J203" i="17"/>
  <c r="J197" i="17"/>
  <c r="J380" i="17"/>
  <c r="J350" i="17"/>
  <c r="J302" i="17"/>
  <c r="J390" i="17"/>
  <c r="J366" i="17"/>
  <c r="J342" i="17"/>
  <c r="J324" i="17"/>
  <c r="J300" i="17"/>
  <c r="J276" i="17"/>
  <c r="J252" i="17"/>
  <c r="J234" i="17"/>
  <c r="J204" i="17"/>
  <c r="J376" i="17"/>
  <c r="J346" i="17"/>
  <c r="J274" i="17"/>
  <c r="J362" i="17"/>
  <c r="J326" i="17"/>
  <c r="J284" i="17"/>
  <c r="J384" i="17"/>
  <c r="J372" i="17"/>
  <c r="J354" i="17"/>
  <c r="J336" i="17"/>
  <c r="J318" i="17"/>
  <c r="J306" i="17"/>
  <c r="J294" i="17"/>
  <c r="J282" i="17"/>
  <c r="J264" i="17"/>
  <c r="J246" i="17"/>
  <c r="J228" i="17"/>
  <c r="J210" i="17"/>
  <c r="J383" i="17"/>
  <c r="J388" i="17"/>
  <c r="J382" i="17"/>
  <c r="J370" i="17"/>
  <c r="J364" i="17"/>
  <c r="J358" i="17"/>
  <c r="J352" i="17"/>
  <c r="J340" i="17"/>
  <c r="J334" i="17"/>
  <c r="J328" i="17"/>
  <c r="J322" i="17"/>
  <c r="J316" i="17"/>
  <c r="J310" i="17"/>
  <c r="J304" i="17"/>
  <c r="J298" i="17"/>
  <c r="J292" i="17"/>
  <c r="J286" i="17"/>
  <c r="J280" i="17"/>
  <c r="J268" i="17"/>
  <c r="J262" i="17"/>
  <c r="J256" i="17"/>
  <c r="J250" i="17"/>
  <c r="J244" i="17"/>
  <c r="J238" i="17"/>
  <c r="J232" i="17"/>
  <c r="J226" i="17"/>
  <c r="J220" i="17"/>
  <c r="J214" i="17"/>
  <c r="J208" i="17"/>
  <c r="J202" i="17"/>
  <c r="J196" i="17"/>
  <c r="I391" i="17"/>
  <c r="I385" i="17"/>
  <c r="I379" i="17"/>
  <c r="I373" i="17"/>
  <c r="I361" i="17"/>
  <c r="I355" i="17"/>
  <c r="I349" i="17"/>
  <c r="I343" i="17"/>
  <c r="I337" i="17"/>
  <c r="I331" i="17"/>
  <c r="I325" i="17"/>
  <c r="I319" i="17"/>
  <c r="I313" i="17"/>
  <c r="I301" i="17"/>
  <c r="I295" i="17"/>
  <c r="I289" i="17"/>
  <c r="I283" i="17"/>
  <c r="I277" i="17"/>
  <c r="I271" i="17"/>
  <c r="I265" i="17"/>
  <c r="I259" i="17"/>
  <c r="I253" i="17"/>
  <c r="I247" i="17"/>
  <c r="I241" i="17"/>
  <c r="I235" i="17"/>
  <c r="I229" i="17"/>
  <c r="I223" i="17"/>
  <c r="I217" i="17"/>
  <c r="I211" i="17"/>
  <c r="I205" i="17"/>
  <c r="I199" i="17"/>
  <c r="I367" i="17"/>
  <c r="I307" i="17"/>
  <c r="I390" i="17"/>
  <c r="I384" i="17"/>
  <c r="I378" i="17"/>
  <c r="I372" i="17"/>
  <c r="I366" i="17"/>
  <c r="I360" i="17"/>
  <c r="I354" i="17"/>
  <c r="I348" i="17"/>
  <c r="I342" i="17"/>
  <c r="I336" i="17"/>
  <c r="I330" i="17"/>
  <c r="I324" i="17"/>
  <c r="I318" i="17"/>
  <c r="I312" i="17"/>
  <c r="I306" i="17"/>
  <c r="I300" i="17"/>
  <c r="I294" i="17"/>
  <c r="I288" i="17"/>
  <c r="I282" i="17"/>
  <c r="I276" i="17"/>
  <c r="I270" i="17"/>
  <c r="I264" i="17"/>
  <c r="I258" i="17"/>
  <c r="I252" i="17"/>
  <c r="I246" i="17"/>
  <c r="I240" i="17"/>
  <c r="I234" i="17"/>
  <c r="I228" i="17"/>
  <c r="I222" i="17"/>
  <c r="I216" i="17"/>
  <c r="I210" i="17"/>
  <c r="I204" i="17"/>
  <c r="I198" i="17"/>
  <c r="I371" i="17"/>
  <c r="I347" i="17"/>
  <c r="I317" i="17"/>
  <c r="I299" i="17"/>
  <c r="I281" i="17"/>
  <c r="I263" i="17"/>
  <c r="I251" i="17"/>
  <c r="I245" i="17"/>
  <c r="I239" i="17"/>
  <c r="I227" i="17"/>
  <c r="I215" i="17"/>
  <c r="I209" i="17"/>
  <c r="I203" i="17"/>
  <c r="I197" i="17"/>
  <c r="I389" i="17"/>
  <c r="I359" i="17"/>
  <c r="I323" i="17"/>
  <c r="I293" i="17"/>
  <c r="I221" i="17"/>
  <c r="I388" i="17"/>
  <c r="I376" i="17"/>
  <c r="I370" i="17"/>
  <c r="I364" i="17"/>
  <c r="I358" i="17"/>
  <c r="I352" i="17"/>
  <c r="I346" i="17"/>
  <c r="I340" i="17"/>
  <c r="I328" i="17"/>
  <c r="I322" i="17"/>
  <c r="I316" i="17"/>
  <c r="I310" i="17"/>
  <c r="I304" i="17"/>
  <c r="I298" i="17"/>
  <c r="I292" i="17"/>
  <c r="I286" i="17"/>
  <c r="I280" i="17"/>
  <c r="I274" i="17"/>
  <c r="I268" i="17"/>
  <c r="I262" i="17"/>
  <c r="I256" i="17"/>
  <c r="I250" i="17"/>
  <c r="I244" i="17"/>
  <c r="I238" i="17"/>
  <c r="I232" i="17"/>
  <c r="I226" i="17"/>
  <c r="I220" i="17"/>
  <c r="I214" i="17"/>
  <c r="I208" i="17"/>
  <c r="I202" i="17"/>
  <c r="I196" i="17"/>
  <c r="I353" i="17"/>
  <c r="I311" i="17"/>
  <c r="I287" i="17"/>
  <c r="I233" i="17"/>
  <c r="I382" i="17"/>
  <c r="I334" i="17"/>
  <c r="I383" i="17"/>
  <c r="I335" i="17"/>
  <c r="I275" i="17"/>
  <c r="I393" i="17"/>
  <c r="I375" i="17"/>
  <c r="I369" i="17"/>
  <c r="I363" i="17"/>
  <c r="I351" i="17"/>
  <c r="I345" i="17"/>
  <c r="I339" i="17"/>
  <c r="I333" i="17"/>
  <c r="I327" i="17"/>
  <c r="I321" i="17"/>
  <c r="I315" i="17"/>
  <c r="I309" i="17"/>
  <c r="I297" i="17"/>
  <c r="I291" i="17"/>
  <c r="I285" i="17"/>
  <c r="I279" i="17"/>
  <c r="I273" i="17"/>
  <c r="I267" i="17"/>
  <c r="I261" i="17"/>
  <c r="I255" i="17"/>
  <c r="I249" i="17"/>
  <c r="I243" i="17"/>
  <c r="I237" i="17"/>
  <c r="I231" i="17"/>
  <c r="I225" i="17"/>
  <c r="I219" i="17"/>
  <c r="I213" i="17"/>
  <c r="I207" i="17"/>
  <c r="I201" i="17"/>
  <c r="I195" i="17"/>
  <c r="I365" i="17"/>
  <c r="I329" i="17"/>
  <c r="I269" i="17"/>
  <c r="I381" i="17"/>
  <c r="I357" i="17"/>
  <c r="I303" i="17"/>
  <c r="I377" i="17"/>
  <c r="I341" i="17"/>
  <c r="I305" i="17"/>
  <c r="I257" i="17"/>
  <c r="I387" i="17"/>
  <c r="I392" i="17"/>
  <c r="I386" i="17"/>
  <c r="I380" i="17"/>
  <c r="I374" i="17"/>
  <c r="I368" i="17"/>
  <c r="I362" i="17"/>
  <c r="I356" i="17"/>
  <c r="I350" i="17"/>
  <c r="I344" i="17"/>
  <c r="I338" i="17"/>
  <c r="I332" i="17"/>
  <c r="I326" i="17"/>
  <c r="I320" i="17"/>
  <c r="I314" i="17"/>
  <c r="I308" i="17"/>
  <c r="I302" i="17"/>
  <c r="I296" i="17"/>
  <c r="I290" i="17"/>
  <c r="I284" i="17"/>
  <c r="I278" i="17"/>
  <c r="I272" i="17"/>
  <c r="I266" i="17"/>
  <c r="I260" i="17"/>
  <c r="I254" i="17"/>
  <c r="I248" i="17"/>
  <c r="I242" i="17"/>
  <c r="I236" i="17"/>
  <c r="I230" i="17"/>
  <c r="I224" i="17"/>
  <c r="I218" i="17"/>
  <c r="I212" i="17"/>
  <c r="I206" i="17"/>
  <c r="I200" i="17"/>
  <c r="I194" i="17"/>
  <c r="H381" i="17"/>
  <c r="H345" i="17"/>
  <c r="H194" i="17"/>
  <c r="H393" i="17"/>
  <c r="H344" i="17"/>
  <c r="H288" i="17"/>
  <c r="H378" i="17"/>
  <c r="H360" i="17"/>
  <c r="H342" i="17"/>
  <c r="H324" i="17"/>
  <c r="H306" i="17"/>
  <c r="H285" i="17"/>
  <c r="H260" i="17"/>
  <c r="H224" i="17"/>
  <c r="H363" i="17"/>
  <c r="H309" i="17"/>
  <c r="H290" i="17"/>
  <c r="H230" i="17"/>
  <c r="H380" i="17"/>
  <c r="H326" i="17"/>
  <c r="H392" i="17"/>
  <c r="H357" i="17"/>
  <c r="H339" i="17"/>
  <c r="H321" i="17"/>
  <c r="H303" i="17"/>
  <c r="H327" i="17"/>
  <c r="H266" i="17"/>
  <c r="H362" i="17"/>
  <c r="H308" i="17"/>
  <c r="H375" i="17"/>
  <c r="H284" i="17"/>
  <c r="H254" i="17"/>
  <c r="H218" i="17"/>
  <c r="H374" i="17"/>
  <c r="H338" i="17"/>
  <c r="H302" i="17"/>
  <c r="H387" i="17"/>
  <c r="H372" i="17"/>
  <c r="H354" i="17"/>
  <c r="H336" i="17"/>
  <c r="H318" i="17"/>
  <c r="H300" i="17"/>
  <c r="H248" i="17"/>
  <c r="H212" i="17"/>
  <c r="H369" i="17"/>
  <c r="H351" i="17"/>
  <c r="H333" i="17"/>
  <c r="H315" i="17"/>
  <c r="H297" i="17"/>
  <c r="H278" i="17"/>
  <c r="H386" i="17"/>
  <c r="H242" i="17"/>
  <c r="H206" i="17"/>
  <c r="H390" i="17"/>
  <c r="H356" i="17"/>
  <c r="H320" i="17"/>
  <c r="H282" i="17"/>
  <c r="H368" i="17"/>
  <c r="H350" i="17"/>
  <c r="H332" i="17"/>
  <c r="H314" i="17"/>
  <c r="H296" i="17"/>
  <c r="H272" i="17"/>
  <c r="H384" i="17"/>
  <c r="H366" i="17"/>
  <c r="H348" i="17"/>
  <c r="H330" i="17"/>
  <c r="H312" i="17"/>
  <c r="H291" i="17"/>
  <c r="H270" i="17"/>
  <c r="H236" i="17"/>
  <c r="H200" i="17"/>
  <c r="H391" i="17"/>
  <c r="H385" i="17"/>
  <c r="H379" i="17"/>
  <c r="H373" i="17"/>
  <c r="H367" i="17"/>
  <c r="H361" i="17"/>
  <c r="H355" i="17"/>
  <c r="H349" i="17"/>
  <c r="H343" i="17"/>
  <c r="H337" i="17"/>
  <c r="H331" i="17"/>
  <c r="H325" i="17"/>
  <c r="H319" i="17"/>
  <c r="H313" i="17"/>
  <c r="H307" i="17"/>
  <c r="H301" i="17"/>
  <c r="H295" i="17"/>
  <c r="H289" i="17"/>
  <c r="H283" i="17"/>
  <c r="H277" i="17"/>
  <c r="H271" i="17"/>
  <c r="H265" i="17"/>
  <c r="H259" i="17"/>
  <c r="H253" i="17"/>
  <c r="H247" i="17"/>
  <c r="H241" i="17"/>
  <c r="H235" i="17"/>
  <c r="H229" i="17"/>
  <c r="H223" i="17"/>
  <c r="H217" i="17"/>
  <c r="H211" i="17"/>
  <c r="H205" i="17"/>
  <c r="H199" i="17"/>
  <c r="H294" i="17"/>
  <c r="H276" i="17"/>
  <c r="H264" i="17"/>
  <c r="H258" i="17"/>
  <c r="H252" i="17"/>
  <c r="H246" i="17"/>
  <c r="H240" i="17"/>
  <c r="H234" i="17"/>
  <c r="H228" i="17"/>
  <c r="H222" i="17"/>
  <c r="H216" i="17"/>
  <c r="H210" i="17"/>
  <c r="H204" i="17"/>
  <c r="H198" i="17"/>
  <c r="H383" i="17"/>
  <c r="H371" i="17"/>
  <c r="H365" i="17"/>
  <c r="H353" i="17"/>
  <c r="H347" i="17"/>
  <c r="H341" i="17"/>
  <c r="H335" i="17"/>
  <c r="H329" i="17"/>
  <c r="H323" i="17"/>
  <c r="H317" i="17"/>
  <c r="H311" i="17"/>
  <c r="H305" i="17"/>
  <c r="H299" i="17"/>
  <c r="H293" i="17"/>
  <c r="H287" i="17"/>
  <c r="H281" i="17"/>
  <c r="H275" i="17"/>
  <c r="H269" i="17"/>
  <c r="H263" i="17"/>
  <c r="H257" i="17"/>
  <c r="H251" i="17"/>
  <c r="H245" i="17"/>
  <c r="H239" i="17"/>
  <c r="H233" i="17"/>
  <c r="H227" i="17"/>
  <c r="H221" i="17"/>
  <c r="H215" i="17"/>
  <c r="H209" i="17"/>
  <c r="H203" i="17"/>
  <c r="H197" i="17"/>
  <c r="H377" i="17"/>
  <c r="H388" i="17"/>
  <c r="H370" i="17"/>
  <c r="H346" i="17"/>
  <c r="H328" i="17"/>
  <c r="H310" i="17"/>
  <c r="H292" i="17"/>
  <c r="H274" i="17"/>
  <c r="H256" i="17"/>
  <c r="H238" i="17"/>
  <c r="H220" i="17"/>
  <c r="H202" i="17"/>
  <c r="H389" i="17"/>
  <c r="H359" i="17"/>
  <c r="H382" i="17"/>
  <c r="H376" i="17"/>
  <c r="H364" i="17"/>
  <c r="H358" i="17"/>
  <c r="H352" i="17"/>
  <c r="H340" i="17"/>
  <c r="H334" i="17"/>
  <c r="H322" i="17"/>
  <c r="H316" i="17"/>
  <c r="H304" i="17"/>
  <c r="H298" i="17"/>
  <c r="H286" i="17"/>
  <c r="H280" i="17"/>
  <c r="H268" i="17"/>
  <c r="H262" i="17"/>
  <c r="H250" i="17"/>
  <c r="H244" i="17"/>
  <c r="H232" i="17"/>
  <c r="H226" i="17"/>
  <c r="H214" i="17"/>
  <c r="H208" i="17"/>
  <c r="H196" i="17"/>
  <c r="H279" i="17"/>
  <c r="H273" i="17"/>
  <c r="H267" i="17"/>
  <c r="H261" i="17"/>
  <c r="H255" i="17"/>
  <c r="H249" i="17"/>
  <c r="H243" i="17"/>
  <c r="H237" i="17"/>
  <c r="H231" i="17"/>
  <c r="H225" i="17"/>
  <c r="H219" i="17"/>
  <c r="H213" i="17"/>
  <c r="H207" i="17"/>
  <c r="H201" i="17"/>
  <c r="H195" i="17"/>
  <c r="G368" i="17"/>
  <c r="G308" i="17"/>
  <c r="G224" i="17"/>
  <c r="G392" i="17"/>
  <c r="G344" i="17"/>
  <c r="G296" i="17"/>
  <c r="G266" i="17"/>
  <c r="G206" i="17"/>
  <c r="G385" i="17"/>
  <c r="G373" i="17"/>
  <c r="G361" i="17"/>
  <c r="G349" i="17"/>
  <c r="G337" i="17"/>
  <c r="G325" i="17"/>
  <c r="G313" i="17"/>
  <c r="G301" i="17"/>
  <c r="G289" i="17"/>
  <c r="G277" i="17"/>
  <c r="G265" i="17"/>
  <c r="G259" i="17"/>
  <c r="G253" i="17"/>
  <c r="G247" i="17"/>
  <c r="G241" i="17"/>
  <c r="G235" i="17"/>
  <c r="G223" i="17"/>
  <c r="G217" i="17"/>
  <c r="G211" i="17"/>
  <c r="G205" i="17"/>
  <c r="G199" i="17"/>
  <c r="G380" i="17"/>
  <c r="G332" i="17"/>
  <c r="G290" i="17"/>
  <c r="G248" i="17"/>
  <c r="G200" i="17"/>
  <c r="G391" i="17"/>
  <c r="G379" i="17"/>
  <c r="G367" i="17"/>
  <c r="G355" i="17"/>
  <c r="G343" i="17"/>
  <c r="G331" i="17"/>
  <c r="G319" i="17"/>
  <c r="G307" i="17"/>
  <c r="G295" i="17"/>
  <c r="G283" i="17"/>
  <c r="G271" i="17"/>
  <c r="G229" i="17"/>
  <c r="G390" i="17"/>
  <c r="G384" i="17"/>
  <c r="G378" i="17"/>
  <c r="G372" i="17"/>
  <c r="G366" i="17"/>
  <c r="G360" i="17"/>
  <c r="G354" i="17"/>
  <c r="G348" i="17"/>
  <c r="G342" i="17"/>
  <c r="G336" i="17"/>
  <c r="G330" i="17"/>
  <c r="G324" i="17"/>
  <c r="G318" i="17"/>
  <c r="G312" i="17"/>
  <c r="G306" i="17"/>
  <c r="G300" i="17"/>
  <c r="G294" i="17"/>
  <c r="G288" i="17"/>
  <c r="G282" i="17"/>
  <c r="G276" i="17"/>
  <c r="G270" i="17"/>
  <c r="G264" i="17"/>
  <c r="G258" i="17"/>
  <c r="G252" i="17"/>
  <c r="G246" i="17"/>
  <c r="G240" i="17"/>
  <c r="G234" i="17"/>
  <c r="G228" i="17"/>
  <c r="G222" i="17"/>
  <c r="G216" i="17"/>
  <c r="G210" i="17"/>
  <c r="G204" i="17"/>
  <c r="G198" i="17"/>
  <c r="G350" i="17"/>
  <c r="G218" i="17"/>
  <c r="G356" i="17"/>
  <c r="G314" i="17"/>
  <c r="G272" i="17"/>
  <c r="G230" i="17"/>
  <c r="G383" i="17"/>
  <c r="G365" i="17"/>
  <c r="G347" i="17"/>
  <c r="G341" i="17"/>
  <c r="G329" i="17"/>
  <c r="G317" i="17"/>
  <c r="G299" i="17"/>
  <c r="G293" i="17"/>
  <c r="G287" i="17"/>
  <c r="G281" i="17"/>
  <c r="G275" i="17"/>
  <c r="G269" i="17"/>
  <c r="G263" i="17"/>
  <c r="G257" i="17"/>
  <c r="G251" i="17"/>
  <c r="G245" i="17"/>
  <c r="G239" i="17"/>
  <c r="G233" i="17"/>
  <c r="G227" i="17"/>
  <c r="G221" i="17"/>
  <c r="G215" i="17"/>
  <c r="G209" i="17"/>
  <c r="G203" i="17"/>
  <c r="G197" i="17"/>
  <c r="G326" i="17"/>
  <c r="G278" i="17"/>
  <c r="G236" i="17"/>
  <c r="G371" i="17"/>
  <c r="G323" i="17"/>
  <c r="G376" i="17"/>
  <c r="G358" i="17"/>
  <c r="G340" i="17"/>
  <c r="G328" i="17"/>
  <c r="G310" i="17"/>
  <c r="G298" i="17"/>
  <c r="G292" i="17"/>
  <c r="G280" i="17"/>
  <c r="G274" i="17"/>
  <c r="G268" i="17"/>
  <c r="G262" i="17"/>
  <c r="G256" i="17"/>
  <c r="G250" i="17"/>
  <c r="G244" i="17"/>
  <c r="G238" i="17"/>
  <c r="G226" i="17"/>
  <c r="G220" i="17"/>
  <c r="G214" i="17"/>
  <c r="G208" i="17"/>
  <c r="G202" i="17"/>
  <c r="G196" i="17"/>
  <c r="G386" i="17"/>
  <c r="G338" i="17"/>
  <c r="G302" i="17"/>
  <c r="G260" i="17"/>
  <c r="G212" i="17"/>
  <c r="G389" i="17"/>
  <c r="G359" i="17"/>
  <c r="G311" i="17"/>
  <c r="G382" i="17"/>
  <c r="G364" i="17"/>
  <c r="G346" i="17"/>
  <c r="G334" i="17"/>
  <c r="G322" i="17"/>
  <c r="G304" i="17"/>
  <c r="G286" i="17"/>
  <c r="G232" i="17"/>
  <c r="G374" i="17"/>
  <c r="G320" i="17"/>
  <c r="G284" i="17"/>
  <c r="G254" i="17"/>
  <c r="G194" i="17"/>
  <c r="G377" i="17"/>
  <c r="G353" i="17"/>
  <c r="G335" i="17"/>
  <c r="G305" i="17"/>
  <c r="G388" i="17"/>
  <c r="G370" i="17"/>
  <c r="G352" i="17"/>
  <c r="G316" i="17"/>
  <c r="G393" i="17"/>
  <c r="G387" i="17"/>
  <c r="G381" i="17"/>
  <c r="G375" i="17"/>
  <c r="G369" i="17"/>
  <c r="G363" i="17"/>
  <c r="G357" i="17"/>
  <c r="G351" i="17"/>
  <c r="G345" i="17"/>
  <c r="G339" i="17"/>
  <c r="G333" i="17"/>
  <c r="G327" i="17"/>
  <c r="G321" i="17"/>
  <c r="G315" i="17"/>
  <c r="G309" i="17"/>
  <c r="G303" i="17"/>
  <c r="G297" i="17"/>
  <c r="G291" i="17"/>
  <c r="G285" i="17"/>
  <c r="G279" i="17"/>
  <c r="G273" i="17"/>
  <c r="G267" i="17"/>
  <c r="G261" i="17"/>
  <c r="G255" i="17"/>
  <c r="G249" i="17"/>
  <c r="G243" i="17"/>
  <c r="G237" i="17"/>
  <c r="G231" i="17"/>
  <c r="G225" i="17"/>
  <c r="G219" i="17"/>
  <c r="G213" i="17"/>
  <c r="G207" i="17"/>
  <c r="G201" i="17"/>
  <c r="G195" i="17"/>
  <c r="G362" i="17"/>
  <c r="G242" i="17"/>
  <c r="F375" i="17"/>
  <c r="F357" i="17"/>
  <c r="F303" i="17"/>
  <c r="F285" i="17"/>
  <c r="F374" i="17"/>
  <c r="F338" i="17"/>
  <c r="F302" i="17"/>
  <c r="F284" i="17"/>
  <c r="F353" i="17"/>
  <c r="F335" i="17"/>
  <c r="F317" i="17"/>
  <c r="F299" i="17"/>
  <c r="F281" i="17"/>
  <c r="F261" i="17"/>
  <c r="F242" i="17"/>
  <c r="F387" i="17"/>
  <c r="F369" i="17"/>
  <c r="F351" i="17"/>
  <c r="F333" i="17"/>
  <c r="F315" i="17"/>
  <c r="F297" i="17"/>
  <c r="F279" i="17"/>
  <c r="F239" i="17"/>
  <c r="F321" i="17"/>
  <c r="F267" i="17"/>
  <c r="F392" i="17"/>
  <c r="F320" i="17"/>
  <c r="F371" i="17"/>
  <c r="F260" i="17"/>
  <c r="F237" i="17"/>
  <c r="F339" i="17"/>
  <c r="F248" i="17"/>
  <c r="F243" i="17"/>
  <c r="F356" i="17"/>
  <c r="F266" i="17"/>
  <c r="F389" i="17"/>
  <c r="F386" i="17"/>
  <c r="F368" i="17"/>
  <c r="F350" i="17"/>
  <c r="F332" i="17"/>
  <c r="F314" i="17"/>
  <c r="F296" i="17"/>
  <c r="F278" i="17"/>
  <c r="F255" i="17"/>
  <c r="F383" i="17"/>
  <c r="F365" i="17"/>
  <c r="F347" i="17"/>
  <c r="F329" i="17"/>
  <c r="F311" i="17"/>
  <c r="F293" i="17"/>
  <c r="F275" i="17"/>
  <c r="F236" i="17"/>
  <c r="F381" i="17"/>
  <c r="F363" i="17"/>
  <c r="F345" i="17"/>
  <c r="F327" i="17"/>
  <c r="F309" i="17"/>
  <c r="F291" i="17"/>
  <c r="F273" i="17"/>
  <c r="F254" i="17"/>
  <c r="F231" i="17"/>
  <c r="F251" i="17"/>
  <c r="F380" i="17"/>
  <c r="F362" i="17"/>
  <c r="F344" i="17"/>
  <c r="F326" i="17"/>
  <c r="F308" i="17"/>
  <c r="F290" i="17"/>
  <c r="F272" i="17"/>
  <c r="F249" i="17"/>
  <c r="F393" i="17"/>
  <c r="F377" i="17"/>
  <c r="F359" i="17"/>
  <c r="F341" i="17"/>
  <c r="F323" i="17"/>
  <c r="F305" i="17"/>
  <c r="F287" i="17"/>
  <c r="F269" i="17"/>
  <c r="F391" i="17"/>
  <c r="F385" i="17"/>
  <c r="F379" i="17"/>
  <c r="F373" i="17"/>
  <c r="F367" i="17"/>
  <c r="F361" i="17"/>
  <c r="F355" i="17"/>
  <c r="F349" i="17"/>
  <c r="F343" i="17"/>
  <c r="F337" i="17"/>
  <c r="F331" i="17"/>
  <c r="F325" i="17"/>
  <c r="F319" i="17"/>
  <c r="F313" i="17"/>
  <c r="F307" i="17"/>
  <c r="F301" i="17"/>
  <c r="F295" i="17"/>
  <c r="F289" i="17"/>
  <c r="F283" i="17"/>
  <c r="F277" i="17"/>
  <c r="F271" i="17"/>
  <c r="F265" i="17"/>
  <c r="F259" i="17"/>
  <c r="F253" i="17"/>
  <c r="F247" i="17"/>
  <c r="F241" i="17"/>
  <c r="F235" i="17"/>
  <c r="F229" i="17"/>
  <c r="F223" i="17"/>
  <c r="F217" i="17"/>
  <c r="F211" i="17"/>
  <c r="F205" i="17"/>
  <c r="F199" i="17"/>
  <c r="F330" i="17"/>
  <c r="F390" i="17"/>
  <c r="F384" i="17"/>
  <c r="F378" i="17"/>
  <c r="F372" i="17"/>
  <c r="F366" i="17"/>
  <c r="F360" i="17"/>
  <c r="F354" i="17"/>
  <c r="F348" i="17"/>
  <c r="F342" i="17"/>
  <c r="F336" i="17"/>
  <c r="F324" i="17"/>
  <c r="F318" i="17"/>
  <c r="F312" i="17"/>
  <c r="F306" i="17"/>
  <c r="F300" i="17"/>
  <c r="F294" i="17"/>
  <c r="F288" i="17"/>
  <c r="F282" i="17"/>
  <c r="F276" i="17"/>
  <c r="F270" i="17"/>
  <c r="F264" i="17"/>
  <c r="F258" i="17"/>
  <c r="F252" i="17"/>
  <c r="F246" i="17"/>
  <c r="F240" i="17"/>
  <c r="F234" i="17"/>
  <c r="F228" i="17"/>
  <c r="F222" i="17"/>
  <c r="F216" i="17"/>
  <c r="F210" i="17"/>
  <c r="F204" i="17"/>
  <c r="F198" i="17"/>
  <c r="F257" i="17"/>
  <c r="F233" i="17"/>
  <c r="F221" i="17"/>
  <c r="F215" i="17"/>
  <c r="F197" i="17"/>
  <c r="F209" i="17"/>
  <c r="F382" i="17"/>
  <c r="F364" i="17"/>
  <c r="F346" i="17"/>
  <c r="F328" i="17"/>
  <c r="F310" i="17"/>
  <c r="F298" i="17"/>
  <c r="F280" i="17"/>
  <c r="F268" i="17"/>
  <c r="F250" i="17"/>
  <c r="F232" i="17"/>
  <c r="F214" i="17"/>
  <c r="F196" i="17"/>
  <c r="F263" i="17"/>
  <c r="F245" i="17"/>
  <c r="F227" i="17"/>
  <c r="F203" i="17"/>
  <c r="F388" i="17"/>
  <c r="F376" i="17"/>
  <c r="F370" i="17"/>
  <c r="F358" i="17"/>
  <c r="F352" i="17"/>
  <c r="F340" i="17"/>
  <c r="F334" i="17"/>
  <c r="F322" i="17"/>
  <c r="F316" i="17"/>
  <c r="F304" i="17"/>
  <c r="F292" i="17"/>
  <c r="F286" i="17"/>
  <c r="F274" i="17"/>
  <c r="F262" i="17"/>
  <c r="F256" i="17"/>
  <c r="F244" i="17"/>
  <c r="F238" i="17"/>
  <c r="F226" i="17"/>
  <c r="F220" i="17"/>
  <c r="F208" i="17"/>
  <c r="F202" i="17"/>
  <c r="F225" i="17"/>
  <c r="F219" i="17"/>
  <c r="F213" i="17"/>
  <c r="F207" i="17"/>
  <c r="F201" i="17"/>
  <c r="F195" i="17"/>
  <c r="F230" i="17"/>
  <c r="F224" i="17"/>
  <c r="F218" i="17"/>
  <c r="F212" i="17"/>
  <c r="F206" i="17"/>
  <c r="F200" i="17"/>
  <c r="F194" i="17"/>
  <c r="D207" i="17"/>
  <c r="D351" i="17"/>
  <c r="D303" i="17"/>
  <c r="D267" i="17"/>
  <c r="D231" i="17"/>
  <c r="D333" i="17"/>
  <c r="D201" i="17"/>
  <c r="D375" i="17"/>
  <c r="D327" i="17"/>
  <c r="D297" i="17"/>
  <c r="D357" i="17"/>
  <c r="D243" i="17"/>
  <c r="D237" i="17"/>
  <c r="D345" i="17"/>
  <c r="D321" i="17"/>
  <c r="D291" i="17"/>
  <c r="D255" i="17"/>
  <c r="D285" i="17"/>
  <c r="D381" i="17"/>
  <c r="D273" i="17"/>
  <c r="D369" i="17"/>
  <c r="D225" i="17"/>
  <c r="D219" i="17"/>
  <c r="D339" i="17"/>
  <c r="D249" i="17"/>
  <c r="D213" i="17"/>
  <c r="D309" i="17"/>
  <c r="D393" i="17"/>
  <c r="D261" i="17"/>
  <c r="D387" i="17"/>
  <c r="D363" i="17"/>
  <c r="D315" i="17"/>
  <c r="D279" i="17"/>
  <c r="D374" i="17"/>
  <c r="D362" i="17"/>
  <c r="D344" i="17"/>
  <c r="D326" i="17"/>
  <c r="D314" i="17"/>
  <c r="D296" i="17"/>
  <c r="D272" i="17"/>
  <c r="D248" i="17"/>
  <c r="D194" i="17"/>
  <c r="D386" i="17"/>
  <c r="D356" i="17"/>
  <c r="D338" i="17"/>
  <c r="D320" i="17"/>
  <c r="D302" i="17"/>
  <c r="D284" i="17"/>
  <c r="D266" i="17"/>
  <c r="D254" i="17"/>
  <c r="D236" i="17"/>
  <c r="D224" i="17"/>
  <c r="D212" i="17"/>
  <c r="D206" i="17"/>
  <c r="D385" i="17"/>
  <c r="D373" i="17"/>
  <c r="D361" i="17"/>
  <c r="D349" i="17"/>
  <c r="D343" i="17"/>
  <c r="D331" i="17"/>
  <c r="D325" i="17"/>
  <c r="D319" i="17"/>
  <c r="D313" i="17"/>
  <c r="D307" i="17"/>
  <c r="D301" i="17"/>
  <c r="D295" i="17"/>
  <c r="D289" i="17"/>
  <c r="D283" i="17"/>
  <c r="D277" i="17"/>
  <c r="D271" i="17"/>
  <c r="D265" i="17"/>
  <c r="D259" i="17"/>
  <c r="D253" i="17"/>
  <c r="D247" i="17"/>
  <c r="D241" i="17"/>
  <c r="D235" i="17"/>
  <c r="D229" i="17"/>
  <c r="D223" i="17"/>
  <c r="D217" i="17"/>
  <c r="D211" i="17"/>
  <c r="D205" i="17"/>
  <c r="D199" i="17"/>
  <c r="D392" i="17"/>
  <c r="D380" i="17"/>
  <c r="D368" i="17"/>
  <c r="D350" i="17"/>
  <c r="D332" i="17"/>
  <c r="D308" i="17"/>
  <c r="D290" i="17"/>
  <c r="D278" i="17"/>
  <c r="D260" i="17"/>
  <c r="D242" i="17"/>
  <c r="D230" i="17"/>
  <c r="D218" i="17"/>
  <c r="D200" i="17"/>
  <c r="D391" i="17"/>
  <c r="D379" i="17"/>
  <c r="D367" i="17"/>
  <c r="D355" i="17"/>
  <c r="D337" i="17"/>
  <c r="D390" i="17"/>
  <c r="D384" i="17"/>
  <c r="D378" i="17"/>
  <c r="D372" i="17"/>
  <c r="D366" i="17"/>
  <c r="D360" i="17"/>
  <c r="D354" i="17"/>
  <c r="D348" i="17"/>
  <c r="D342" i="17"/>
  <c r="D336" i="17"/>
  <c r="D330" i="17"/>
  <c r="D324" i="17"/>
  <c r="D318" i="17"/>
  <c r="D312" i="17"/>
  <c r="D306" i="17"/>
  <c r="D300" i="17"/>
  <c r="D294" i="17"/>
  <c r="D288" i="17"/>
  <c r="D282" i="17"/>
  <c r="D276" i="17"/>
  <c r="D270" i="17"/>
  <c r="D264" i="17"/>
  <c r="D258" i="17"/>
  <c r="D252" i="17"/>
  <c r="D246" i="17"/>
  <c r="D240" i="17"/>
  <c r="D234" i="17"/>
  <c r="D228" i="17"/>
  <c r="D222" i="17"/>
  <c r="D216" i="17"/>
  <c r="D210" i="17"/>
  <c r="D204" i="17"/>
  <c r="D198" i="17"/>
  <c r="D389" i="17"/>
  <c r="D377" i="17"/>
  <c r="D359" i="17"/>
  <c r="D341" i="17"/>
  <c r="D329" i="17"/>
  <c r="D311" i="17"/>
  <c r="D299" i="17"/>
  <c r="D281" i="17"/>
  <c r="D269" i="17"/>
  <c r="D251" i="17"/>
  <c r="D239" i="17"/>
  <c r="D221" i="17"/>
  <c r="D203" i="17"/>
  <c r="D388" i="17"/>
  <c r="D370" i="17"/>
  <c r="D352" i="17"/>
  <c r="D340" i="17"/>
  <c r="D322" i="17"/>
  <c r="D304" i="17"/>
  <c r="D286" i="17"/>
  <c r="D268" i="17"/>
  <c r="D244" i="17"/>
  <c r="D202" i="17"/>
  <c r="D383" i="17"/>
  <c r="D371" i="17"/>
  <c r="D365" i="17"/>
  <c r="D353" i="17"/>
  <c r="D347" i="17"/>
  <c r="D335" i="17"/>
  <c r="D323" i="17"/>
  <c r="D317" i="17"/>
  <c r="D305" i="17"/>
  <c r="D293" i="17"/>
  <c r="D287" i="17"/>
  <c r="D275" i="17"/>
  <c r="D263" i="17"/>
  <c r="D257" i="17"/>
  <c r="D245" i="17"/>
  <c r="D233" i="17"/>
  <c r="D227" i="17"/>
  <c r="D215" i="17"/>
  <c r="D209" i="17"/>
  <c r="D197" i="17"/>
  <c r="D382" i="17"/>
  <c r="D376" i="17"/>
  <c r="D364" i="17"/>
  <c r="D358" i="17"/>
  <c r="D346" i="17"/>
  <c r="D334" i="17"/>
  <c r="D328" i="17"/>
  <c r="D316" i="17"/>
  <c r="D310" i="17"/>
  <c r="D298" i="17"/>
  <c r="D292" i="17"/>
  <c r="D280" i="17"/>
  <c r="D274" i="17"/>
  <c r="D262" i="17"/>
  <c r="D256" i="17"/>
  <c r="D250" i="17"/>
  <c r="D238" i="17"/>
  <c r="D232" i="17"/>
  <c r="D226" i="17"/>
  <c r="D220" i="17"/>
  <c r="D214" i="17"/>
  <c r="D208" i="17"/>
  <c r="D196" i="17"/>
  <c r="D195" i="17"/>
  <c r="C391" i="17"/>
  <c r="C385" i="17"/>
  <c r="C379" i="17"/>
  <c r="C373" i="17"/>
  <c r="C367" i="17"/>
  <c r="C361" i="17"/>
  <c r="C355" i="17"/>
  <c r="C349" i="17"/>
  <c r="C343" i="17"/>
  <c r="C337" i="17"/>
  <c r="C331" i="17"/>
  <c r="C325" i="17"/>
  <c r="C319" i="17"/>
  <c r="C313" i="17"/>
  <c r="C307" i="17"/>
  <c r="C301" i="17"/>
  <c r="C295" i="17"/>
  <c r="C289" i="17"/>
  <c r="C283" i="17"/>
  <c r="C277" i="17"/>
  <c r="C271" i="17"/>
  <c r="C265" i="17"/>
  <c r="C259" i="17"/>
  <c r="C253" i="17"/>
  <c r="C247" i="17"/>
  <c r="C241" i="17"/>
  <c r="C235" i="17"/>
  <c r="C229" i="17"/>
  <c r="C223" i="17"/>
  <c r="C217" i="17"/>
  <c r="C211" i="17"/>
  <c r="C205" i="17"/>
  <c r="C199" i="17"/>
  <c r="C384" i="17"/>
  <c r="C342" i="17"/>
  <c r="C330" i="17"/>
  <c r="C318" i="17"/>
  <c r="C306" i="17"/>
  <c r="C294" i="17"/>
  <c r="C282" i="17"/>
  <c r="C276" i="17"/>
  <c r="C270" i="17"/>
  <c r="C264" i="17"/>
  <c r="C258" i="17"/>
  <c r="C252" i="17"/>
  <c r="C246" i="17"/>
  <c r="C234" i="17"/>
  <c r="C228" i="17"/>
  <c r="C222" i="17"/>
  <c r="C216" i="17"/>
  <c r="C210" i="17"/>
  <c r="C204" i="17"/>
  <c r="C198" i="17"/>
  <c r="C390" i="17"/>
  <c r="C348" i="17"/>
  <c r="C336" i="17"/>
  <c r="C324" i="17"/>
  <c r="C312" i="17"/>
  <c r="C300" i="17"/>
  <c r="C288" i="17"/>
  <c r="C240" i="17"/>
  <c r="C389" i="17"/>
  <c r="C353" i="17"/>
  <c r="C341" i="17"/>
  <c r="C329" i="17"/>
  <c r="C317" i="17"/>
  <c r="C311" i="17"/>
  <c r="C305" i="17"/>
  <c r="C299" i="17"/>
  <c r="C293" i="17"/>
  <c r="C281" i="17"/>
  <c r="C275" i="17"/>
  <c r="C269" i="17"/>
  <c r="C263" i="17"/>
  <c r="C257" i="17"/>
  <c r="C251" i="17"/>
  <c r="C245" i="17"/>
  <c r="C239" i="17"/>
  <c r="C233" i="17"/>
  <c r="C227" i="17"/>
  <c r="C221" i="17"/>
  <c r="C215" i="17"/>
  <c r="C209" i="17"/>
  <c r="C203" i="17"/>
  <c r="C197" i="17"/>
  <c r="C354" i="17"/>
  <c r="C371" i="17"/>
  <c r="C347" i="17"/>
  <c r="C335" i="17"/>
  <c r="C323" i="17"/>
  <c r="C287" i="17"/>
  <c r="C378" i="17"/>
  <c r="C383" i="17"/>
  <c r="C376" i="17"/>
  <c r="C364" i="17"/>
  <c r="C352" i="17"/>
  <c r="C346" i="17"/>
  <c r="C340" i="17"/>
  <c r="C328" i="17"/>
  <c r="C322" i="17"/>
  <c r="C316" i="17"/>
  <c r="C310" i="17"/>
  <c r="C304" i="17"/>
  <c r="C298" i="17"/>
  <c r="C292" i="17"/>
  <c r="C286" i="17"/>
  <c r="C280" i="17"/>
  <c r="C274" i="17"/>
  <c r="C268" i="17"/>
  <c r="C262" i="17"/>
  <c r="C256" i="17"/>
  <c r="C250" i="17"/>
  <c r="C244" i="17"/>
  <c r="C238" i="17"/>
  <c r="C232" i="17"/>
  <c r="C226" i="17"/>
  <c r="C220" i="17"/>
  <c r="C214" i="17"/>
  <c r="C208" i="17"/>
  <c r="C202" i="17"/>
  <c r="C196" i="17"/>
  <c r="C366" i="17"/>
  <c r="C377" i="17"/>
  <c r="C382" i="17"/>
  <c r="C370" i="17"/>
  <c r="C358" i="17"/>
  <c r="C334" i="17"/>
  <c r="C372" i="17"/>
  <c r="C365" i="17"/>
  <c r="C393" i="17"/>
  <c r="C381" i="17"/>
  <c r="C369" i="17"/>
  <c r="C363" i="17"/>
  <c r="C345" i="17"/>
  <c r="C339" i="17"/>
  <c r="C333" i="17"/>
  <c r="C327" i="17"/>
  <c r="C321" i="17"/>
  <c r="C315" i="17"/>
  <c r="C309" i="17"/>
  <c r="C303" i="17"/>
  <c r="C297" i="17"/>
  <c r="C291" i="17"/>
  <c r="C285" i="17"/>
  <c r="C279" i="17"/>
  <c r="C273" i="17"/>
  <c r="C267" i="17"/>
  <c r="C261" i="17"/>
  <c r="C255" i="17"/>
  <c r="C249" i="17"/>
  <c r="C243" i="17"/>
  <c r="C237" i="17"/>
  <c r="C231" i="17"/>
  <c r="C225" i="17"/>
  <c r="C219" i="17"/>
  <c r="C213" i="17"/>
  <c r="C207" i="17"/>
  <c r="C201" i="17"/>
  <c r="C195" i="17"/>
  <c r="C351" i="17"/>
  <c r="C360" i="17"/>
  <c r="C359" i="17"/>
  <c r="C388" i="17"/>
  <c r="C387" i="17"/>
  <c r="C375" i="17"/>
  <c r="C357" i="17"/>
  <c r="C392" i="17"/>
  <c r="C386" i="17"/>
  <c r="C380" i="17"/>
  <c r="C374" i="17"/>
  <c r="C368" i="17"/>
  <c r="C362" i="17"/>
  <c r="C356" i="17"/>
  <c r="C350" i="17"/>
  <c r="C344" i="17"/>
  <c r="C338" i="17"/>
  <c r="C332" i="17"/>
  <c r="C326" i="17"/>
  <c r="C320" i="17"/>
  <c r="C314" i="17"/>
  <c r="C308" i="17"/>
  <c r="C302" i="17"/>
  <c r="C296" i="17"/>
  <c r="C290" i="17"/>
  <c r="C284" i="17"/>
  <c r="C278" i="17"/>
  <c r="C272" i="17"/>
  <c r="C266" i="17"/>
  <c r="C260" i="17"/>
  <c r="C254" i="17"/>
  <c r="C248" i="17"/>
  <c r="C242" i="17"/>
  <c r="C236" i="17"/>
  <c r="C230" i="17"/>
  <c r="C224" i="17"/>
  <c r="C218" i="17"/>
  <c r="C212" i="17"/>
  <c r="C206" i="17"/>
  <c r="C200" i="17"/>
  <c r="C194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110" i="17"/>
  <c r="B111" i="17"/>
  <c r="B112" i="17"/>
  <c r="B113" i="17"/>
  <c r="B114" i="17"/>
  <c r="B115" i="17"/>
  <c r="B116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61" i="17"/>
  <c r="B162" i="17"/>
  <c r="B163" i="17"/>
  <c r="B164" i="17"/>
  <c r="B165" i="17"/>
  <c r="B166" i="17"/>
  <c r="B167" i="17"/>
  <c r="B168" i="17"/>
  <c r="B169" i="17"/>
  <c r="B170" i="17"/>
  <c r="B171" i="17"/>
  <c r="B172" i="17"/>
  <c r="B173" i="17"/>
  <c r="B174" i="17"/>
  <c r="B175" i="17"/>
  <c r="B176" i="17"/>
  <c r="B177" i="17"/>
  <c r="B178" i="17"/>
  <c r="B179" i="17"/>
  <c r="B180" i="17"/>
  <c r="B181" i="17"/>
  <c r="B182" i="17"/>
  <c r="B183" i="17"/>
  <c r="B184" i="17"/>
  <c r="B185" i="17"/>
  <c r="B186" i="17"/>
  <c r="B187" i="17"/>
  <c r="B188" i="17"/>
  <c r="B189" i="17"/>
  <c r="B190" i="17"/>
  <c r="B191" i="17"/>
  <c r="B192" i="17"/>
  <c r="B193" i="17"/>
  <c r="B3" i="17"/>
  <c r="P4" i="17" a="1"/>
  <c r="P10" i="17" a="1"/>
  <c r="P16" i="17" a="1"/>
  <c r="P22" i="17" a="1"/>
  <c r="P28" i="17" a="1"/>
  <c r="P34" i="17" a="1"/>
  <c r="P40" i="17" a="1"/>
  <c r="P46" i="17" a="1"/>
  <c r="P52" i="17" a="1"/>
  <c r="P58" i="17" a="1"/>
  <c r="P64" i="17" a="1"/>
  <c r="P70" i="17" a="1"/>
  <c r="P76" i="17" a="1"/>
  <c r="P82" i="17" a="1"/>
  <c r="P88" i="17" a="1"/>
  <c r="P94" i="17" a="1"/>
  <c r="P100" i="17" a="1"/>
  <c r="P106" i="17" a="1"/>
  <c r="P112" i="17" a="1"/>
  <c r="P118" i="17" a="1"/>
  <c r="P124" i="17" a="1"/>
  <c r="P130" i="17" a="1"/>
  <c r="P136" i="17" a="1"/>
  <c r="P142" i="17" a="1"/>
  <c r="P148" i="17" a="1"/>
  <c r="P154" i="17" a="1"/>
  <c r="P160" i="17" a="1"/>
  <c r="P166" i="17" a="1"/>
  <c r="P172" i="17" a="1"/>
  <c r="P178" i="17" a="1"/>
  <c r="P184" i="17" a="1"/>
  <c r="P190" i="17" a="1"/>
  <c r="P11" i="17" a="1"/>
  <c r="P35" i="17" a="1"/>
  <c r="P47" i="17" a="1"/>
  <c r="P65" i="17" a="1"/>
  <c r="P77" i="17" a="1"/>
  <c r="P89" i="17" a="1"/>
  <c r="P101" i="17" a="1"/>
  <c r="P113" i="17" a="1"/>
  <c r="P125" i="17" a="1"/>
  <c r="P137" i="17" a="1"/>
  <c r="P149" i="17" a="1"/>
  <c r="P161" i="17" a="1"/>
  <c r="P185" i="17" a="1"/>
  <c r="P5" i="17" a="1"/>
  <c r="P17" i="17" a="1"/>
  <c r="P23" i="17" a="1"/>
  <c r="P29" i="17" a="1"/>
  <c r="P41" i="17" a="1"/>
  <c r="P53" i="17" a="1"/>
  <c r="P59" i="17" a="1"/>
  <c r="P71" i="17" a="1"/>
  <c r="P83" i="17" a="1"/>
  <c r="P95" i="17" a="1"/>
  <c r="P107" i="17" a="1"/>
  <c r="P119" i="17" a="1"/>
  <c r="P131" i="17" a="1"/>
  <c r="P143" i="17" a="1"/>
  <c r="P155" i="17" a="1"/>
  <c r="P167" i="17" a="1"/>
  <c r="P96" i="17" a="1"/>
  <c r="P132" i="17" a="1"/>
  <c r="P150" i="17" a="1"/>
  <c r="P162" i="17" a="1"/>
  <c r="P168" i="17" a="1"/>
  <c r="P180" i="17" a="1"/>
  <c r="P186" i="17" a="1"/>
  <c r="P43" i="17" a="1"/>
  <c r="P73" i="17" a="1"/>
  <c r="P91" i="17" a="1"/>
  <c r="P109" i="17" a="1"/>
  <c r="P121" i="17" a="1"/>
  <c r="P139" i="17" a="1"/>
  <c r="P163" i="17" a="1"/>
  <c r="P181" i="17" a="1"/>
  <c r="P189" i="17" a="1"/>
  <c r="P173" i="17" a="1"/>
  <c r="P6" i="17" a="1"/>
  <c r="P12" i="17" a="1"/>
  <c r="P18" i="17" a="1"/>
  <c r="P24" i="17" a="1"/>
  <c r="P30" i="17" a="1"/>
  <c r="P36" i="17" a="1"/>
  <c r="P42" i="17" a="1"/>
  <c r="P48" i="17" a="1"/>
  <c r="P54" i="17" a="1"/>
  <c r="P60" i="17" a="1"/>
  <c r="P66" i="17" a="1"/>
  <c r="P72" i="17" a="1"/>
  <c r="P78" i="17" a="1"/>
  <c r="P84" i="17" a="1"/>
  <c r="P90" i="17" a="1"/>
  <c r="P102" i="17" a="1"/>
  <c r="P108" i="17" a="1"/>
  <c r="P114" i="17" a="1"/>
  <c r="P120" i="17" a="1"/>
  <c r="P126" i="17" a="1"/>
  <c r="P138" i="17" a="1"/>
  <c r="P144" i="17" a="1"/>
  <c r="P156" i="17" a="1"/>
  <c r="P174" i="17" a="1"/>
  <c r="P192" i="17" a="1"/>
  <c r="P31" i="17" a="1"/>
  <c r="P67" i="17" a="1"/>
  <c r="P85" i="17" a="1"/>
  <c r="P97" i="17" a="1"/>
  <c r="P115" i="17" a="1"/>
  <c r="P133" i="17" a="1"/>
  <c r="P157" i="17" a="1"/>
  <c r="P175" i="17" a="1"/>
  <c r="P193" i="17" a="1"/>
  <c r="P145" i="17" a="1"/>
  <c r="P187" i="17" a="1"/>
  <c r="P7" i="17" a="1"/>
  <c r="P13" i="17" a="1"/>
  <c r="P19" i="17" a="1"/>
  <c r="P25" i="17" a="1"/>
  <c r="P37" i="17" a="1"/>
  <c r="P49" i="17" a="1"/>
  <c r="P55" i="17" a="1"/>
  <c r="P61" i="17" a="1"/>
  <c r="P79" i="17" a="1"/>
  <c r="P103" i="17" a="1"/>
  <c r="P127" i="17" a="1"/>
  <c r="P151" i="17" a="1"/>
  <c r="P169" i="17" a="1"/>
  <c r="P182" i="17" a="1"/>
  <c r="P129" i="17" a="1"/>
  <c r="P153" i="17" a="1"/>
  <c r="P171" i="17" a="1"/>
  <c r="P191" i="17" a="1"/>
  <c r="P8" i="17" a="1"/>
  <c r="P14" i="17" a="1"/>
  <c r="P20" i="17" a="1"/>
  <c r="P26" i="17" a="1"/>
  <c r="P32" i="17" a="1"/>
  <c r="P38" i="17" a="1"/>
  <c r="P44" i="17" a="1"/>
  <c r="P50" i="17" a="1"/>
  <c r="P56" i="17" a="1"/>
  <c r="P62" i="17" a="1"/>
  <c r="P68" i="17" a="1"/>
  <c r="P74" i="17" a="1"/>
  <c r="P80" i="17" a="1"/>
  <c r="P86" i="17" a="1"/>
  <c r="P92" i="17" a="1"/>
  <c r="P98" i="17" a="1"/>
  <c r="P104" i="17" a="1"/>
  <c r="P110" i="17" a="1"/>
  <c r="P116" i="17" a="1"/>
  <c r="P122" i="17" a="1"/>
  <c r="P128" i="17" a="1"/>
  <c r="P134" i="17" a="1"/>
  <c r="P140" i="17" a="1"/>
  <c r="P146" i="17" a="1"/>
  <c r="P152" i="17" a="1"/>
  <c r="P158" i="17" a="1"/>
  <c r="P164" i="17" a="1"/>
  <c r="P170" i="17" a="1"/>
  <c r="P176" i="17" a="1"/>
  <c r="P188" i="17" a="1"/>
  <c r="P111" i="17" a="1"/>
  <c r="P141" i="17" a="1"/>
  <c r="P159" i="17" a="1"/>
  <c r="P177" i="17" a="1"/>
  <c r="P9" i="17" a="1"/>
  <c r="P15" i="17" a="1"/>
  <c r="P21" i="17" a="1"/>
  <c r="P27" i="17" a="1"/>
  <c r="P33" i="17" a="1"/>
  <c r="P39" i="17" a="1"/>
  <c r="P45" i="17" a="1"/>
  <c r="P51" i="17" a="1"/>
  <c r="P57" i="17" a="1"/>
  <c r="P63" i="17" a="1"/>
  <c r="P69" i="17" a="1"/>
  <c r="P75" i="17" a="1"/>
  <c r="P81" i="17" a="1"/>
  <c r="P87" i="17" a="1"/>
  <c r="P93" i="17" a="1"/>
  <c r="P99" i="17" a="1"/>
  <c r="P105" i="17" a="1"/>
  <c r="P117" i="17" a="1"/>
  <c r="P123" i="17" a="1"/>
  <c r="P135" i="17" a="1"/>
  <c r="P147" i="17" a="1"/>
  <c r="P165" i="17" a="1"/>
  <c r="P183" i="17" a="1"/>
  <c r="P179" i="17" a="1"/>
  <c r="P3" i="17" a="1"/>
  <c r="O148" i="17" a="1"/>
  <c r="O46" i="17" a="1"/>
  <c r="O190" i="17" a="1"/>
  <c r="O5" i="17" a="1"/>
  <c r="O11" i="17" a="1"/>
  <c r="O17" i="17" a="1"/>
  <c r="O23" i="17" a="1"/>
  <c r="O29" i="17" a="1"/>
  <c r="O35" i="17" a="1"/>
  <c r="O41" i="17" a="1"/>
  <c r="O47" i="17" a="1"/>
  <c r="O53" i="17" a="1"/>
  <c r="O59" i="17" a="1"/>
  <c r="O65" i="17" a="1"/>
  <c r="O71" i="17" a="1"/>
  <c r="O77" i="17" a="1"/>
  <c r="O83" i="17" a="1"/>
  <c r="O89" i="17" a="1"/>
  <c r="O95" i="17" a="1"/>
  <c r="O101" i="17" a="1"/>
  <c r="O107" i="17" a="1"/>
  <c r="O113" i="17" a="1"/>
  <c r="O119" i="17" a="1"/>
  <c r="O125" i="17" a="1"/>
  <c r="O131" i="17" a="1"/>
  <c r="O137" i="17" a="1"/>
  <c r="O143" i="17" a="1"/>
  <c r="O149" i="17" a="1"/>
  <c r="O155" i="17" a="1"/>
  <c r="O161" i="17" a="1"/>
  <c r="O167" i="17" a="1"/>
  <c r="O173" i="17" a="1"/>
  <c r="O179" i="17" a="1"/>
  <c r="O185" i="17" a="1"/>
  <c r="O191" i="17" a="1"/>
  <c r="O127" i="17" a="1"/>
  <c r="O163" i="17" a="1"/>
  <c r="O193" i="17" a="1"/>
  <c r="O40" i="17" a="1"/>
  <c r="O64" i="17" a="1"/>
  <c r="O94" i="17" a="1"/>
  <c r="O136" i="17" a="1"/>
  <c r="O160" i="17" a="1"/>
  <c r="O60" i="17" a="1"/>
  <c r="O96" i="17" a="1"/>
  <c r="O114" i="17" a="1"/>
  <c r="O126" i="17" a="1"/>
  <c r="O138" i="17" a="1"/>
  <c r="O150" i="17" a="1"/>
  <c r="O162" i="17" a="1"/>
  <c r="O168" i="17" a="1"/>
  <c r="O180" i="17" a="1"/>
  <c r="O192" i="17" a="1"/>
  <c r="O115" i="17" a="1"/>
  <c r="O151" i="17" a="1"/>
  <c r="O181" i="17" a="1"/>
  <c r="O4" i="17" a="1"/>
  <c r="O52" i="17" a="1"/>
  <c r="O100" i="17" a="1"/>
  <c r="O142" i="17" a="1"/>
  <c r="O184" i="17" a="1"/>
  <c r="O6" i="17" a="1"/>
  <c r="O12" i="17" a="1"/>
  <c r="O18" i="17" a="1"/>
  <c r="O24" i="17" a="1"/>
  <c r="O30" i="17" a="1"/>
  <c r="O36" i="17" a="1"/>
  <c r="O42" i="17" a="1"/>
  <c r="O48" i="17" a="1"/>
  <c r="O54" i="17" a="1"/>
  <c r="O66" i="17" a="1"/>
  <c r="O72" i="17" a="1"/>
  <c r="O78" i="17" a="1"/>
  <c r="O84" i="17" a="1"/>
  <c r="O90" i="17" a="1"/>
  <c r="O102" i="17" a="1"/>
  <c r="O108" i="17" a="1"/>
  <c r="O120" i="17" a="1"/>
  <c r="O132" i="17" a="1"/>
  <c r="O144" i="17" a="1"/>
  <c r="O156" i="17" a="1"/>
  <c r="O174" i="17" a="1"/>
  <c r="O186" i="17" a="1"/>
  <c r="O103" i="17" a="1"/>
  <c r="O133" i="17" a="1"/>
  <c r="O157" i="17" a="1"/>
  <c r="O175" i="17" a="1"/>
  <c r="O28" i="17" a="1"/>
  <c r="O70" i="17" a="1"/>
  <c r="O118" i="17" a="1"/>
  <c r="O172" i="17" a="1"/>
  <c r="O7" i="17" a="1"/>
  <c r="O13" i="17" a="1"/>
  <c r="O19" i="17" a="1"/>
  <c r="O25" i="17" a="1"/>
  <c r="O31" i="17" a="1"/>
  <c r="O37" i="17" a="1"/>
  <c r="O43" i="17" a="1"/>
  <c r="O49" i="17" a="1"/>
  <c r="O55" i="17" a="1"/>
  <c r="O61" i="17" a="1"/>
  <c r="O67" i="17" a="1"/>
  <c r="O73" i="17" a="1"/>
  <c r="O79" i="17" a="1"/>
  <c r="O85" i="17" a="1"/>
  <c r="O91" i="17" a="1"/>
  <c r="O97" i="17" a="1"/>
  <c r="O109" i="17" a="1"/>
  <c r="O121" i="17" a="1"/>
  <c r="O139" i="17" a="1"/>
  <c r="O145" i="17" a="1"/>
  <c r="O169" i="17" a="1"/>
  <c r="O187" i="17" a="1"/>
  <c r="O10" i="17" a="1"/>
  <c r="O112" i="17" a="1"/>
  <c r="O8" i="17" a="1"/>
  <c r="O14" i="17" a="1"/>
  <c r="O20" i="17" a="1"/>
  <c r="O26" i="17" a="1"/>
  <c r="O32" i="17" a="1"/>
  <c r="O38" i="17" a="1"/>
  <c r="O44" i="17" a="1"/>
  <c r="O50" i="17" a="1"/>
  <c r="O56" i="17" a="1"/>
  <c r="O62" i="17" a="1"/>
  <c r="O68" i="17" a="1"/>
  <c r="O74" i="17" a="1"/>
  <c r="O80" i="17" a="1"/>
  <c r="O86" i="17" a="1"/>
  <c r="O92" i="17" a="1"/>
  <c r="O98" i="17" a="1"/>
  <c r="O104" i="17" a="1"/>
  <c r="O110" i="17" a="1"/>
  <c r="O116" i="17" a="1"/>
  <c r="O122" i="17" a="1"/>
  <c r="O128" i="17" a="1"/>
  <c r="O134" i="17" a="1"/>
  <c r="O140" i="17" a="1"/>
  <c r="O146" i="17" a="1"/>
  <c r="O152" i="17" a="1"/>
  <c r="O158" i="17" a="1"/>
  <c r="O164" i="17" a="1"/>
  <c r="O170" i="17" a="1"/>
  <c r="O176" i="17" a="1"/>
  <c r="O182" i="17" a="1"/>
  <c r="O188" i="17" a="1"/>
  <c r="O147" i="17" a="1"/>
  <c r="O165" i="17" a="1"/>
  <c r="O183" i="17" a="1"/>
  <c r="O22" i="17" a="1"/>
  <c r="O76" i="17" a="1"/>
  <c r="O106" i="17" a="1"/>
  <c r="O154" i="17" a="1"/>
  <c r="O51" i="17" a="1"/>
  <c r="O87" i="17" a="1"/>
  <c r="O105" i="17" a="1"/>
  <c r="O123" i="17" a="1"/>
  <c r="O135" i="17" a="1"/>
  <c r="O153" i="17" a="1"/>
  <c r="O177" i="17" a="1"/>
  <c r="O34" i="17" a="1"/>
  <c r="O58" i="17" a="1"/>
  <c r="O88" i="17" a="1"/>
  <c r="O130" i="17" a="1"/>
  <c r="O178" i="17" a="1"/>
  <c r="O9" i="17" a="1"/>
  <c r="O15" i="17" a="1"/>
  <c r="O21" i="17" a="1"/>
  <c r="O27" i="17" a="1"/>
  <c r="O33" i="17" a="1"/>
  <c r="O39" i="17" a="1"/>
  <c r="O45" i="17" a="1"/>
  <c r="O57" i="17" a="1"/>
  <c r="O63" i="17" a="1"/>
  <c r="O69" i="17" a="1"/>
  <c r="O75" i="17" a="1"/>
  <c r="O81" i="17" a="1"/>
  <c r="O93" i="17" a="1"/>
  <c r="O99" i="17" a="1"/>
  <c r="O111" i="17" a="1"/>
  <c r="O117" i="17" a="1"/>
  <c r="O129" i="17" a="1"/>
  <c r="O141" i="17" a="1"/>
  <c r="O159" i="17" a="1"/>
  <c r="O171" i="17" a="1"/>
  <c r="O189" i="17" a="1"/>
  <c r="O16" i="17" a="1"/>
  <c r="O82" i="17" a="1"/>
  <c r="O124" i="17" a="1"/>
  <c r="O166" i="17" a="1"/>
  <c r="O3" i="17" a="1"/>
  <c r="N12" i="17" a="1"/>
  <c r="N18" i="17" a="1"/>
  <c r="N30" i="17" a="1"/>
  <c r="N36" i="17" a="1"/>
  <c r="N48" i="17" a="1"/>
  <c r="N54" i="17" a="1"/>
  <c r="N66" i="17" a="1"/>
  <c r="N78" i="17" a="1"/>
  <c r="N84" i="17" a="1"/>
  <c r="N96" i="17" a="1"/>
  <c r="N102" i="17" a="1"/>
  <c r="N114" i="17" a="1"/>
  <c r="N120" i="17" a="1"/>
  <c r="N132" i="17" a="1"/>
  <c r="N138" i="17" a="1"/>
  <c r="N150" i="17" a="1"/>
  <c r="N162" i="17" a="1"/>
  <c r="N174" i="17" a="1"/>
  <c r="N180" i="17" a="1"/>
  <c r="N192" i="17" a="1"/>
  <c r="N157" i="17" a="1"/>
  <c r="N181" i="17" a="1"/>
  <c r="N15" i="17" a="1"/>
  <c r="N45" i="17" a="1"/>
  <c r="N57" i="17" a="1"/>
  <c r="N81" i="17" a="1"/>
  <c r="N93" i="17" a="1"/>
  <c r="N117" i="17" a="1"/>
  <c r="N147" i="17" a="1"/>
  <c r="N159" i="17" a="1"/>
  <c r="N183" i="17" a="1"/>
  <c r="N6" i="17" a="1"/>
  <c r="N24" i="17" a="1"/>
  <c r="N42" i="17" a="1"/>
  <c r="N60" i="17" a="1"/>
  <c r="N72" i="17" a="1"/>
  <c r="N90" i="17" a="1"/>
  <c r="N108" i="17" a="1"/>
  <c r="N126" i="17" a="1"/>
  <c r="N144" i="17" a="1"/>
  <c r="N156" i="17" a="1"/>
  <c r="N168" i="17" a="1"/>
  <c r="N186" i="17" a="1"/>
  <c r="N169" i="17" a="1"/>
  <c r="N187" i="17" a="1"/>
  <c r="N9" i="17" a="1"/>
  <c r="N63" i="17" a="1"/>
  <c r="N105" i="17" a="1"/>
  <c r="N129" i="17" a="1"/>
  <c r="N171" i="17" a="1"/>
  <c r="N7" i="17" a="1"/>
  <c r="N13" i="17" a="1"/>
  <c r="N19" i="17" a="1"/>
  <c r="N25" i="17" a="1"/>
  <c r="N31" i="17" a="1"/>
  <c r="N37" i="17" a="1"/>
  <c r="N43" i="17" a="1"/>
  <c r="N49" i="17" a="1"/>
  <c r="N55" i="17" a="1"/>
  <c r="N61" i="17" a="1"/>
  <c r="N67" i="17" a="1"/>
  <c r="N73" i="17" a="1"/>
  <c r="N79" i="17" a="1"/>
  <c r="N85" i="17" a="1"/>
  <c r="N91" i="17" a="1"/>
  <c r="N97" i="17" a="1"/>
  <c r="N103" i="17" a="1"/>
  <c r="N109" i="17" a="1"/>
  <c r="N115" i="17" a="1"/>
  <c r="N121" i="17" a="1"/>
  <c r="N127" i="17" a="1"/>
  <c r="N133" i="17" a="1"/>
  <c r="N139" i="17" a="1"/>
  <c r="N145" i="17" a="1"/>
  <c r="N151" i="17" a="1"/>
  <c r="N163" i="17" a="1"/>
  <c r="N175" i="17" a="1"/>
  <c r="N193" i="17" a="1"/>
  <c r="N27" i="17" a="1"/>
  <c r="N69" i="17" a="1"/>
  <c r="N99" i="17" a="1"/>
  <c r="N135" i="17" a="1"/>
  <c r="N177" i="17" a="1"/>
  <c r="N8" i="17" a="1"/>
  <c r="N14" i="17" a="1"/>
  <c r="N20" i="17" a="1"/>
  <c r="N26" i="17" a="1"/>
  <c r="N32" i="17" a="1"/>
  <c r="N38" i="17" a="1"/>
  <c r="N44" i="17" a="1"/>
  <c r="N50" i="17" a="1"/>
  <c r="N56" i="17" a="1"/>
  <c r="N62" i="17" a="1"/>
  <c r="N68" i="17" a="1"/>
  <c r="N74" i="17" a="1"/>
  <c r="N80" i="17" a="1"/>
  <c r="N86" i="17" a="1"/>
  <c r="N92" i="17" a="1"/>
  <c r="N98" i="17" a="1"/>
  <c r="N104" i="17" a="1"/>
  <c r="N110" i="17" a="1"/>
  <c r="N116" i="17" a="1"/>
  <c r="N122" i="17" a="1"/>
  <c r="N128" i="17" a="1"/>
  <c r="N134" i="17" a="1"/>
  <c r="N140" i="17" a="1"/>
  <c r="N146" i="17" a="1"/>
  <c r="N152" i="17" a="1"/>
  <c r="N158" i="17" a="1"/>
  <c r="N164" i="17" a="1"/>
  <c r="N170" i="17" a="1"/>
  <c r="N176" i="17" a="1"/>
  <c r="N182" i="17" a="1"/>
  <c r="N188" i="17" a="1"/>
  <c r="N21" i="17" a="1"/>
  <c r="N39" i="17" a="1"/>
  <c r="N51" i="17" a="1"/>
  <c r="N75" i="17" a="1"/>
  <c r="N87" i="17" a="1"/>
  <c r="N123" i="17" a="1"/>
  <c r="N141" i="17" a="1"/>
  <c r="N165" i="17" a="1"/>
  <c r="N189" i="17" a="1"/>
  <c r="N33" i="17" a="1"/>
  <c r="N111" i="17" a="1"/>
  <c r="N153" i="17" a="1"/>
  <c r="N11" i="17" a="1"/>
  <c r="N35" i="17" a="1"/>
  <c r="N59" i="17" a="1"/>
  <c r="N83" i="17" a="1"/>
  <c r="N107" i="17" a="1"/>
  <c r="N131" i="17" a="1"/>
  <c r="N155" i="17" a="1"/>
  <c r="N179" i="17" a="1"/>
  <c r="N16" i="17" a="1"/>
  <c r="N40" i="17" a="1"/>
  <c r="N64" i="17" a="1"/>
  <c r="N88" i="17" a="1"/>
  <c r="N112" i="17" a="1"/>
  <c r="N136" i="17" a="1"/>
  <c r="N160" i="17" a="1"/>
  <c r="N184" i="17" a="1"/>
  <c r="N17" i="17" a="1"/>
  <c r="N41" i="17" a="1"/>
  <c r="N65" i="17" a="1"/>
  <c r="N89" i="17" a="1"/>
  <c r="N113" i="17" a="1"/>
  <c r="N137" i="17" a="1"/>
  <c r="N161" i="17" a="1"/>
  <c r="N185" i="17" a="1"/>
  <c r="N58" i="17" a="1"/>
  <c r="N178" i="17" a="1"/>
  <c r="N22" i="17" a="1"/>
  <c r="N46" i="17" a="1"/>
  <c r="N70" i="17" a="1"/>
  <c r="N94" i="17" a="1"/>
  <c r="N118" i="17" a="1"/>
  <c r="N142" i="17" a="1"/>
  <c r="N166" i="17" a="1"/>
  <c r="N190" i="17" a="1"/>
  <c r="N167" i="17" a="1"/>
  <c r="N4" i="17" a="1"/>
  <c r="N52" i="17" a="1"/>
  <c r="N100" i="17" a="1"/>
  <c r="N148" i="17" a="1"/>
  <c r="N5" i="17" a="1"/>
  <c r="N77" i="17" a="1"/>
  <c r="N125" i="17" a="1"/>
  <c r="N173" i="17" a="1"/>
  <c r="N34" i="17" a="1"/>
  <c r="N106" i="17" a="1"/>
  <c r="N154" i="17" a="1"/>
  <c r="N23" i="17" a="1"/>
  <c r="N47" i="17" a="1"/>
  <c r="N71" i="17" a="1"/>
  <c r="N95" i="17" a="1"/>
  <c r="N119" i="17" a="1"/>
  <c r="N143" i="17" a="1"/>
  <c r="N191" i="17" a="1"/>
  <c r="N28" i="17" a="1"/>
  <c r="N76" i="17" a="1"/>
  <c r="N124" i="17" a="1"/>
  <c r="N172" i="17" a="1"/>
  <c r="N29" i="17" a="1"/>
  <c r="N53" i="17" a="1"/>
  <c r="N101" i="17" a="1"/>
  <c r="N149" i="17" a="1"/>
  <c r="N10" i="17" a="1"/>
  <c r="N82" i="17" a="1"/>
  <c r="N130" i="17" a="1"/>
  <c r="N3" i="17" a="1"/>
  <c r="M4" i="17" a="1"/>
  <c r="M10" i="17" a="1"/>
  <c r="M16" i="17" a="1"/>
  <c r="M22" i="17" a="1"/>
  <c r="M28" i="17" a="1"/>
  <c r="M34" i="17" a="1"/>
  <c r="M40" i="17" a="1"/>
  <c r="M46" i="17" a="1"/>
  <c r="M52" i="17" a="1"/>
  <c r="M58" i="17" a="1"/>
  <c r="M64" i="17" a="1"/>
  <c r="M70" i="17" a="1"/>
  <c r="M76" i="17" a="1"/>
  <c r="M82" i="17" a="1"/>
  <c r="M88" i="17" a="1"/>
  <c r="M94" i="17" a="1"/>
  <c r="M100" i="17" a="1"/>
  <c r="M106" i="17" a="1"/>
  <c r="M112" i="17" a="1"/>
  <c r="M118" i="17" a="1"/>
  <c r="M124" i="17" a="1"/>
  <c r="M130" i="17" a="1"/>
  <c r="M136" i="17" a="1"/>
  <c r="M142" i="17" a="1"/>
  <c r="M148" i="17" a="1"/>
  <c r="M154" i="17" a="1"/>
  <c r="M160" i="17" a="1"/>
  <c r="M166" i="17" a="1"/>
  <c r="M172" i="17" a="1"/>
  <c r="M178" i="17" a="1"/>
  <c r="M184" i="17" a="1"/>
  <c r="M190" i="17" a="1"/>
  <c r="M95" i="17" a="1"/>
  <c r="M113" i="17" a="1"/>
  <c r="M125" i="17" a="1"/>
  <c r="M137" i="17" a="1"/>
  <c r="M149" i="17" a="1"/>
  <c r="M155" i="17" a="1"/>
  <c r="M167" i="17" a="1"/>
  <c r="M173" i="17" a="1"/>
  <c r="M185" i="17" a="1"/>
  <c r="M5" i="17" a="1"/>
  <c r="M11" i="17" a="1"/>
  <c r="M17" i="17" a="1"/>
  <c r="M23" i="17" a="1"/>
  <c r="M29" i="17" a="1"/>
  <c r="M35" i="17" a="1"/>
  <c r="M41" i="17" a="1"/>
  <c r="M47" i="17" a="1"/>
  <c r="M53" i="17" a="1"/>
  <c r="M59" i="17" a="1"/>
  <c r="M65" i="17" a="1"/>
  <c r="M71" i="17" a="1"/>
  <c r="M77" i="17" a="1"/>
  <c r="M83" i="17" a="1"/>
  <c r="M89" i="17" a="1"/>
  <c r="M101" i="17" a="1"/>
  <c r="M107" i="17" a="1"/>
  <c r="M119" i="17" a="1"/>
  <c r="M131" i="17" a="1"/>
  <c r="M143" i="17" a="1"/>
  <c r="M161" i="17" a="1"/>
  <c r="M179" i="17" a="1"/>
  <c r="M191" i="17" a="1"/>
  <c r="M126" i="17" a="1"/>
  <c r="M156" i="17" a="1"/>
  <c r="M174" i="17" a="1"/>
  <c r="M186" i="17" a="1"/>
  <c r="M6" i="17" a="1"/>
  <c r="M12" i="17" a="1"/>
  <c r="M18" i="17" a="1"/>
  <c r="M24" i="17" a="1"/>
  <c r="M30" i="17" a="1"/>
  <c r="M36" i="17" a="1"/>
  <c r="M42" i="17" a="1"/>
  <c r="M48" i="17" a="1"/>
  <c r="M54" i="17" a="1"/>
  <c r="M60" i="17" a="1"/>
  <c r="M66" i="17" a="1"/>
  <c r="M72" i="17" a="1"/>
  <c r="M78" i="17" a="1"/>
  <c r="M84" i="17" a="1"/>
  <c r="M90" i="17" a="1"/>
  <c r="M96" i="17" a="1"/>
  <c r="M102" i="17" a="1"/>
  <c r="M108" i="17" a="1"/>
  <c r="M114" i="17" a="1"/>
  <c r="M120" i="17" a="1"/>
  <c r="M132" i="17" a="1"/>
  <c r="M138" i="17" a="1"/>
  <c r="M144" i="17" a="1"/>
  <c r="M150" i="17" a="1"/>
  <c r="M162" i="17" a="1"/>
  <c r="M168" i="17" a="1"/>
  <c r="M180" i="17" a="1"/>
  <c r="M192" i="17" a="1"/>
  <c r="M7" i="17" a="1"/>
  <c r="M13" i="17" a="1"/>
  <c r="M19" i="17" a="1"/>
  <c r="M25" i="17" a="1"/>
  <c r="M31" i="17" a="1"/>
  <c r="M37" i="17" a="1"/>
  <c r="M43" i="17" a="1"/>
  <c r="M49" i="17" a="1"/>
  <c r="M55" i="17" a="1"/>
  <c r="M61" i="17" a="1"/>
  <c r="M67" i="17" a="1"/>
  <c r="M73" i="17" a="1"/>
  <c r="M79" i="17" a="1"/>
  <c r="M85" i="17" a="1"/>
  <c r="M91" i="17" a="1"/>
  <c r="M97" i="17" a="1"/>
  <c r="M103" i="17" a="1"/>
  <c r="M109" i="17" a="1"/>
  <c r="M115" i="17" a="1"/>
  <c r="M121" i="17" a="1"/>
  <c r="M127" i="17" a="1"/>
  <c r="M133" i="17" a="1"/>
  <c r="M139" i="17" a="1"/>
  <c r="M145" i="17" a="1"/>
  <c r="M151" i="17" a="1"/>
  <c r="M157" i="17" a="1"/>
  <c r="M163" i="17" a="1"/>
  <c r="M169" i="17" a="1"/>
  <c r="M175" i="17" a="1"/>
  <c r="M181" i="17" a="1"/>
  <c r="M187" i="17" a="1"/>
  <c r="M193" i="17" a="1"/>
  <c r="M129" i="17" a="1"/>
  <c r="M153" i="17" a="1"/>
  <c r="M177" i="17" a="1"/>
  <c r="M62" i="17" a="1"/>
  <c r="M98" i="17" a="1"/>
  <c r="M110" i="17" a="1"/>
  <c r="M122" i="17" a="1"/>
  <c r="M134" i="17" a="1"/>
  <c r="M140" i="17" a="1"/>
  <c r="M152" i="17" a="1"/>
  <c r="M164" i="17" a="1"/>
  <c r="M170" i="17" a="1"/>
  <c r="M182" i="17" a="1"/>
  <c r="M111" i="17" a="1"/>
  <c r="M147" i="17" a="1"/>
  <c r="M165" i="17" a="1"/>
  <c r="M189" i="17" a="1"/>
  <c r="M8" i="17" a="1"/>
  <c r="M14" i="17" a="1"/>
  <c r="M20" i="17" a="1"/>
  <c r="M26" i="17" a="1"/>
  <c r="M32" i="17" a="1"/>
  <c r="M38" i="17" a="1"/>
  <c r="M44" i="17" a="1"/>
  <c r="M50" i="17" a="1"/>
  <c r="M56" i="17" a="1"/>
  <c r="M68" i="17" a="1"/>
  <c r="M74" i="17" a="1"/>
  <c r="M80" i="17" a="1"/>
  <c r="M86" i="17" a="1"/>
  <c r="M92" i="17" a="1"/>
  <c r="M104" i="17" a="1"/>
  <c r="M116" i="17" a="1"/>
  <c r="M128" i="17" a="1"/>
  <c r="M146" i="17" a="1"/>
  <c r="M158" i="17" a="1"/>
  <c r="M176" i="17" a="1"/>
  <c r="M188" i="17" a="1"/>
  <c r="M123" i="17" a="1"/>
  <c r="M159" i="17" a="1"/>
  <c r="M183" i="17" a="1"/>
  <c r="M135" i="17" a="1"/>
  <c r="M9" i="17" a="1"/>
  <c r="M15" i="17" a="1"/>
  <c r="M21" i="17" a="1"/>
  <c r="M27" i="17" a="1"/>
  <c r="M33" i="17" a="1"/>
  <c r="M39" i="17" a="1"/>
  <c r="M45" i="17" a="1"/>
  <c r="M51" i="17" a="1"/>
  <c r="M57" i="17" a="1"/>
  <c r="M63" i="17" a="1"/>
  <c r="M69" i="17" a="1"/>
  <c r="M75" i="17" a="1"/>
  <c r="M81" i="17" a="1"/>
  <c r="M87" i="17" a="1"/>
  <c r="M93" i="17" a="1"/>
  <c r="M99" i="17" a="1"/>
  <c r="M105" i="17" a="1"/>
  <c r="M117" i="17" a="1"/>
  <c r="M141" i="17" a="1"/>
  <c r="M171" i="17" a="1"/>
  <c r="M3" i="17" a="1"/>
  <c r="L120" i="17" a="1"/>
  <c r="L162" i="17" a="1"/>
  <c r="L180" i="17" a="1"/>
  <c r="L192" i="17" a="1"/>
  <c r="L19" i="17" a="1"/>
  <c r="L55" i="17" a="1"/>
  <c r="L67" i="17" a="1"/>
  <c r="L85" i="17" a="1"/>
  <c r="L97" i="17" a="1"/>
  <c r="L115" i="17" a="1"/>
  <c r="L133" i="17" a="1"/>
  <c r="L151" i="17" a="1"/>
  <c r="L163" i="17" a="1"/>
  <c r="L181" i="17" a="1"/>
  <c r="L8" i="17" a="1"/>
  <c r="L26" i="17" a="1"/>
  <c r="L32" i="17" a="1"/>
  <c r="L38" i="17" a="1"/>
  <c r="L44" i="17" a="1"/>
  <c r="L56" i="17" a="1"/>
  <c r="L68" i="17" a="1"/>
  <c r="L80" i="17" a="1"/>
  <c r="L86" i="17" a="1"/>
  <c r="L104" i="17" a="1"/>
  <c r="L110" i="17" a="1"/>
  <c r="L128" i="17" a="1"/>
  <c r="L146" i="17" a="1"/>
  <c r="L158" i="17" a="1"/>
  <c r="L176" i="17" a="1"/>
  <c r="L6" i="17" a="1"/>
  <c r="L12" i="17" a="1"/>
  <c r="L18" i="17" a="1"/>
  <c r="L24" i="17" a="1"/>
  <c r="L30" i="17" a="1"/>
  <c r="L36" i="17" a="1"/>
  <c r="L42" i="17" a="1"/>
  <c r="L48" i="17" a="1"/>
  <c r="L54" i="17" a="1"/>
  <c r="L60" i="17" a="1"/>
  <c r="L66" i="17" a="1"/>
  <c r="L72" i="17" a="1"/>
  <c r="L78" i="17" a="1"/>
  <c r="L84" i="17" a="1"/>
  <c r="L90" i="17" a="1"/>
  <c r="L96" i="17" a="1"/>
  <c r="L102" i="17" a="1"/>
  <c r="L108" i="17" a="1"/>
  <c r="L114" i="17" a="1"/>
  <c r="L126" i="17" a="1"/>
  <c r="L132" i="17" a="1"/>
  <c r="L138" i="17" a="1"/>
  <c r="L144" i="17" a="1"/>
  <c r="L150" i="17" a="1"/>
  <c r="L156" i="17" a="1"/>
  <c r="L168" i="17" a="1"/>
  <c r="L174" i="17" a="1"/>
  <c r="L186" i="17" a="1"/>
  <c r="L13" i="17" a="1"/>
  <c r="L49" i="17" a="1"/>
  <c r="L73" i="17" a="1"/>
  <c r="L91" i="17" a="1"/>
  <c r="L109" i="17" a="1"/>
  <c r="L127" i="17" a="1"/>
  <c r="L139" i="17" a="1"/>
  <c r="L157" i="17" a="1"/>
  <c r="L175" i="17" a="1"/>
  <c r="L187" i="17" a="1"/>
  <c r="L14" i="17" a="1"/>
  <c r="L62" i="17" a="1"/>
  <c r="L92" i="17" a="1"/>
  <c r="L116" i="17" a="1"/>
  <c r="L134" i="17" a="1"/>
  <c r="L152" i="17" a="1"/>
  <c r="L170" i="17" a="1"/>
  <c r="L182" i="17" a="1"/>
  <c r="L7" i="17" a="1"/>
  <c r="L25" i="17" a="1"/>
  <c r="L31" i="17" a="1"/>
  <c r="L37" i="17" a="1"/>
  <c r="L43" i="17" a="1"/>
  <c r="L61" i="17" a="1"/>
  <c r="L79" i="17" a="1"/>
  <c r="L103" i="17" a="1"/>
  <c r="L121" i="17" a="1"/>
  <c r="L145" i="17" a="1"/>
  <c r="L169" i="17" a="1"/>
  <c r="L193" i="17" a="1"/>
  <c r="L20" i="17" a="1"/>
  <c r="L50" i="17" a="1"/>
  <c r="L74" i="17" a="1"/>
  <c r="L98" i="17" a="1"/>
  <c r="L122" i="17" a="1"/>
  <c r="L140" i="17" a="1"/>
  <c r="L164" i="17" a="1"/>
  <c r="L188" i="17" a="1"/>
  <c r="L9" i="17" a="1"/>
  <c r="L15" i="17" a="1"/>
  <c r="L21" i="17" a="1"/>
  <c r="L27" i="17" a="1"/>
  <c r="L33" i="17" a="1"/>
  <c r="L39" i="17" a="1"/>
  <c r="L45" i="17" a="1"/>
  <c r="L51" i="17" a="1"/>
  <c r="L57" i="17" a="1"/>
  <c r="L63" i="17" a="1"/>
  <c r="L69" i="17" a="1"/>
  <c r="L75" i="17" a="1"/>
  <c r="L81" i="17" a="1"/>
  <c r="L87" i="17" a="1"/>
  <c r="L93" i="17" a="1"/>
  <c r="L99" i="17" a="1"/>
  <c r="L105" i="17" a="1"/>
  <c r="L111" i="17" a="1"/>
  <c r="L117" i="17" a="1"/>
  <c r="L123" i="17" a="1"/>
  <c r="L129" i="17" a="1"/>
  <c r="L135" i="17" a="1"/>
  <c r="L141" i="17" a="1"/>
  <c r="L147" i="17" a="1"/>
  <c r="L153" i="17" a="1"/>
  <c r="L159" i="17" a="1"/>
  <c r="L165" i="17" a="1"/>
  <c r="L171" i="17" a="1"/>
  <c r="L177" i="17" a="1"/>
  <c r="L183" i="17" a="1"/>
  <c r="L189" i="17" a="1"/>
  <c r="L4" i="17" a="1"/>
  <c r="L16" i="17" a="1"/>
  <c r="L28" i="17" a="1"/>
  <c r="L10" i="17" a="1"/>
  <c r="L40" i="17" a="1"/>
  <c r="L64" i="17" a="1"/>
  <c r="L88" i="17" a="1"/>
  <c r="L112" i="17" a="1"/>
  <c r="L136" i="17" a="1"/>
  <c r="L160" i="17" a="1"/>
  <c r="L184" i="17" a="1"/>
  <c r="L11" i="17" a="1"/>
  <c r="L41" i="17" a="1"/>
  <c r="L65" i="17" a="1"/>
  <c r="L89" i="17" a="1"/>
  <c r="L113" i="17" a="1"/>
  <c r="L137" i="17" a="1"/>
  <c r="L161" i="17" a="1"/>
  <c r="L185" i="17" a="1"/>
  <c r="L167" i="17" a="1"/>
  <c r="L155" i="17" a="1"/>
  <c r="L17" i="17" a="1"/>
  <c r="L46" i="17" a="1"/>
  <c r="L70" i="17" a="1"/>
  <c r="L94" i="17" a="1"/>
  <c r="L118" i="17" a="1"/>
  <c r="L142" i="17" a="1"/>
  <c r="L166" i="17" a="1"/>
  <c r="L190" i="17" a="1"/>
  <c r="L22" i="17" a="1"/>
  <c r="L47" i="17" a="1"/>
  <c r="L71" i="17" a="1"/>
  <c r="L95" i="17" a="1"/>
  <c r="L119" i="17" a="1"/>
  <c r="L143" i="17" a="1"/>
  <c r="L191" i="17" a="1"/>
  <c r="L23" i="17" a="1"/>
  <c r="L52" i="17" a="1"/>
  <c r="L76" i="17" a="1"/>
  <c r="L100" i="17" a="1"/>
  <c r="L124" i="17" a="1"/>
  <c r="L148" i="17" a="1"/>
  <c r="L172" i="17" a="1"/>
  <c r="L53" i="17" a="1"/>
  <c r="L101" i="17" a="1"/>
  <c r="L149" i="17" a="1"/>
  <c r="L34" i="17" a="1"/>
  <c r="L106" i="17" a="1"/>
  <c r="L178" i="17" a="1"/>
  <c r="L59" i="17" a="1"/>
  <c r="L131" i="17" a="1"/>
  <c r="L77" i="17" a="1"/>
  <c r="L58" i="17" a="1"/>
  <c r="L130" i="17" a="1"/>
  <c r="L35" i="17" a="1"/>
  <c r="L107" i="17" a="1"/>
  <c r="L179" i="17" a="1"/>
  <c r="L29" i="17" a="1"/>
  <c r="L125" i="17" a="1"/>
  <c r="L173" i="17" a="1"/>
  <c r="L82" i="17" a="1"/>
  <c r="L154" i="17" a="1"/>
  <c r="L5" i="17" a="1"/>
  <c r="L83" i="17" a="1"/>
  <c r="L3" i="17" a="1"/>
  <c r="K4" i="17" a="1"/>
  <c r="K10" i="17" a="1"/>
  <c r="K16" i="17" a="1"/>
  <c r="K22" i="17" a="1"/>
  <c r="K28" i="17" a="1"/>
  <c r="K34" i="17" a="1"/>
  <c r="K40" i="17" a="1"/>
  <c r="K46" i="17" a="1"/>
  <c r="K52" i="17" a="1"/>
  <c r="K58" i="17" a="1"/>
  <c r="K64" i="17" a="1"/>
  <c r="K70" i="17" a="1"/>
  <c r="K76" i="17" a="1"/>
  <c r="K82" i="17" a="1"/>
  <c r="K88" i="17" a="1"/>
  <c r="K94" i="17" a="1"/>
  <c r="K100" i="17" a="1"/>
  <c r="K106" i="17" a="1"/>
  <c r="K112" i="17" a="1"/>
  <c r="K118" i="17" a="1"/>
  <c r="K124" i="17" a="1"/>
  <c r="K130" i="17" a="1"/>
  <c r="K136" i="17" a="1"/>
  <c r="K142" i="17" a="1"/>
  <c r="K148" i="17" a="1"/>
  <c r="K154" i="17" a="1"/>
  <c r="K160" i="17" a="1"/>
  <c r="K166" i="17" a="1"/>
  <c r="K172" i="17" a="1"/>
  <c r="K178" i="17" a="1"/>
  <c r="K184" i="17" a="1"/>
  <c r="K190" i="17" a="1"/>
  <c r="K125" i="17" a="1"/>
  <c r="K149" i="17" a="1"/>
  <c r="K161" i="17" a="1"/>
  <c r="K173" i="17" a="1"/>
  <c r="K185" i="17" a="1"/>
  <c r="K191" i="17" a="1"/>
  <c r="K139" i="17" a="1"/>
  <c r="K157" i="17" a="1"/>
  <c r="K175" i="17" a="1"/>
  <c r="K193" i="17" a="1"/>
  <c r="K27" i="17" a="1"/>
  <c r="K57" i="17" a="1"/>
  <c r="K99" i="17" a="1"/>
  <c r="K123" i="17" a="1"/>
  <c r="K165" i="17" a="1"/>
  <c r="K5" i="17" a="1"/>
  <c r="K11" i="17" a="1"/>
  <c r="K17" i="17" a="1"/>
  <c r="K23" i="17" a="1"/>
  <c r="K29" i="17" a="1"/>
  <c r="K35" i="17" a="1"/>
  <c r="K41" i="17" a="1"/>
  <c r="K47" i="17" a="1"/>
  <c r="K53" i="17" a="1"/>
  <c r="K59" i="17" a="1"/>
  <c r="K65" i="17" a="1"/>
  <c r="K71" i="17" a="1"/>
  <c r="K77" i="17" a="1"/>
  <c r="K83" i="17" a="1"/>
  <c r="K89" i="17" a="1"/>
  <c r="K95" i="17" a="1"/>
  <c r="K101" i="17" a="1"/>
  <c r="K107" i="17" a="1"/>
  <c r="K113" i="17" a="1"/>
  <c r="K119" i="17" a="1"/>
  <c r="K131" i="17" a="1"/>
  <c r="K137" i="17" a="1"/>
  <c r="K143" i="17" a="1"/>
  <c r="K155" i="17" a="1"/>
  <c r="K167" i="17" a="1"/>
  <c r="K179" i="17" a="1"/>
  <c r="K133" i="17" a="1"/>
  <c r="K169" i="17" a="1"/>
  <c r="K45" i="17" a="1"/>
  <c r="K69" i="17" a="1"/>
  <c r="K111" i="17" a="1"/>
  <c r="K147" i="17" a="1"/>
  <c r="K9" i="17" a="1"/>
  <c r="K87" i="17" a="1"/>
  <c r="K153" i="17" a="1"/>
  <c r="K6" i="17" a="1"/>
  <c r="K12" i="17" a="1"/>
  <c r="K18" i="17" a="1"/>
  <c r="K24" i="17" a="1"/>
  <c r="K30" i="17" a="1"/>
  <c r="K36" i="17" a="1"/>
  <c r="K42" i="17" a="1"/>
  <c r="K48" i="17" a="1"/>
  <c r="K54" i="17" a="1"/>
  <c r="K60" i="17" a="1"/>
  <c r="K66" i="17" a="1"/>
  <c r="K72" i="17" a="1"/>
  <c r="K78" i="17" a="1"/>
  <c r="K84" i="17" a="1"/>
  <c r="K90" i="17" a="1"/>
  <c r="K96" i="17" a="1"/>
  <c r="K102" i="17" a="1"/>
  <c r="K108" i="17" a="1"/>
  <c r="K114" i="17" a="1"/>
  <c r="K120" i="17" a="1"/>
  <c r="K126" i="17" a="1"/>
  <c r="K132" i="17" a="1"/>
  <c r="K138" i="17" a="1"/>
  <c r="K144" i="17" a="1"/>
  <c r="K150" i="17" a="1"/>
  <c r="K156" i="17" a="1"/>
  <c r="K162" i="17" a="1"/>
  <c r="K168" i="17" a="1"/>
  <c r="K174" i="17" a="1"/>
  <c r="K180" i="17" a="1"/>
  <c r="K186" i="17" a="1"/>
  <c r="K192" i="17" a="1"/>
  <c r="K73" i="17" a="1"/>
  <c r="K109" i="17" a="1"/>
  <c r="K121" i="17" a="1"/>
  <c r="K151" i="17" a="1"/>
  <c r="K181" i="17" a="1"/>
  <c r="K39" i="17" a="1"/>
  <c r="K63" i="17" a="1"/>
  <c r="K105" i="17" a="1"/>
  <c r="K141" i="17" a="1"/>
  <c r="K171" i="17" a="1"/>
  <c r="K7" i="17" a="1"/>
  <c r="K13" i="17" a="1"/>
  <c r="K19" i="17" a="1"/>
  <c r="K25" i="17" a="1"/>
  <c r="K31" i="17" a="1"/>
  <c r="K37" i="17" a="1"/>
  <c r="K43" i="17" a="1"/>
  <c r="K49" i="17" a="1"/>
  <c r="K55" i="17" a="1"/>
  <c r="K61" i="17" a="1"/>
  <c r="K67" i="17" a="1"/>
  <c r="K79" i="17" a="1"/>
  <c r="K85" i="17" a="1"/>
  <c r="K97" i="17" a="1"/>
  <c r="K103" i="17" a="1"/>
  <c r="K115" i="17" a="1"/>
  <c r="K127" i="17" a="1"/>
  <c r="K145" i="17" a="1"/>
  <c r="K163" i="17" a="1"/>
  <c r="K187" i="17" a="1"/>
  <c r="K33" i="17" a="1"/>
  <c r="K81" i="17" a="1"/>
  <c r="K135" i="17" a="1"/>
  <c r="K177" i="17" a="1"/>
  <c r="K91" i="17" a="1"/>
  <c r="K15" i="17" a="1"/>
  <c r="K75" i="17" a="1"/>
  <c r="K129" i="17" a="1"/>
  <c r="K189" i="17" a="1"/>
  <c r="K8" i="17" a="1"/>
  <c r="K14" i="17" a="1"/>
  <c r="K20" i="17" a="1"/>
  <c r="K26" i="17" a="1"/>
  <c r="K32" i="17" a="1"/>
  <c r="K38" i="17" a="1"/>
  <c r="K44" i="17" a="1"/>
  <c r="K50" i="17" a="1"/>
  <c r="K56" i="17" a="1"/>
  <c r="K62" i="17" a="1"/>
  <c r="K68" i="17" a="1"/>
  <c r="K74" i="17" a="1"/>
  <c r="K80" i="17" a="1"/>
  <c r="K86" i="17" a="1"/>
  <c r="K92" i="17" a="1"/>
  <c r="K98" i="17" a="1"/>
  <c r="K104" i="17" a="1"/>
  <c r="K110" i="17" a="1"/>
  <c r="K116" i="17" a="1"/>
  <c r="K122" i="17" a="1"/>
  <c r="K128" i="17" a="1"/>
  <c r="K134" i="17" a="1"/>
  <c r="K140" i="17" a="1"/>
  <c r="K146" i="17" a="1"/>
  <c r="K152" i="17" a="1"/>
  <c r="K158" i="17" a="1"/>
  <c r="K164" i="17" a="1"/>
  <c r="K170" i="17" a="1"/>
  <c r="K176" i="17" a="1"/>
  <c r="K182" i="17" a="1"/>
  <c r="K188" i="17" a="1"/>
  <c r="K21" i="17" a="1"/>
  <c r="K51" i="17" a="1"/>
  <c r="K93" i="17" a="1"/>
  <c r="K117" i="17" a="1"/>
  <c r="K159" i="17" a="1"/>
  <c r="K183" i="17" a="1"/>
  <c r="K3" i="17" a="1"/>
  <c r="J4" i="17" a="1"/>
  <c r="J16" i="17" a="1"/>
  <c r="J28" i="17" a="1"/>
  <c r="J40" i="17" a="1"/>
  <c r="J52" i="17" a="1"/>
  <c r="J64" i="17" a="1"/>
  <c r="J76" i="17" a="1"/>
  <c r="J88" i="17" a="1"/>
  <c r="J106" i="17" a="1"/>
  <c r="J118" i="17" a="1"/>
  <c r="J130" i="17" a="1"/>
  <c r="J142" i="17" a="1"/>
  <c r="J154" i="17" a="1"/>
  <c r="J166" i="17" a="1"/>
  <c r="J178" i="17" a="1"/>
  <c r="J190" i="17" a="1"/>
  <c r="J5" i="17" a="1"/>
  <c r="J11" i="17" a="1"/>
  <c r="J17" i="17" a="1"/>
  <c r="J23" i="17" a="1"/>
  <c r="J29" i="17" a="1"/>
  <c r="J35" i="17" a="1"/>
  <c r="J41" i="17" a="1"/>
  <c r="J47" i="17" a="1"/>
  <c r="J53" i="17" a="1"/>
  <c r="J59" i="17" a="1"/>
  <c r="J65" i="17" a="1"/>
  <c r="J71" i="17" a="1"/>
  <c r="J77" i="17" a="1"/>
  <c r="J83" i="17" a="1"/>
  <c r="J89" i="17" a="1"/>
  <c r="J95" i="17" a="1"/>
  <c r="J101" i="17" a="1"/>
  <c r="J107" i="17" a="1"/>
  <c r="J113" i="17" a="1"/>
  <c r="J119" i="17" a="1"/>
  <c r="J125" i="17" a="1"/>
  <c r="J131" i="17" a="1"/>
  <c r="J137" i="17" a="1"/>
  <c r="J143" i="17" a="1"/>
  <c r="J149" i="17" a="1"/>
  <c r="J155" i="17" a="1"/>
  <c r="J161" i="17" a="1"/>
  <c r="J167" i="17" a="1"/>
  <c r="J173" i="17" a="1"/>
  <c r="J179" i="17" a="1"/>
  <c r="J185" i="17" a="1"/>
  <c r="J191" i="17" a="1"/>
  <c r="J7" i="17" a="1"/>
  <c r="J31" i="17" a="1"/>
  <c r="J49" i="17" a="1"/>
  <c r="J67" i="17" a="1"/>
  <c r="J85" i="17" a="1"/>
  <c r="J103" i="17" a="1"/>
  <c r="J127" i="17" a="1"/>
  <c r="J145" i="17" a="1"/>
  <c r="J169" i="17" a="1"/>
  <c r="J181" i="17" a="1"/>
  <c r="J193" i="17" a="1"/>
  <c r="J26" i="17" a="1"/>
  <c r="J68" i="17" a="1"/>
  <c r="J110" i="17" a="1"/>
  <c r="J140" i="17" a="1"/>
  <c r="J170" i="17" a="1"/>
  <c r="J188" i="17" a="1"/>
  <c r="J78" i="17" a="1"/>
  <c r="J108" i="17" a="1"/>
  <c r="J120" i="17" a="1"/>
  <c r="J132" i="17" a="1"/>
  <c r="J138" i="17" a="1"/>
  <c r="J150" i="17" a="1"/>
  <c r="J156" i="17" a="1"/>
  <c r="J168" i="17" a="1"/>
  <c r="J180" i="17" a="1"/>
  <c r="J192" i="17" a="1"/>
  <c r="J13" i="17" a="1"/>
  <c r="J25" i="17" a="1"/>
  <c r="J43" i="17" a="1"/>
  <c r="J61" i="17" a="1"/>
  <c r="J79" i="17" a="1"/>
  <c r="J97" i="17" a="1"/>
  <c r="J109" i="17" a="1"/>
  <c r="J121" i="17" a="1"/>
  <c r="J139" i="17" a="1"/>
  <c r="J157" i="17" a="1"/>
  <c r="J187" i="17" a="1"/>
  <c r="J38" i="17" a="1"/>
  <c r="J74" i="17" a="1"/>
  <c r="J98" i="17" a="1"/>
  <c r="J128" i="17" a="1"/>
  <c r="J158" i="17" a="1"/>
  <c r="J6" i="17" a="1"/>
  <c r="J12" i="17" a="1"/>
  <c r="J18" i="17" a="1"/>
  <c r="J24" i="17" a="1"/>
  <c r="J30" i="17" a="1"/>
  <c r="J36" i="17" a="1"/>
  <c r="J42" i="17" a="1"/>
  <c r="J48" i="17" a="1"/>
  <c r="J54" i="17" a="1"/>
  <c r="J60" i="17" a="1"/>
  <c r="J66" i="17" a="1"/>
  <c r="J72" i="17" a="1"/>
  <c r="J84" i="17" a="1"/>
  <c r="J90" i="17" a="1"/>
  <c r="J96" i="17" a="1"/>
  <c r="J102" i="17" a="1"/>
  <c r="J114" i="17" a="1"/>
  <c r="J126" i="17" a="1"/>
  <c r="J144" i="17" a="1"/>
  <c r="J162" i="17" a="1"/>
  <c r="J174" i="17" a="1"/>
  <c r="J186" i="17" a="1"/>
  <c r="J19" i="17" a="1"/>
  <c r="J37" i="17" a="1"/>
  <c r="J55" i="17" a="1"/>
  <c r="J73" i="17" a="1"/>
  <c r="J91" i="17" a="1"/>
  <c r="J115" i="17" a="1"/>
  <c r="J133" i="17" a="1"/>
  <c r="J151" i="17" a="1"/>
  <c r="J175" i="17" a="1"/>
  <c r="J50" i="17" a="1"/>
  <c r="J92" i="17" a="1"/>
  <c r="J116" i="17" a="1"/>
  <c r="J146" i="17" a="1"/>
  <c r="J182" i="17" a="1"/>
  <c r="J163" i="17" a="1"/>
  <c r="J32" i="17" a="1"/>
  <c r="J86" i="17" a="1"/>
  <c r="J122" i="17" a="1"/>
  <c r="J152" i="17" a="1"/>
  <c r="J176" i="17" a="1"/>
  <c r="J8" i="17" a="1"/>
  <c r="J14" i="17" a="1"/>
  <c r="J20" i="17" a="1"/>
  <c r="J44" i="17" a="1"/>
  <c r="J56" i="17" a="1"/>
  <c r="J62" i="17" a="1"/>
  <c r="J80" i="17" a="1"/>
  <c r="J104" i="17" a="1"/>
  <c r="J134" i="17" a="1"/>
  <c r="J164" i="17" a="1"/>
  <c r="J9" i="17" a="1"/>
  <c r="J15" i="17" a="1"/>
  <c r="J21" i="17" a="1"/>
  <c r="J27" i="17" a="1"/>
  <c r="J33" i="17" a="1"/>
  <c r="J39" i="17" a="1"/>
  <c r="J45" i="17" a="1"/>
  <c r="J51" i="17" a="1"/>
  <c r="J57" i="17" a="1"/>
  <c r="J63" i="17" a="1"/>
  <c r="J69" i="17" a="1"/>
  <c r="J75" i="17" a="1"/>
  <c r="J81" i="17" a="1"/>
  <c r="J87" i="17" a="1"/>
  <c r="J93" i="17" a="1"/>
  <c r="J99" i="17" a="1"/>
  <c r="J105" i="17" a="1"/>
  <c r="J111" i="17" a="1"/>
  <c r="J117" i="17" a="1"/>
  <c r="J123" i="17" a="1"/>
  <c r="J129" i="17" a="1"/>
  <c r="J135" i="17" a="1"/>
  <c r="J141" i="17" a="1"/>
  <c r="J147" i="17" a="1"/>
  <c r="J153" i="17" a="1"/>
  <c r="J159" i="17" a="1"/>
  <c r="J165" i="17" a="1"/>
  <c r="J171" i="17" a="1"/>
  <c r="J177" i="17" a="1"/>
  <c r="J183" i="17" a="1"/>
  <c r="J189" i="17" a="1"/>
  <c r="J10" i="17" a="1"/>
  <c r="J22" i="17" a="1"/>
  <c r="J34" i="17" a="1"/>
  <c r="J46" i="17" a="1"/>
  <c r="J58" i="17" a="1"/>
  <c r="J70" i="17" a="1"/>
  <c r="J82" i="17" a="1"/>
  <c r="J94" i="17" a="1"/>
  <c r="J100" i="17" a="1"/>
  <c r="J112" i="17" a="1"/>
  <c r="J124" i="17" a="1"/>
  <c r="J136" i="17" a="1"/>
  <c r="J148" i="17" a="1"/>
  <c r="J160" i="17" a="1"/>
  <c r="J172" i="17" a="1"/>
  <c r="J184" i="17" a="1"/>
  <c r="J3" i="17" a="1"/>
  <c r="I4" i="17" a="1"/>
  <c r="I10" i="17" a="1"/>
  <c r="I16" i="17" a="1"/>
  <c r="I22" i="17" a="1"/>
  <c r="I28" i="17" a="1"/>
  <c r="I34" i="17" a="1"/>
  <c r="I40" i="17" a="1"/>
  <c r="I46" i="17" a="1"/>
  <c r="I52" i="17" a="1"/>
  <c r="I58" i="17" a="1"/>
  <c r="I64" i="17" a="1"/>
  <c r="I70" i="17" a="1"/>
  <c r="I76" i="17" a="1"/>
  <c r="I82" i="17" a="1"/>
  <c r="I88" i="17" a="1"/>
  <c r="I94" i="17" a="1"/>
  <c r="I100" i="17" a="1"/>
  <c r="I106" i="17" a="1"/>
  <c r="I112" i="17" a="1"/>
  <c r="I118" i="17" a="1"/>
  <c r="I124" i="17" a="1"/>
  <c r="I130" i="17" a="1"/>
  <c r="I136" i="17" a="1"/>
  <c r="I142" i="17" a="1"/>
  <c r="I148" i="17" a="1"/>
  <c r="I154" i="17" a="1"/>
  <c r="I160" i="17" a="1"/>
  <c r="I166" i="17" a="1"/>
  <c r="I172" i="17" a="1"/>
  <c r="I178" i="17" a="1"/>
  <c r="I184" i="17" a="1"/>
  <c r="I190" i="17" a="1"/>
  <c r="I128" i="17" a="1"/>
  <c r="I170" i="17" a="1"/>
  <c r="I57" i="17" a="1"/>
  <c r="I141" i="17" a="1"/>
  <c r="I119" i="17" a="1"/>
  <c r="I149" i="17" a="1"/>
  <c r="I167" i="17" a="1"/>
  <c r="I179" i="17" a="1"/>
  <c r="I191" i="17" a="1"/>
  <c r="I92" i="17" a="1"/>
  <c r="I188" i="17" a="1"/>
  <c r="I15" i="17" a="1"/>
  <c r="I75" i="17" a="1"/>
  <c r="I135" i="17" a="1"/>
  <c r="I189" i="17" a="1"/>
  <c r="I5" i="17" a="1"/>
  <c r="I11" i="17" a="1"/>
  <c r="I17" i="17" a="1"/>
  <c r="I23" i="17" a="1"/>
  <c r="I29" i="17" a="1"/>
  <c r="I35" i="17" a="1"/>
  <c r="I41" i="17" a="1"/>
  <c r="I47" i="17" a="1"/>
  <c r="I53" i="17" a="1"/>
  <c r="I59" i="17" a="1"/>
  <c r="I65" i="17" a="1"/>
  <c r="I71" i="17" a="1"/>
  <c r="I77" i="17" a="1"/>
  <c r="I83" i="17" a="1"/>
  <c r="I89" i="17" a="1"/>
  <c r="I95" i="17" a="1"/>
  <c r="I101" i="17" a="1"/>
  <c r="I107" i="17" a="1"/>
  <c r="I113" i="17" a="1"/>
  <c r="I125" i="17" a="1"/>
  <c r="I131" i="17" a="1"/>
  <c r="I137" i="17" a="1"/>
  <c r="I143" i="17" a="1"/>
  <c r="I155" i="17" a="1"/>
  <c r="I161" i="17" a="1"/>
  <c r="I173" i="17" a="1"/>
  <c r="I185" i="17" a="1"/>
  <c r="I193" i="17" a="1"/>
  <c r="I110" i="17" a="1"/>
  <c r="I45" i="17" a="1"/>
  <c r="I117" i="17" a="1"/>
  <c r="I108" i="17" a="1"/>
  <c r="I138" i="17" a="1"/>
  <c r="I150" i="17" a="1"/>
  <c r="I162" i="17" a="1"/>
  <c r="I174" i="17" a="1"/>
  <c r="I186" i="17" a="1"/>
  <c r="I187" i="17" a="1"/>
  <c r="I116" i="17" a="1"/>
  <c r="I158" i="17" a="1"/>
  <c r="I27" i="17" a="1"/>
  <c r="I93" i="17" a="1"/>
  <c r="I165" i="17" a="1"/>
  <c r="I6" i="17" a="1"/>
  <c r="I12" i="17" a="1"/>
  <c r="I18" i="17" a="1"/>
  <c r="I24" i="17" a="1"/>
  <c r="I30" i="17" a="1"/>
  <c r="I36" i="17" a="1"/>
  <c r="I42" i="17" a="1"/>
  <c r="I48" i="17" a="1"/>
  <c r="I54" i="17" a="1"/>
  <c r="I60" i="17" a="1"/>
  <c r="I66" i="17" a="1"/>
  <c r="I72" i="17" a="1"/>
  <c r="I78" i="17" a="1"/>
  <c r="I84" i="17" a="1"/>
  <c r="I90" i="17" a="1"/>
  <c r="I96" i="17" a="1"/>
  <c r="I102" i="17" a="1"/>
  <c r="I114" i="17" a="1"/>
  <c r="I120" i="17" a="1"/>
  <c r="I126" i="17" a="1"/>
  <c r="I132" i="17" a="1"/>
  <c r="I144" i="17" a="1"/>
  <c r="I156" i="17" a="1"/>
  <c r="I168" i="17" a="1"/>
  <c r="I180" i="17" a="1"/>
  <c r="I192" i="17" a="1"/>
  <c r="I86" i="17" a="1"/>
  <c r="I164" i="17" a="1"/>
  <c r="I33" i="17" a="1"/>
  <c r="I105" i="17" a="1"/>
  <c r="I171" i="17" a="1"/>
  <c r="I79" i="17" a="1"/>
  <c r="I115" i="17" a="1"/>
  <c r="I133" i="17" a="1"/>
  <c r="I145" i="17" a="1"/>
  <c r="I157" i="17" a="1"/>
  <c r="I169" i="17" a="1"/>
  <c r="I181" i="17" a="1"/>
  <c r="I98" i="17" a="1"/>
  <c r="I146" i="17" a="1"/>
  <c r="I9" i="17" a="1"/>
  <c r="I69" i="17" a="1"/>
  <c r="I123" i="17" a="1"/>
  <c r="I177" i="17" a="1"/>
  <c r="I7" i="17" a="1"/>
  <c r="I13" i="17" a="1"/>
  <c r="I19" i="17" a="1"/>
  <c r="I25" i="17" a="1"/>
  <c r="I31" i="17" a="1"/>
  <c r="I37" i="17" a="1"/>
  <c r="I43" i="17" a="1"/>
  <c r="I49" i="17" a="1"/>
  <c r="I55" i="17" a="1"/>
  <c r="I61" i="17" a="1"/>
  <c r="I67" i="17" a="1"/>
  <c r="I73" i="17" a="1"/>
  <c r="I85" i="17" a="1"/>
  <c r="I91" i="17" a="1"/>
  <c r="I97" i="17" a="1"/>
  <c r="I103" i="17" a="1"/>
  <c r="I109" i="17" a="1"/>
  <c r="I121" i="17" a="1"/>
  <c r="I127" i="17" a="1"/>
  <c r="I139" i="17" a="1"/>
  <c r="I151" i="17" a="1"/>
  <c r="I163" i="17" a="1"/>
  <c r="I175" i="17" a="1"/>
  <c r="I122" i="17" a="1"/>
  <c r="I152" i="17" a="1"/>
  <c r="I51" i="17" a="1"/>
  <c r="I87" i="17" a="1"/>
  <c r="I129" i="17" a="1"/>
  <c r="I159" i="17" a="1"/>
  <c r="I183" i="17" a="1"/>
  <c r="I38" i="17" a="1"/>
  <c r="I80" i="17" a="1"/>
  <c r="I134" i="17" a="1"/>
  <c r="I176" i="17" a="1"/>
  <c r="I39" i="17" a="1"/>
  <c r="I63" i="17" a="1"/>
  <c r="I81" i="17" a="1"/>
  <c r="I111" i="17" a="1"/>
  <c r="I147" i="17" a="1"/>
  <c r="I8" i="17" a="1"/>
  <c r="I14" i="17" a="1"/>
  <c r="I20" i="17" a="1"/>
  <c r="I26" i="17" a="1"/>
  <c r="I32" i="17" a="1"/>
  <c r="I44" i="17" a="1"/>
  <c r="I50" i="17" a="1"/>
  <c r="I56" i="17" a="1"/>
  <c r="I62" i="17" a="1"/>
  <c r="I68" i="17" a="1"/>
  <c r="I74" i="17" a="1"/>
  <c r="I104" i="17" a="1"/>
  <c r="I140" i="17" a="1"/>
  <c r="I182" i="17" a="1"/>
  <c r="I21" i="17" a="1"/>
  <c r="I99" i="17" a="1"/>
  <c r="I153" i="17" a="1"/>
  <c r="I3" i="17" a="1"/>
  <c r="H184" i="17" a="1"/>
  <c r="H5" i="17" a="1"/>
  <c r="H11" i="17" a="1"/>
  <c r="H17" i="17" a="1"/>
  <c r="H23" i="17" a="1"/>
  <c r="H29" i="17" a="1"/>
  <c r="H35" i="17" a="1"/>
  <c r="H41" i="17" a="1"/>
  <c r="H47" i="17" a="1"/>
  <c r="H53" i="17" a="1"/>
  <c r="H59" i="17" a="1"/>
  <c r="H65" i="17" a="1"/>
  <c r="H71" i="17" a="1"/>
  <c r="H77" i="17" a="1"/>
  <c r="H83" i="17" a="1"/>
  <c r="H89" i="17" a="1"/>
  <c r="H95" i="17" a="1"/>
  <c r="H101" i="17" a="1"/>
  <c r="H107" i="17" a="1"/>
  <c r="H113" i="17" a="1"/>
  <c r="H119" i="17" a="1"/>
  <c r="H125" i="17" a="1"/>
  <c r="H131" i="17" a="1"/>
  <c r="H137" i="17" a="1"/>
  <c r="H143" i="17" a="1"/>
  <c r="H149" i="17" a="1"/>
  <c r="H155" i="17" a="1"/>
  <c r="H161" i="17" a="1"/>
  <c r="H167" i="17" a="1"/>
  <c r="H173" i="17" a="1"/>
  <c r="H179" i="17" a="1"/>
  <c r="H185" i="17" a="1"/>
  <c r="H191" i="17" a="1"/>
  <c r="H16" i="17" a="1"/>
  <c r="H124" i="17" a="1"/>
  <c r="H84" i="17" a="1"/>
  <c r="H114" i="17" a="1"/>
  <c r="H126" i="17" a="1"/>
  <c r="H138" i="17" a="1"/>
  <c r="H150" i="17" a="1"/>
  <c r="H162" i="17" a="1"/>
  <c r="H174" i="17" a="1"/>
  <c r="H180" i="17" a="1"/>
  <c r="H192" i="17" a="1"/>
  <c r="H163" i="17" a="1"/>
  <c r="H187" i="17" a="1"/>
  <c r="H140" i="17" a="1"/>
  <c r="H28" i="17" a="1"/>
  <c r="H64" i="17" a="1"/>
  <c r="H106" i="17" a="1"/>
  <c r="H154" i="17" a="1"/>
  <c r="H6" i="17" a="1"/>
  <c r="H12" i="17" a="1"/>
  <c r="H18" i="17" a="1"/>
  <c r="H24" i="17" a="1"/>
  <c r="H30" i="17" a="1"/>
  <c r="H36" i="17" a="1"/>
  <c r="H42" i="17" a="1"/>
  <c r="H48" i="17" a="1"/>
  <c r="H54" i="17" a="1"/>
  <c r="H60" i="17" a="1"/>
  <c r="H66" i="17" a="1"/>
  <c r="H72" i="17" a="1"/>
  <c r="H78" i="17" a="1"/>
  <c r="H90" i="17" a="1"/>
  <c r="H96" i="17" a="1"/>
  <c r="H102" i="17" a="1"/>
  <c r="H108" i="17" a="1"/>
  <c r="H120" i="17" a="1"/>
  <c r="H132" i="17" a="1"/>
  <c r="H144" i="17" a="1"/>
  <c r="H156" i="17" a="1"/>
  <c r="H168" i="17" a="1"/>
  <c r="H186" i="17" a="1"/>
  <c r="H157" i="17" a="1"/>
  <c r="H181" i="17" a="1"/>
  <c r="H158" i="17" a="1"/>
  <c r="H188" i="17" a="1"/>
  <c r="H40" i="17" a="1"/>
  <c r="H76" i="17" a="1"/>
  <c r="H118" i="17" a="1"/>
  <c r="H166" i="17" a="1"/>
  <c r="H55" i="17" a="1"/>
  <c r="H97" i="17" a="1"/>
  <c r="H115" i="17" a="1"/>
  <c r="H127" i="17" a="1"/>
  <c r="H145" i="17" a="1"/>
  <c r="H169" i="17" a="1"/>
  <c r="H152" i="17" a="1"/>
  <c r="H182" i="17" a="1"/>
  <c r="H34" i="17" a="1"/>
  <c r="H82" i="17" a="1"/>
  <c r="H130" i="17" a="1"/>
  <c r="H7" i="17" a="1"/>
  <c r="H13" i="17" a="1"/>
  <c r="H19" i="17" a="1"/>
  <c r="H25" i="17" a="1"/>
  <c r="H31" i="17" a="1"/>
  <c r="H37" i="17" a="1"/>
  <c r="H43" i="17" a="1"/>
  <c r="H49" i="17" a="1"/>
  <c r="H61" i="17" a="1"/>
  <c r="H67" i="17" a="1"/>
  <c r="H73" i="17" a="1"/>
  <c r="H79" i="17" a="1"/>
  <c r="H85" i="17" a="1"/>
  <c r="H91" i="17" a="1"/>
  <c r="H103" i="17" a="1"/>
  <c r="H109" i="17" a="1"/>
  <c r="H121" i="17" a="1"/>
  <c r="H133" i="17" a="1"/>
  <c r="H139" i="17" a="1"/>
  <c r="H151" i="17" a="1"/>
  <c r="H175" i="17" a="1"/>
  <c r="H193" i="17" a="1"/>
  <c r="H164" i="17" a="1"/>
  <c r="H52" i="17" a="1"/>
  <c r="H88" i="17" a="1"/>
  <c r="H136" i="17" a="1"/>
  <c r="H172" i="17" a="1"/>
  <c r="H14" i="17" a="1"/>
  <c r="H68" i="17" a="1"/>
  <c r="H92" i="17" a="1"/>
  <c r="H104" i="17" a="1"/>
  <c r="H116" i="17" a="1"/>
  <c r="H128" i="17" a="1"/>
  <c r="H146" i="17" a="1"/>
  <c r="H176" i="17" a="1"/>
  <c r="H46" i="17" a="1"/>
  <c r="H94" i="17" a="1"/>
  <c r="H142" i="17" a="1"/>
  <c r="H178" i="17" a="1"/>
  <c r="H8" i="17" a="1"/>
  <c r="H20" i="17" a="1"/>
  <c r="H26" i="17" a="1"/>
  <c r="H32" i="17" a="1"/>
  <c r="H38" i="17" a="1"/>
  <c r="H44" i="17" a="1"/>
  <c r="H50" i="17" a="1"/>
  <c r="H56" i="17" a="1"/>
  <c r="H62" i="17" a="1"/>
  <c r="H74" i="17" a="1"/>
  <c r="H80" i="17" a="1"/>
  <c r="H86" i="17" a="1"/>
  <c r="H98" i="17" a="1"/>
  <c r="H110" i="17" a="1"/>
  <c r="H122" i="17" a="1"/>
  <c r="H134" i="17" a="1"/>
  <c r="H170" i="17" a="1"/>
  <c r="H22" i="17" a="1"/>
  <c r="H70" i="17" a="1"/>
  <c r="H112" i="17" a="1"/>
  <c r="H160" i="17" a="1"/>
  <c r="H9" i="17" a="1"/>
  <c r="H15" i="17" a="1"/>
  <c r="H21" i="17" a="1"/>
  <c r="H27" i="17" a="1"/>
  <c r="H33" i="17" a="1"/>
  <c r="H39" i="17" a="1"/>
  <c r="H45" i="17" a="1"/>
  <c r="H51" i="17" a="1"/>
  <c r="H57" i="17" a="1"/>
  <c r="H63" i="17" a="1"/>
  <c r="H69" i="17" a="1"/>
  <c r="H75" i="17" a="1"/>
  <c r="H81" i="17" a="1"/>
  <c r="H87" i="17" a="1"/>
  <c r="H93" i="17" a="1"/>
  <c r="H99" i="17" a="1"/>
  <c r="H105" i="17" a="1"/>
  <c r="H111" i="17" a="1"/>
  <c r="H117" i="17" a="1"/>
  <c r="H123" i="17" a="1"/>
  <c r="H129" i="17" a="1"/>
  <c r="H135" i="17" a="1"/>
  <c r="H141" i="17" a="1"/>
  <c r="H147" i="17" a="1"/>
  <c r="H153" i="17" a="1"/>
  <c r="H159" i="17" a="1"/>
  <c r="H165" i="17" a="1"/>
  <c r="H171" i="17" a="1"/>
  <c r="H177" i="17" a="1"/>
  <c r="H183" i="17" a="1"/>
  <c r="H189" i="17" a="1"/>
  <c r="H4" i="17" a="1"/>
  <c r="H58" i="17" a="1"/>
  <c r="H100" i="17" a="1"/>
  <c r="H148" i="17" a="1"/>
  <c r="H190" i="17" a="1"/>
  <c r="H10" i="17" a="1"/>
  <c r="H3" i="17" a="1"/>
  <c r="G183" i="17" a="1"/>
  <c r="G134" i="17" a="1"/>
  <c r="G39" i="17" a="1"/>
  <c r="G87" i="17" a="1"/>
  <c r="G141" i="17" a="1"/>
  <c r="G16" i="17" a="1"/>
  <c r="G22" i="17" a="1"/>
  <c r="G28" i="17" a="1"/>
  <c r="G34" i="17" a="1"/>
  <c r="G40" i="17" a="1"/>
  <c r="G46" i="17" a="1"/>
  <c r="G52" i="17" a="1"/>
  <c r="G58" i="17" a="1"/>
  <c r="G64" i="17" a="1"/>
  <c r="G70" i="17" a="1"/>
  <c r="G76" i="17" a="1"/>
  <c r="G82" i="17" a="1"/>
  <c r="G88" i="17" a="1"/>
  <c r="G94" i="17" a="1"/>
  <c r="G100" i="17" a="1"/>
  <c r="G106" i="17" a="1"/>
  <c r="G112" i="17" a="1"/>
  <c r="G118" i="17" a="1"/>
  <c r="G124" i="17" a="1"/>
  <c r="G130" i="17" a="1"/>
  <c r="G136" i="17" a="1"/>
  <c r="G142" i="17" a="1"/>
  <c r="G148" i="17" a="1"/>
  <c r="G154" i="17" a="1"/>
  <c r="G160" i="17" a="1"/>
  <c r="G166" i="17" a="1"/>
  <c r="G172" i="17" a="1"/>
  <c r="G178" i="17" a="1"/>
  <c r="G184" i="17" a="1"/>
  <c r="G190" i="17" a="1"/>
  <c r="G29" i="17" a="1"/>
  <c r="G53" i="17" a="1"/>
  <c r="G71" i="17" a="1"/>
  <c r="G83" i="17" a="1"/>
  <c r="G95" i="17" a="1"/>
  <c r="G107" i="17" a="1"/>
  <c r="G119" i="17" a="1"/>
  <c r="G131" i="17" a="1"/>
  <c r="G143" i="17" a="1"/>
  <c r="G149" i="17" a="1"/>
  <c r="G161" i="17" a="1"/>
  <c r="G167" i="17" a="1"/>
  <c r="G179" i="17" a="1"/>
  <c r="G191" i="17" a="1"/>
  <c r="G24" i="17" a="1"/>
  <c r="G54" i="17" a="1"/>
  <c r="G72" i="17" a="1"/>
  <c r="G96" i="17" a="1"/>
  <c r="G108" i="17" a="1"/>
  <c r="G126" i="17" a="1"/>
  <c r="G144" i="17" a="1"/>
  <c r="G174" i="17" a="1"/>
  <c r="G128" i="17" a="1"/>
  <c r="G188" i="17" a="1"/>
  <c r="G21" i="17" a="1"/>
  <c r="G93" i="17" a="1"/>
  <c r="G129" i="17" a="1"/>
  <c r="G165" i="17" a="1"/>
  <c r="G17" i="17" a="1"/>
  <c r="G23" i="17" a="1"/>
  <c r="G35" i="17" a="1"/>
  <c r="G41" i="17" a="1"/>
  <c r="G47" i="17" a="1"/>
  <c r="G59" i="17" a="1"/>
  <c r="G65" i="17" a="1"/>
  <c r="G77" i="17" a="1"/>
  <c r="G101" i="17" a="1"/>
  <c r="G113" i="17" a="1"/>
  <c r="G125" i="17" a="1"/>
  <c r="G137" i="17" a="1"/>
  <c r="G155" i="17" a="1"/>
  <c r="G173" i="17" a="1"/>
  <c r="G185" i="17" a="1"/>
  <c r="G18" i="17" a="1"/>
  <c r="G30" i="17" a="1"/>
  <c r="G42" i="17" a="1"/>
  <c r="G48" i="17" a="1"/>
  <c r="G60" i="17" a="1"/>
  <c r="G66" i="17" a="1"/>
  <c r="G78" i="17" a="1"/>
  <c r="G90" i="17" a="1"/>
  <c r="G102" i="17" a="1"/>
  <c r="G120" i="17" a="1"/>
  <c r="G138" i="17" a="1"/>
  <c r="G156" i="17" a="1"/>
  <c r="G168" i="17" a="1"/>
  <c r="G186" i="17" a="1"/>
  <c r="G152" i="17" a="1"/>
  <c r="G170" i="17" a="1"/>
  <c r="G15" i="17" a="1"/>
  <c r="G63" i="17" a="1"/>
  <c r="G111" i="17" a="1"/>
  <c r="G153" i="17" a="1"/>
  <c r="G189" i="17" a="1"/>
  <c r="G89" i="17" a="1"/>
  <c r="G36" i="17" a="1"/>
  <c r="G84" i="17" a="1"/>
  <c r="G114" i="17" a="1"/>
  <c r="G132" i="17" a="1"/>
  <c r="G162" i="17" a="1"/>
  <c r="G180" i="17" a="1"/>
  <c r="G192" i="17" a="1"/>
  <c r="G158" i="17" a="1"/>
  <c r="G176" i="17" a="1"/>
  <c r="G51" i="17" a="1"/>
  <c r="G99" i="17" a="1"/>
  <c r="G147" i="17" a="1"/>
  <c r="G150" i="17" a="1"/>
  <c r="G140" i="17" a="1"/>
  <c r="G182" i="17" a="1"/>
  <c r="G27" i="17" a="1"/>
  <c r="G81" i="17" a="1"/>
  <c r="G123" i="17" a="1"/>
  <c r="G177" i="17" a="1"/>
  <c r="G19" i="17" a="1"/>
  <c r="G25" i="17" a="1"/>
  <c r="G31" i="17" a="1"/>
  <c r="G37" i="17" a="1"/>
  <c r="G43" i="17" a="1"/>
  <c r="G49" i="17" a="1"/>
  <c r="G55" i="17" a="1"/>
  <c r="G61" i="17" a="1"/>
  <c r="G67" i="17" a="1"/>
  <c r="G73" i="17" a="1"/>
  <c r="G79" i="17" a="1"/>
  <c r="G85" i="17" a="1"/>
  <c r="G91" i="17" a="1"/>
  <c r="G97" i="17" a="1"/>
  <c r="G103" i="17" a="1"/>
  <c r="G109" i="17" a="1"/>
  <c r="G115" i="17" a="1"/>
  <c r="G121" i="17" a="1"/>
  <c r="G127" i="17" a="1"/>
  <c r="G133" i="17" a="1"/>
  <c r="G139" i="17" a="1"/>
  <c r="G145" i="17" a="1"/>
  <c r="G151" i="17" a="1"/>
  <c r="G157" i="17" a="1"/>
  <c r="G163" i="17" a="1"/>
  <c r="G169" i="17" a="1"/>
  <c r="G175" i="17" a="1"/>
  <c r="G181" i="17" a="1"/>
  <c r="G187" i="17" a="1"/>
  <c r="G193" i="17" a="1"/>
  <c r="G20" i="17" a="1"/>
  <c r="G26" i="17" a="1"/>
  <c r="G32" i="17" a="1"/>
  <c r="G38" i="17" a="1"/>
  <c r="G44" i="17" a="1"/>
  <c r="G50" i="17" a="1"/>
  <c r="G56" i="17" a="1"/>
  <c r="G62" i="17" a="1"/>
  <c r="G68" i="17" a="1"/>
  <c r="G74" i="17" a="1"/>
  <c r="G80" i="17" a="1"/>
  <c r="G86" i="17" a="1"/>
  <c r="G92" i="17" a="1"/>
  <c r="G104" i="17" a="1"/>
  <c r="G110" i="17" a="1"/>
  <c r="G116" i="17" a="1"/>
  <c r="G122" i="17" a="1"/>
  <c r="G146" i="17" a="1"/>
  <c r="G164" i="17" a="1"/>
  <c r="G45" i="17" a="1"/>
  <c r="G57" i="17" a="1"/>
  <c r="G75" i="17" a="1"/>
  <c r="G105" i="17" a="1"/>
  <c r="G135" i="17" a="1"/>
  <c r="G171" i="17" a="1"/>
  <c r="G98" i="17" a="1"/>
  <c r="G33" i="17" a="1"/>
  <c r="G69" i="17" a="1"/>
  <c r="G117" i="17" a="1"/>
  <c r="G159" i="17" a="1"/>
  <c r="G5" i="17" a="1"/>
  <c r="G11" i="17" a="1"/>
  <c r="G8" i="17" a="1"/>
  <c r="G12" i="17" a="1"/>
  <c r="G13" i="17" a="1"/>
  <c r="G4" i="17" a="1"/>
  <c r="G6" i="17" a="1"/>
  <c r="G14" i="17" a="1"/>
  <c r="G10" i="17" a="1"/>
  <c r="G7" i="17" a="1"/>
  <c r="G9" i="17" a="1"/>
  <c r="G3" i="17" a="1"/>
  <c r="F6" i="17" a="1"/>
  <c r="F12" i="17" a="1"/>
  <c r="F18" i="17" a="1"/>
  <c r="F24" i="17" a="1"/>
  <c r="F30" i="17" a="1"/>
  <c r="F36" i="17" a="1"/>
  <c r="F42" i="17" a="1"/>
  <c r="F48" i="17" a="1"/>
  <c r="F54" i="17" a="1"/>
  <c r="F60" i="17" a="1"/>
  <c r="F66" i="17" a="1"/>
  <c r="F72" i="17" a="1"/>
  <c r="F78" i="17" a="1"/>
  <c r="F84" i="17" a="1"/>
  <c r="F90" i="17" a="1"/>
  <c r="F96" i="17" a="1"/>
  <c r="F102" i="17" a="1"/>
  <c r="F108" i="17" a="1"/>
  <c r="F120" i="17" a="1"/>
  <c r="F126" i="17" a="1"/>
  <c r="F132" i="17" a="1"/>
  <c r="F138" i="17" a="1"/>
  <c r="F144" i="17" a="1"/>
  <c r="F150" i="17" a="1"/>
  <c r="F156" i="17" a="1"/>
  <c r="F162" i="17" a="1"/>
  <c r="F168" i="17" a="1"/>
  <c r="F174" i="17" a="1"/>
  <c r="F180" i="17" a="1"/>
  <c r="F192" i="17" a="1"/>
  <c r="F14" i="17" a="1"/>
  <c r="F26" i="17" a="1"/>
  <c r="F32" i="17" a="1"/>
  <c r="F38" i="17" a="1"/>
  <c r="F50" i="17" a="1"/>
  <c r="F62" i="17" a="1"/>
  <c r="F68" i="17" a="1"/>
  <c r="F114" i="17" a="1"/>
  <c r="F186" i="17" a="1"/>
  <c r="F20" i="17" a="1"/>
  <c r="F56" i="17" a="1"/>
  <c r="F74" i="17" a="1"/>
  <c r="F7" i="17" a="1"/>
  <c r="F13" i="17" a="1"/>
  <c r="F19" i="17" a="1"/>
  <c r="F25" i="17" a="1"/>
  <c r="F31" i="17" a="1"/>
  <c r="F37" i="17" a="1"/>
  <c r="F43" i="17" a="1"/>
  <c r="F49" i="17" a="1"/>
  <c r="F55" i="17" a="1"/>
  <c r="F61" i="17" a="1"/>
  <c r="F67" i="17" a="1"/>
  <c r="F73" i="17" a="1"/>
  <c r="F79" i="17" a="1"/>
  <c r="F85" i="17" a="1"/>
  <c r="F91" i="17" a="1"/>
  <c r="F97" i="17" a="1"/>
  <c r="F103" i="17" a="1"/>
  <c r="F109" i="17" a="1"/>
  <c r="F115" i="17" a="1"/>
  <c r="F121" i="17" a="1"/>
  <c r="F127" i="17" a="1"/>
  <c r="F133" i="17" a="1"/>
  <c r="F139" i="17" a="1"/>
  <c r="F145" i="17" a="1"/>
  <c r="F151" i="17" a="1"/>
  <c r="F157" i="17" a="1"/>
  <c r="F163" i="17" a="1"/>
  <c r="F169" i="17" a="1"/>
  <c r="F175" i="17" a="1"/>
  <c r="F181" i="17" a="1"/>
  <c r="F187" i="17" a="1"/>
  <c r="F193" i="17" a="1"/>
  <c r="F8" i="17" a="1"/>
  <c r="F44" i="17" a="1"/>
  <c r="F9" i="17" a="1"/>
  <c r="F15" i="17" a="1"/>
  <c r="F21" i="17" a="1"/>
  <c r="F27" i="17" a="1"/>
  <c r="F33" i="17" a="1"/>
  <c r="F39" i="17" a="1"/>
  <c r="F45" i="17" a="1"/>
  <c r="F51" i="17" a="1"/>
  <c r="F57" i="17" a="1"/>
  <c r="F63" i="17" a="1"/>
  <c r="F69" i="17" a="1"/>
  <c r="F75" i="17" a="1"/>
  <c r="F81" i="17" a="1"/>
  <c r="F87" i="17" a="1"/>
  <c r="F93" i="17" a="1"/>
  <c r="F99" i="17" a="1"/>
  <c r="F105" i="17" a="1"/>
  <c r="F111" i="17" a="1"/>
  <c r="F117" i="17" a="1"/>
  <c r="F123" i="17" a="1"/>
  <c r="F129" i="17" a="1"/>
  <c r="F135" i="17" a="1"/>
  <c r="F141" i="17" a="1"/>
  <c r="F147" i="17" a="1"/>
  <c r="F153" i="17" a="1"/>
  <c r="F159" i="17" a="1"/>
  <c r="F165" i="17" a="1"/>
  <c r="F171" i="17" a="1"/>
  <c r="F177" i="17" a="1"/>
  <c r="F183" i="17" a="1"/>
  <c r="F189" i="17" a="1"/>
  <c r="F4" i="17" a="1"/>
  <c r="F10" i="17" a="1"/>
  <c r="F16" i="17" a="1"/>
  <c r="F86" i="17" a="1"/>
  <c r="F104" i="17" a="1"/>
  <c r="F122" i="17" a="1"/>
  <c r="F140" i="17" a="1"/>
  <c r="F158" i="17" a="1"/>
  <c r="F176" i="17" a="1"/>
  <c r="F17" i="17" a="1"/>
  <c r="F41" i="17" a="1"/>
  <c r="F65" i="17" a="1"/>
  <c r="F88" i="17" a="1"/>
  <c r="F106" i="17" a="1"/>
  <c r="F124" i="17" a="1"/>
  <c r="F142" i="17" a="1"/>
  <c r="F160" i="17" a="1"/>
  <c r="F178" i="17" a="1"/>
  <c r="F22" i="17" a="1"/>
  <c r="F46" i="17" a="1"/>
  <c r="F70" i="17" a="1"/>
  <c r="F89" i="17" a="1"/>
  <c r="F107" i="17" a="1"/>
  <c r="F125" i="17" a="1"/>
  <c r="F143" i="17" a="1"/>
  <c r="F161" i="17" a="1"/>
  <c r="F179" i="17" a="1"/>
  <c r="F23" i="17" a="1"/>
  <c r="F47" i="17" a="1"/>
  <c r="F71" i="17" a="1"/>
  <c r="F92" i="17" a="1"/>
  <c r="F110" i="17" a="1"/>
  <c r="F128" i="17" a="1"/>
  <c r="F146" i="17" a="1"/>
  <c r="F164" i="17" a="1"/>
  <c r="F28" i="17" a="1"/>
  <c r="F52" i="17" a="1"/>
  <c r="F76" i="17" a="1"/>
  <c r="F94" i="17" a="1"/>
  <c r="F112" i="17" a="1"/>
  <c r="F130" i="17" a="1"/>
  <c r="F148" i="17" a="1"/>
  <c r="F166" i="17" a="1"/>
  <c r="F184" i="17" a="1"/>
  <c r="F53" i="17" a="1"/>
  <c r="F113" i="17" a="1"/>
  <c r="F149" i="17" a="1"/>
  <c r="F185" i="17" a="1"/>
  <c r="F34" i="17" a="1"/>
  <c r="F80" i="17" a="1"/>
  <c r="F116" i="17" a="1"/>
  <c r="F152" i="17" a="1"/>
  <c r="F188" i="17" a="1"/>
  <c r="F100" i="17" a="1"/>
  <c r="F136" i="17" a="1"/>
  <c r="F172" i="17" a="1"/>
  <c r="F59" i="17" a="1"/>
  <c r="F11" i="17" a="1"/>
  <c r="F83" i="17" a="1"/>
  <c r="F119" i="17" a="1"/>
  <c r="F155" i="17" a="1"/>
  <c r="F191" i="17" a="1"/>
  <c r="F29" i="17" a="1"/>
  <c r="F77" i="17" a="1"/>
  <c r="F95" i="17" a="1"/>
  <c r="F131" i="17" a="1"/>
  <c r="F167" i="17" a="1"/>
  <c r="F58" i="17" a="1"/>
  <c r="F98" i="17" a="1"/>
  <c r="F134" i="17" a="1"/>
  <c r="F170" i="17" a="1"/>
  <c r="F5" i="17" a="1"/>
  <c r="F82" i="17" a="1"/>
  <c r="F118" i="17" a="1"/>
  <c r="F154" i="17" a="1"/>
  <c r="F190" i="17" a="1"/>
  <c r="F35" i="17" a="1"/>
  <c r="F40" i="17" a="1"/>
  <c r="F64" i="17" a="1"/>
  <c r="F101" i="17" a="1"/>
  <c r="F137" i="17" a="1"/>
  <c r="F173" i="17" a="1"/>
  <c r="F182" i="17" a="1"/>
  <c r="F3" i="17" a="1"/>
  <c r="D4" i="17" a="1"/>
  <c r="D10" i="17" a="1"/>
  <c r="D16" i="17" a="1"/>
  <c r="D22" i="17" a="1"/>
  <c r="D28" i="17" a="1"/>
  <c r="D34" i="17" a="1"/>
  <c r="D40" i="17" a="1"/>
  <c r="D46" i="17" a="1"/>
  <c r="D52" i="17" a="1"/>
  <c r="D58" i="17" a="1"/>
  <c r="D64" i="17" a="1"/>
  <c r="D70" i="17" a="1"/>
  <c r="D76" i="17" a="1"/>
  <c r="D82" i="17" a="1"/>
  <c r="D88" i="17" a="1"/>
  <c r="D94" i="17" a="1"/>
  <c r="D100" i="17" a="1"/>
  <c r="D106" i="17" a="1"/>
  <c r="D112" i="17" a="1"/>
  <c r="D118" i="17" a="1"/>
  <c r="D124" i="17" a="1"/>
  <c r="D130" i="17" a="1"/>
  <c r="D136" i="17" a="1"/>
  <c r="D142" i="17" a="1"/>
  <c r="D148" i="17" a="1"/>
  <c r="D154" i="17" a="1"/>
  <c r="D160" i="17" a="1"/>
  <c r="D166" i="17" a="1"/>
  <c r="D172" i="17" a="1"/>
  <c r="D178" i="17" a="1"/>
  <c r="D184" i="17" a="1"/>
  <c r="D190" i="17" a="1"/>
  <c r="D128" i="17" a="1"/>
  <c r="D158" i="17" a="1"/>
  <c r="D27" i="17" a="1"/>
  <c r="D81" i="17" a="1"/>
  <c r="D123" i="17" a="1"/>
  <c r="D183" i="17" a="1"/>
  <c r="D116" i="17" a="1"/>
  <c r="D57" i="17" a="1"/>
  <c r="D159" i="17" a="1"/>
  <c r="D5" i="17" a="1"/>
  <c r="D11" i="17" a="1"/>
  <c r="D17" i="17" a="1"/>
  <c r="D23" i="17" a="1"/>
  <c r="D29" i="17" a="1"/>
  <c r="D35" i="17" a="1"/>
  <c r="D41" i="17" a="1"/>
  <c r="D47" i="17" a="1"/>
  <c r="D53" i="17" a="1"/>
  <c r="D59" i="17" a="1"/>
  <c r="D65" i="17" a="1"/>
  <c r="D71" i="17" a="1"/>
  <c r="D77" i="17" a="1"/>
  <c r="D83" i="17" a="1"/>
  <c r="D89" i="17" a="1"/>
  <c r="D95" i="17" a="1"/>
  <c r="D101" i="17" a="1"/>
  <c r="D107" i="17" a="1"/>
  <c r="D113" i="17" a="1"/>
  <c r="D119" i="17" a="1"/>
  <c r="D125" i="17" a="1"/>
  <c r="D131" i="17" a="1"/>
  <c r="D137" i="17" a="1"/>
  <c r="D143" i="17" a="1"/>
  <c r="D149" i="17" a="1"/>
  <c r="D155" i="17" a="1"/>
  <c r="D161" i="17" a="1"/>
  <c r="D167" i="17" a="1"/>
  <c r="D173" i="17" a="1"/>
  <c r="D179" i="17" a="1"/>
  <c r="D185" i="17" a="1"/>
  <c r="D191" i="17" a="1"/>
  <c r="D170" i="17" a="1"/>
  <c r="D51" i="17" a="1"/>
  <c r="D93" i="17" a="1"/>
  <c r="D141" i="17" a="1"/>
  <c r="D138" i="17" a="1"/>
  <c r="D180" i="17" a="1"/>
  <c r="D193" i="17" a="1"/>
  <c r="D152" i="17" a="1"/>
  <c r="D21" i="17" a="1"/>
  <c r="D147" i="17" a="1"/>
  <c r="D6" i="17" a="1"/>
  <c r="D12" i="17" a="1"/>
  <c r="D18" i="17" a="1"/>
  <c r="D24" i="17" a="1"/>
  <c r="D30" i="17" a="1"/>
  <c r="D36" i="17" a="1"/>
  <c r="D42" i="17" a="1"/>
  <c r="D48" i="17" a="1"/>
  <c r="D54" i="17" a="1"/>
  <c r="D60" i="17" a="1"/>
  <c r="D66" i="17" a="1"/>
  <c r="D72" i="17" a="1"/>
  <c r="D78" i="17" a="1"/>
  <c r="D84" i="17" a="1"/>
  <c r="D90" i="17" a="1"/>
  <c r="D96" i="17" a="1"/>
  <c r="D102" i="17" a="1"/>
  <c r="D108" i="17" a="1"/>
  <c r="D114" i="17" a="1"/>
  <c r="D120" i="17" a="1"/>
  <c r="D126" i="17" a="1"/>
  <c r="D132" i="17" a="1"/>
  <c r="D144" i="17" a="1"/>
  <c r="D150" i="17" a="1"/>
  <c r="D156" i="17" a="1"/>
  <c r="D162" i="17" a="1"/>
  <c r="D168" i="17" a="1"/>
  <c r="D174" i="17" a="1"/>
  <c r="D186" i="17" a="1"/>
  <c r="D192" i="17" a="1"/>
  <c r="D175" i="17" a="1"/>
  <c r="D134" i="17" a="1"/>
  <c r="D182" i="17" a="1"/>
  <c r="D45" i="17" a="1"/>
  <c r="D69" i="17" a="1"/>
  <c r="D99" i="17" a="1"/>
  <c r="D129" i="17" a="1"/>
  <c r="D171" i="17" a="1"/>
  <c r="D103" i="17" a="1"/>
  <c r="D133" i="17" a="1"/>
  <c r="D145" i="17" a="1"/>
  <c r="D157" i="17" a="1"/>
  <c r="D169" i="17" a="1"/>
  <c r="D187" i="17" a="1"/>
  <c r="D140" i="17" a="1"/>
  <c r="D176" i="17" a="1"/>
  <c r="D33" i="17" a="1"/>
  <c r="D75" i="17" a="1"/>
  <c r="D105" i="17" a="1"/>
  <c r="D135" i="17" a="1"/>
  <c r="D177" i="17" a="1"/>
  <c r="D7" i="17" a="1"/>
  <c r="D13" i="17" a="1"/>
  <c r="D19" i="17" a="1"/>
  <c r="D25" i="17" a="1"/>
  <c r="D31" i="17" a="1"/>
  <c r="D37" i="17" a="1"/>
  <c r="D43" i="17" a="1"/>
  <c r="D49" i="17" a="1"/>
  <c r="D55" i="17" a="1"/>
  <c r="D61" i="17" a="1"/>
  <c r="D67" i="17" a="1"/>
  <c r="D73" i="17" a="1"/>
  <c r="D79" i="17" a="1"/>
  <c r="D85" i="17" a="1"/>
  <c r="D91" i="17" a="1"/>
  <c r="D97" i="17" a="1"/>
  <c r="D109" i="17" a="1"/>
  <c r="D115" i="17" a="1"/>
  <c r="D121" i="17" a="1"/>
  <c r="D127" i="17" a="1"/>
  <c r="D139" i="17" a="1"/>
  <c r="D151" i="17" a="1"/>
  <c r="D163" i="17" a="1"/>
  <c r="D181" i="17" a="1"/>
  <c r="D122" i="17" a="1"/>
  <c r="D164" i="17" a="1"/>
  <c r="D15" i="17" a="1"/>
  <c r="D87" i="17" a="1"/>
  <c r="D153" i="17" a="1"/>
  <c r="D8" i="17" a="1"/>
  <c r="D14" i="17" a="1"/>
  <c r="D20" i="17" a="1"/>
  <c r="D26" i="17" a="1"/>
  <c r="D32" i="17" a="1"/>
  <c r="D38" i="17" a="1"/>
  <c r="D44" i="17" a="1"/>
  <c r="D50" i="17" a="1"/>
  <c r="D56" i="17" a="1"/>
  <c r="D62" i="17" a="1"/>
  <c r="D68" i="17" a="1"/>
  <c r="D74" i="17" a="1"/>
  <c r="D80" i="17" a="1"/>
  <c r="D86" i="17" a="1"/>
  <c r="D92" i="17" a="1"/>
  <c r="D98" i="17" a="1"/>
  <c r="D104" i="17" a="1"/>
  <c r="D110" i="17" a="1"/>
  <c r="D146" i="17" a="1"/>
  <c r="D188" i="17" a="1"/>
  <c r="D9" i="17" a="1"/>
  <c r="D63" i="17" a="1"/>
  <c r="D111" i="17" a="1"/>
  <c r="D165" i="17" a="1"/>
  <c r="D39" i="17" a="1"/>
  <c r="D117" i="17" a="1"/>
  <c r="D189" i="17" a="1"/>
  <c r="D3" i="17" a="1"/>
  <c r="C4" i="17" a="1"/>
  <c r="C46" i="17" a="1"/>
  <c r="C82" i="17" a="1"/>
  <c r="C124" i="17" a="1"/>
  <c r="C166" i="17" a="1"/>
  <c r="C76" i="17" a="1"/>
  <c r="C178" i="17" a="1"/>
  <c r="C5" i="17" a="1"/>
  <c r="C11" i="17" a="1"/>
  <c r="C17" i="17" a="1"/>
  <c r="C23" i="17" a="1"/>
  <c r="C29" i="17" a="1"/>
  <c r="C35" i="17" a="1"/>
  <c r="C41" i="17" a="1"/>
  <c r="C47" i="17" a="1"/>
  <c r="C53" i="17" a="1"/>
  <c r="C59" i="17" a="1"/>
  <c r="C65" i="17" a="1"/>
  <c r="C71" i="17" a="1"/>
  <c r="C77" i="17" a="1"/>
  <c r="C83" i="17" a="1"/>
  <c r="C89" i="17" a="1"/>
  <c r="C95" i="17" a="1"/>
  <c r="C101" i="17" a="1"/>
  <c r="C107" i="17" a="1"/>
  <c r="C113" i="17" a="1"/>
  <c r="C119" i="17" a="1"/>
  <c r="C125" i="17" a="1"/>
  <c r="C131" i="17" a="1"/>
  <c r="C137" i="17" a="1"/>
  <c r="C143" i="17" a="1"/>
  <c r="C149" i="17" a="1"/>
  <c r="C155" i="17" a="1"/>
  <c r="C161" i="17" a="1"/>
  <c r="C167" i="17" a="1"/>
  <c r="C173" i="17" a="1"/>
  <c r="C179" i="17" a="1"/>
  <c r="C185" i="17" a="1"/>
  <c r="C191" i="17" a="1"/>
  <c r="C43" i="17" a="1"/>
  <c r="C85" i="17" a="1"/>
  <c r="C121" i="17" a="1"/>
  <c r="C145" i="17" a="1"/>
  <c r="C169" i="17" a="1"/>
  <c r="C187" i="17" a="1"/>
  <c r="C128" i="17" a="1"/>
  <c r="C176" i="17" a="1"/>
  <c r="C39" i="17" a="1"/>
  <c r="C87" i="17" a="1"/>
  <c r="C123" i="17" a="1"/>
  <c r="C153" i="17" a="1"/>
  <c r="C28" i="17" a="1"/>
  <c r="C118" i="17" a="1"/>
  <c r="C172" i="17" a="1"/>
  <c r="C174" i="17" a="1"/>
  <c r="C31" i="17" a="1"/>
  <c r="C91" i="17" a="1"/>
  <c r="C127" i="17" a="1"/>
  <c r="C157" i="17" a="1"/>
  <c r="C193" i="17" a="1"/>
  <c r="C122" i="17" a="1"/>
  <c r="C164" i="17" a="1"/>
  <c r="C33" i="17" a="1"/>
  <c r="C69" i="17" a="1"/>
  <c r="C105" i="17" a="1"/>
  <c r="C129" i="17" a="1"/>
  <c r="C165" i="17" a="1"/>
  <c r="C52" i="17" a="1"/>
  <c r="C100" i="17" a="1"/>
  <c r="C154" i="17" a="1"/>
  <c r="C6" i="17" a="1"/>
  <c r="C12" i="17" a="1"/>
  <c r="C18" i="17" a="1"/>
  <c r="C24" i="17" a="1"/>
  <c r="C30" i="17" a="1"/>
  <c r="C36" i="17" a="1"/>
  <c r="C42" i="17" a="1"/>
  <c r="C48" i="17" a="1"/>
  <c r="C54" i="17" a="1"/>
  <c r="C60" i="17" a="1"/>
  <c r="C66" i="17" a="1"/>
  <c r="C72" i="17" a="1"/>
  <c r="C78" i="17" a="1"/>
  <c r="C84" i="17" a="1"/>
  <c r="C90" i="17" a="1"/>
  <c r="C96" i="17" a="1"/>
  <c r="C102" i="17" a="1"/>
  <c r="C108" i="17" a="1"/>
  <c r="C114" i="17" a="1"/>
  <c r="C120" i="17" a="1"/>
  <c r="C126" i="17" a="1"/>
  <c r="C132" i="17" a="1"/>
  <c r="C138" i="17" a="1"/>
  <c r="C144" i="17" a="1"/>
  <c r="C150" i="17" a="1"/>
  <c r="C156" i="17" a="1"/>
  <c r="C162" i="17" a="1"/>
  <c r="C168" i="17" a="1"/>
  <c r="C180" i="17" a="1"/>
  <c r="C186" i="17" a="1"/>
  <c r="C192" i="17" a="1"/>
  <c r="C13" i="17" a="1"/>
  <c r="C61" i="17" a="1"/>
  <c r="C79" i="17" a="1"/>
  <c r="C103" i="17" a="1"/>
  <c r="C109" i="17" a="1"/>
  <c r="C133" i="17" a="1"/>
  <c r="C151" i="17" a="1"/>
  <c r="C175" i="17" a="1"/>
  <c r="C104" i="17" a="1"/>
  <c r="C140" i="17" a="1"/>
  <c r="C152" i="17" a="1"/>
  <c r="C182" i="17" a="1"/>
  <c r="C21" i="17" a="1"/>
  <c r="C81" i="17" a="1"/>
  <c r="C141" i="17" a="1"/>
  <c r="C183" i="17" a="1"/>
  <c r="C16" i="17" a="1"/>
  <c r="C94" i="17" a="1"/>
  <c r="C136" i="17" a="1"/>
  <c r="C7" i="17" a="1"/>
  <c r="C19" i="17" a="1"/>
  <c r="C25" i="17" a="1"/>
  <c r="C37" i="17" a="1"/>
  <c r="C49" i="17" a="1"/>
  <c r="C55" i="17" a="1"/>
  <c r="C67" i="17" a="1"/>
  <c r="C73" i="17" a="1"/>
  <c r="C97" i="17" a="1"/>
  <c r="C115" i="17" a="1"/>
  <c r="C139" i="17" a="1"/>
  <c r="C163" i="17" a="1"/>
  <c r="C181" i="17" a="1"/>
  <c r="C116" i="17" a="1"/>
  <c r="C158" i="17" a="1"/>
  <c r="C188" i="17" a="1"/>
  <c r="C27" i="17" a="1"/>
  <c r="C45" i="17" a="1"/>
  <c r="C57" i="17" a="1"/>
  <c r="C75" i="17" a="1"/>
  <c r="C99" i="17" a="1"/>
  <c r="C117" i="17" a="1"/>
  <c r="C147" i="17" a="1"/>
  <c r="C171" i="17" a="1"/>
  <c r="C22" i="17" a="1"/>
  <c r="C64" i="17" a="1"/>
  <c r="C106" i="17" a="1"/>
  <c r="C148" i="17" a="1"/>
  <c r="C190" i="17" a="1"/>
  <c r="C58" i="17" a="1"/>
  <c r="C160" i="17" a="1"/>
  <c r="C8" i="17" a="1"/>
  <c r="C14" i="17" a="1"/>
  <c r="C20" i="17" a="1"/>
  <c r="C26" i="17" a="1"/>
  <c r="C32" i="17" a="1"/>
  <c r="C38" i="17" a="1"/>
  <c r="C44" i="17" a="1"/>
  <c r="C50" i="17" a="1"/>
  <c r="C56" i="17" a="1"/>
  <c r="C62" i="17" a="1"/>
  <c r="C68" i="17" a="1"/>
  <c r="C74" i="17" a="1"/>
  <c r="C80" i="17" a="1"/>
  <c r="C86" i="17" a="1"/>
  <c r="C92" i="17" a="1"/>
  <c r="C98" i="17" a="1"/>
  <c r="C110" i="17" a="1"/>
  <c r="C134" i="17" a="1"/>
  <c r="C146" i="17" a="1"/>
  <c r="C170" i="17" a="1"/>
  <c r="C15" i="17" a="1"/>
  <c r="C51" i="17" a="1"/>
  <c r="C63" i="17" a="1"/>
  <c r="C93" i="17" a="1"/>
  <c r="C111" i="17" a="1"/>
  <c r="C135" i="17" a="1"/>
  <c r="C159" i="17" a="1"/>
  <c r="C189" i="17" a="1"/>
  <c r="C10" i="17" a="1"/>
  <c r="C70" i="17" a="1"/>
  <c r="C112" i="17" a="1"/>
  <c r="C142" i="17" a="1"/>
  <c r="C40" i="17" a="1"/>
  <c r="C184" i="17" a="1"/>
  <c r="C9" i="17" a="1"/>
  <c r="C177" i="17" a="1"/>
  <c r="C34" i="17" a="1"/>
  <c r="C88" i="17" a="1"/>
  <c r="C130" i="17" a="1"/>
  <c r="C3" i="17" a="1"/>
  <c r="G4" i="18" l="1"/>
  <c r="G28" i="18" s="1"/>
  <c r="P179" i="17"/>
  <c r="P183" i="17"/>
  <c r="P165" i="17"/>
  <c r="P147" i="17"/>
  <c r="P135" i="17"/>
  <c r="P123" i="17"/>
  <c r="P117" i="17"/>
  <c r="P105" i="17"/>
  <c r="P99" i="17"/>
  <c r="P93" i="17"/>
  <c r="P87" i="17"/>
  <c r="P81" i="17"/>
  <c r="P75" i="17"/>
  <c r="P69" i="17"/>
  <c r="P63" i="17"/>
  <c r="P57" i="17"/>
  <c r="P51" i="17"/>
  <c r="P45" i="17"/>
  <c r="P39" i="17"/>
  <c r="P33" i="17"/>
  <c r="P27" i="17"/>
  <c r="P21" i="17"/>
  <c r="P15" i="17"/>
  <c r="P9" i="17"/>
  <c r="P177" i="17"/>
  <c r="P159" i="17"/>
  <c r="P141" i="17"/>
  <c r="P111" i="17"/>
  <c r="P188" i="17"/>
  <c r="P176" i="17"/>
  <c r="P170" i="17"/>
  <c r="P164" i="17"/>
  <c r="P158" i="17"/>
  <c r="P152" i="17"/>
  <c r="P146" i="17"/>
  <c r="P140" i="17"/>
  <c r="P134" i="17"/>
  <c r="P128" i="17"/>
  <c r="P122" i="17"/>
  <c r="P116" i="17"/>
  <c r="P110" i="17"/>
  <c r="P104" i="17"/>
  <c r="P98" i="17"/>
  <c r="P92" i="17"/>
  <c r="P86" i="17"/>
  <c r="P80" i="17"/>
  <c r="P74" i="17"/>
  <c r="P68" i="17"/>
  <c r="P62" i="17"/>
  <c r="P56" i="17"/>
  <c r="P50" i="17"/>
  <c r="P44" i="17"/>
  <c r="P38" i="17"/>
  <c r="P32" i="17"/>
  <c r="P26" i="17"/>
  <c r="P20" i="17"/>
  <c r="P14" i="17"/>
  <c r="P8" i="17"/>
  <c r="P191" i="17"/>
  <c r="P171" i="17"/>
  <c r="P153" i="17"/>
  <c r="P129" i="17"/>
  <c r="P182" i="17"/>
  <c r="P169" i="17"/>
  <c r="P151" i="17"/>
  <c r="P127" i="17"/>
  <c r="P103" i="17"/>
  <c r="P79" i="17"/>
  <c r="P61" i="17"/>
  <c r="P55" i="17"/>
  <c r="P49" i="17"/>
  <c r="P37" i="17"/>
  <c r="P25" i="17"/>
  <c r="P19" i="17"/>
  <c r="P13" i="17"/>
  <c r="P7" i="17"/>
  <c r="P187" i="17"/>
  <c r="P145" i="17"/>
  <c r="P193" i="17"/>
  <c r="P175" i="17"/>
  <c r="P157" i="17"/>
  <c r="P133" i="17"/>
  <c r="P115" i="17"/>
  <c r="P97" i="17"/>
  <c r="P85" i="17"/>
  <c r="P67" i="17"/>
  <c r="P31" i="17"/>
  <c r="P192" i="17"/>
  <c r="P174" i="17"/>
  <c r="P156" i="17"/>
  <c r="P144" i="17"/>
  <c r="P138" i="17"/>
  <c r="P126" i="17"/>
  <c r="P120" i="17"/>
  <c r="P114" i="17"/>
  <c r="P108" i="17"/>
  <c r="P102" i="17"/>
  <c r="P90" i="17"/>
  <c r="P84" i="17"/>
  <c r="P78" i="17"/>
  <c r="P72" i="17"/>
  <c r="P66" i="17"/>
  <c r="P60" i="17"/>
  <c r="P54" i="17"/>
  <c r="P48" i="17"/>
  <c r="P42" i="17"/>
  <c r="P36" i="17"/>
  <c r="P30" i="17"/>
  <c r="P24" i="17"/>
  <c r="P18" i="17"/>
  <c r="P12" i="17"/>
  <c r="P6" i="17"/>
  <c r="P173" i="17"/>
  <c r="P189" i="17"/>
  <c r="P181" i="17"/>
  <c r="P163" i="17"/>
  <c r="P139" i="17"/>
  <c r="P121" i="17"/>
  <c r="P109" i="17"/>
  <c r="P91" i="17"/>
  <c r="P73" i="17"/>
  <c r="P43" i="17"/>
  <c r="P186" i="17"/>
  <c r="P180" i="17"/>
  <c r="P168" i="17"/>
  <c r="P162" i="17"/>
  <c r="P150" i="17"/>
  <c r="P132" i="17"/>
  <c r="P96" i="17"/>
  <c r="P167" i="17"/>
  <c r="P155" i="17"/>
  <c r="P143" i="17"/>
  <c r="P131" i="17"/>
  <c r="P119" i="17"/>
  <c r="P107" i="17"/>
  <c r="P95" i="17"/>
  <c r="P83" i="17"/>
  <c r="P71" i="17"/>
  <c r="P59" i="17"/>
  <c r="P53" i="17"/>
  <c r="P41" i="17"/>
  <c r="P29" i="17"/>
  <c r="P23" i="17"/>
  <c r="P17" i="17"/>
  <c r="P5" i="17"/>
  <c r="P185" i="17"/>
  <c r="P161" i="17"/>
  <c r="P149" i="17"/>
  <c r="P137" i="17"/>
  <c r="P125" i="17"/>
  <c r="P113" i="17"/>
  <c r="P101" i="17"/>
  <c r="P89" i="17"/>
  <c r="P77" i="17"/>
  <c r="P65" i="17"/>
  <c r="P47" i="17"/>
  <c r="P35" i="17"/>
  <c r="P11" i="17"/>
  <c r="P190" i="17"/>
  <c r="P184" i="17"/>
  <c r="P178" i="17"/>
  <c r="P172" i="17"/>
  <c r="P166" i="17"/>
  <c r="P160" i="17"/>
  <c r="P154" i="17"/>
  <c r="P148" i="17"/>
  <c r="P142" i="17"/>
  <c r="P136" i="17"/>
  <c r="P130" i="17"/>
  <c r="P124" i="17"/>
  <c r="P118" i="17"/>
  <c r="P112" i="17"/>
  <c r="P106" i="17"/>
  <c r="P100" i="17"/>
  <c r="P94" i="17"/>
  <c r="P88" i="17"/>
  <c r="P82" i="17"/>
  <c r="P76" i="17"/>
  <c r="P70" i="17"/>
  <c r="P64" i="17"/>
  <c r="P58" i="17"/>
  <c r="P52" i="17"/>
  <c r="P46" i="17"/>
  <c r="P40" i="17"/>
  <c r="P34" i="17"/>
  <c r="P28" i="17"/>
  <c r="P22" i="17"/>
  <c r="P16" i="17"/>
  <c r="P10" i="17"/>
  <c r="P4" i="17"/>
  <c r="P3" i="17"/>
  <c r="O166" i="17"/>
  <c r="O124" i="17"/>
  <c r="O82" i="17"/>
  <c r="O16" i="17"/>
  <c r="O189" i="17"/>
  <c r="O171" i="17"/>
  <c r="O159" i="17"/>
  <c r="O141" i="17"/>
  <c r="O129" i="17"/>
  <c r="O117" i="17"/>
  <c r="O111" i="17"/>
  <c r="O99" i="17"/>
  <c r="O93" i="17"/>
  <c r="O81" i="17"/>
  <c r="O75" i="17"/>
  <c r="O69" i="17"/>
  <c r="O63" i="17"/>
  <c r="O57" i="17"/>
  <c r="O45" i="17"/>
  <c r="O39" i="17"/>
  <c r="O33" i="17"/>
  <c r="O27" i="17"/>
  <c r="O21" i="17"/>
  <c r="O15" i="17"/>
  <c r="O9" i="17"/>
  <c r="O178" i="17"/>
  <c r="O130" i="17"/>
  <c r="O88" i="17"/>
  <c r="O58" i="17"/>
  <c r="O34" i="17"/>
  <c r="O177" i="17"/>
  <c r="O153" i="17"/>
  <c r="O135" i="17"/>
  <c r="O123" i="17"/>
  <c r="O105" i="17"/>
  <c r="O87" i="17"/>
  <c r="O51" i="17"/>
  <c r="O154" i="17"/>
  <c r="O106" i="17"/>
  <c r="O76" i="17"/>
  <c r="O22" i="17"/>
  <c r="O183" i="17"/>
  <c r="O165" i="17"/>
  <c r="O147" i="17"/>
  <c r="O188" i="17"/>
  <c r="O182" i="17"/>
  <c r="O176" i="17"/>
  <c r="O170" i="17"/>
  <c r="O164" i="17"/>
  <c r="O158" i="17"/>
  <c r="O152" i="17"/>
  <c r="O146" i="17"/>
  <c r="O140" i="17"/>
  <c r="O134" i="17"/>
  <c r="O128" i="17"/>
  <c r="O122" i="17"/>
  <c r="O116" i="17"/>
  <c r="O110" i="17"/>
  <c r="O104" i="17"/>
  <c r="O98" i="17"/>
  <c r="O92" i="17"/>
  <c r="O86" i="17"/>
  <c r="O80" i="17"/>
  <c r="O74" i="17"/>
  <c r="O68" i="17"/>
  <c r="O62" i="17"/>
  <c r="O56" i="17"/>
  <c r="O50" i="17"/>
  <c r="O44" i="17"/>
  <c r="O38" i="17"/>
  <c r="O32" i="17"/>
  <c r="O26" i="17"/>
  <c r="O20" i="17"/>
  <c r="O14" i="17"/>
  <c r="O8" i="17"/>
  <c r="O112" i="17"/>
  <c r="O10" i="17"/>
  <c r="O187" i="17"/>
  <c r="O169" i="17"/>
  <c r="O145" i="17"/>
  <c r="O139" i="17"/>
  <c r="O121" i="17"/>
  <c r="O109" i="17"/>
  <c r="O97" i="17"/>
  <c r="O91" i="17"/>
  <c r="O85" i="17"/>
  <c r="O79" i="17"/>
  <c r="O73" i="17"/>
  <c r="O67" i="17"/>
  <c r="O61" i="17"/>
  <c r="O55" i="17"/>
  <c r="O49" i="17"/>
  <c r="O43" i="17"/>
  <c r="O37" i="17"/>
  <c r="O31" i="17"/>
  <c r="O25" i="17"/>
  <c r="O19" i="17"/>
  <c r="O13" i="17"/>
  <c r="O7" i="17"/>
  <c r="O172" i="17"/>
  <c r="O118" i="17"/>
  <c r="O70" i="17"/>
  <c r="O28" i="17"/>
  <c r="O175" i="17"/>
  <c r="O157" i="17"/>
  <c r="O133" i="17"/>
  <c r="O103" i="17"/>
  <c r="O186" i="17"/>
  <c r="O174" i="17"/>
  <c r="O156" i="17"/>
  <c r="O144" i="17"/>
  <c r="O132" i="17"/>
  <c r="O120" i="17"/>
  <c r="O108" i="17"/>
  <c r="O102" i="17"/>
  <c r="O90" i="17"/>
  <c r="O84" i="17"/>
  <c r="O78" i="17"/>
  <c r="O72" i="17"/>
  <c r="O66" i="17"/>
  <c r="O54" i="17"/>
  <c r="O48" i="17"/>
  <c r="O42" i="17"/>
  <c r="O36" i="17"/>
  <c r="O30" i="17"/>
  <c r="O24" i="17"/>
  <c r="O18" i="17"/>
  <c r="O12" i="17"/>
  <c r="O6" i="17"/>
  <c r="O184" i="17"/>
  <c r="O142" i="17"/>
  <c r="O100" i="17"/>
  <c r="O52" i="17"/>
  <c r="O4" i="17"/>
  <c r="O181" i="17"/>
  <c r="O151" i="17"/>
  <c r="O115" i="17"/>
  <c r="O192" i="17"/>
  <c r="O180" i="17"/>
  <c r="O168" i="17"/>
  <c r="O162" i="17"/>
  <c r="O150" i="17"/>
  <c r="O138" i="17"/>
  <c r="O126" i="17"/>
  <c r="O114" i="17"/>
  <c r="O96" i="17"/>
  <c r="O60" i="17"/>
  <c r="O160" i="17"/>
  <c r="O136" i="17"/>
  <c r="O94" i="17"/>
  <c r="O64" i="17"/>
  <c r="O40" i="17"/>
  <c r="O193" i="17"/>
  <c r="O163" i="17"/>
  <c r="O127" i="17"/>
  <c r="O191" i="17"/>
  <c r="O185" i="17"/>
  <c r="O179" i="17"/>
  <c r="O173" i="17"/>
  <c r="O167" i="17"/>
  <c r="O161" i="17"/>
  <c r="O155" i="17"/>
  <c r="O149" i="17"/>
  <c r="O143" i="17"/>
  <c r="O137" i="17"/>
  <c r="O131" i="17"/>
  <c r="O125" i="17"/>
  <c r="O119" i="17"/>
  <c r="O113" i="17"/>
  <c r="O107" i="17"/>
  <c r="O101" i="17"/>
  <c r="O95" i="17"/>
  <c r="O89" i="17"/>
  <c r="O83" i="17"/>
  <c r="O77" i="17"/>
  <c r="O71" i="17"/>
  <c r="O65" i="17"/>
  <c r="O59" i="17"/>
  <c r="O53" i="17"/>
  <c r="O47" i="17"/>
  <c r="O41" i="17"/>
  <c r="O35" i="17"/>
  <c r="O29" i="17"/>
  <c r="O23" i="17"/>
  <c r="O17" i="17"/>
  <c r="O11" i="17"/>
  <c r="O5" i="17"/>
  <c r="O190" i="17"/>
  <c r="O46" i="17"/>
  <c r="O148" i="17"/>
  <c r="O3" i="17"/>
  <c r="N130" i="17"/>
  <c r="N82" i="17"/>
  <c r="N10" i="17"/>
  <c r="N149" i="17"/>
  <c r="N101" i="17"/>
  <c r="N53" i="17"/>
  <c r="N29" i="17"/>
  <c r="N172" i="17"/>
  <c r="N124" i="17"/>
  <c r="N76" i="17"/>
  <c r="N28" i="17"/>
  <c r="N191" i="17"/>
  <c r="N143" i="17"/>
  <c r="N119" i="17"/>
  <c r="N95" i="17"/>
  <c r="N71" i="17"/>
  <c r="N47" i="17"/>
  <c r="N23" i="17"/>
  <c r="N154" i="17"/>
  <c r="N106" i="17"/>
  <c r="N34" i="17"/>
  <c r="N173" i="17"/>
  <c r="N125" i="17"/>
  <c r="N77" i="17"/>
  <c r="N5" i="17"/>
  <c r="N148" i="17"/>
  <c r="N100" i="17"/>
  <c r="N52" i="17"/>
  <c r="N4" i="17"/>
  <c r="N167" i="17"/>
  <c r="N190" i="17"/>
  <c r="N166" i="17"/>
  <c r="N142" i="17"/>
  <c r="N118" i="17"/>
  <c r="N94" i="17"/>
  <c r="N70" i="17"/>
  <c r="N46" i="17"/>
  <c r="N22" i="17"/>
  <c r="N178" i="17"/>
  <c r="N58" i="17"/>
  <c r="N185" i="17"/>
  <c r="N161" i="17"/>
  <c r="N137" i="17"/>
  <c r="N113" i="17"/>
  <c r="N89" i="17"/>
  <c r="N65" i="17"/>
  <c r="N41" i="17"/>
  <c r="N17" i="17"/>
  <c r="N184" i="17"/>
  <c r="N160" i="17"/>
  <c r="N136" i="17"/>
  <c r="N112" i="17"/>
  <c r="N88" i="17"/>
  <c r="N64" i="17"/>
  <c r="N40" i="17"/>
  <c r="N16" i="17"/>
  <c r="N179" i="17"/>
  <c r="N155" i="17"/>
  <c r="N131" i="17"/>
  <c r="N107" i="17"/>
  <c r="N83" i="17"/>
  <c r="N59" i="17"/>
  <c r="N35" i="17"/>
  <c r="N11" i="17"/>
  <c r="N153" i="17"/>
  <c r="N111" i="17"/>
  <c r="N33" i="17"/>
  <c r="N189" i="17"/>
  <c r="N165" i="17"/>
  <c r="N141" i="17"/>
  <c r="N123" i="17"/>
  <c r="N87" i="17"/>
  <c r="N75" i="17"/>
  <c r="N51" i="17"/>
  <c r="N39" i="17"/>
  <c r="N21" i="17"/>
  <c r="N188" i="17"/>
  <c r="N182" i="17"/>
  <c r="N176" i="17"/>
  <c r="N170" i="17"/>
  <c r="N164" i="17"/>
  <c r="N158" i="17"/>
  <c r="N152" i="17"/>
  <c r="N146" i="17"/>
  <c r="N140" i="17"/>
  <c r="N134" i="17"/>
  <c r="N128" i="17"/>
  <c r="N122" i="17"/>
  <c r="N116" i="17"/>
  <c r="N110" i="17"/>
  <c r="N104" i="17"/>
  <c r="N98" i="17"/>
  <c r="N92" i="17"/>
  <c r="N86" i="17"/>
  <c r="N80" i="17"/>
  <c r="N74" i="17"/>
  <c r="N68" i="17"/>
  <c r="N62" i="17"/>
  <c r="N56" i="17"/>
  <c r="N50" i="17"/>
  <c r="N44" i="17"/>
  <c r="N38" i="17"/>
  <c r="N32" i="17"/>
  <c r="N26" i="17"/>
  <c r="N20" i="17"/>
  <c r="N14" i="17"/>
  <c r="N8" i="17"/>
  <c r="N177" i="17"/>
  <c r="N135" i="17"/>
  <c r="N99" i="17"/>
  <c r="N69" i="17"/>
  <c r="N27" i="17"/>
  <c r="N193" i="17"/>
  <c r="N175" i="17"/>
  <c r="N163" i="17"/>
  <c r="N151" i="17"/>
  <c r="N145" i="17"/>
  <c r="N139" i="17"/>
  <c r="N133" i="17"/>
  <c r="N127" i="17"/>
  <c r="N121" i="17"/>
  <c r="N115" i="17"/>
  <c r="N109" i="17"/>
  <c r="N103" i="17"/>
  <c r="N97" i="17"/>
  <c r="N91" i="17"/>
  <c r="N85" i="17"/>
  <c r="N79" i="17"/>
  <c r="N73" i="17"/>
  <c r="N67" i="17"/>
  <c r="N61" i="17"/>
  <c r="N55" i="17"/>
  <c r="N49" i="17"/>
  <c r="N43" i="17"/>
  <c r="N37" i="17"/>
  <c r="N31" i="17"/>
  <c r="N25" i="17"/>
  <c r="N19" i="17"/>
  <c r="N13" i="17"/>
  <c r="N7" i="17"/>
  <c r="N171" i="17"/>
  <c r="N129" i="17"/>
  <c r="N105" i="17"/>
  <c r="N63" i="17"/>
  <c r="N9" i="17"/>
  <c r="N187" i="17"/>
  <c r="N169" i="17"/>
  <c r="N186" i="17"/>
  <c r="N168" i="17"/>
  <c r="N156" i="17"/>
  <c r="N144" i="17"/>
  <c r="N126" i="17"/>
  <c r="N108" i="17"/>
  <c r="N90" i="17"/>
  <c r="N72" i="17"/>
  <c r="N60" i="17"/>
  <c r="N42" i="17"/>
  <c r="N24" i="17"/>
  <c r="N6" i="17"/>
  <c r="N183" i="17"/>
  <c r="N159" i="17"/>
  <c r="N147" i="17"/>
  <c r="N117" i="17"/>
  <c r="N93" i="17"/>
  <c r="N81" i="17"/>
  <c r="N57" i="17"/>
  <c r="N45" i="17"/>
  <c r="N15" i="17"/>
  <c r="N181" i="17"/>
  <c r="N157" i="17"/>
  <c r="N192" i="17"/>
  <c r="N180" i="17"/>
  <c r="N174" i="17"/>
  <c r="N162" i="17"/>
  <c r="N150" i="17"/>
  <c r="N138" i="17"/>
  <c r="N132" i="17"/>
  <c r="N120" i="17"/>
  <c r="N114" i="17"/>
  <c r="N102" i="17"/>
  <c r="N96" i="17"/>
  <c r="N84" i="17"/>
  <c r="N78" i="17"/>
  <c r="N66" i="17"/>
  <c r="N54" i="17"/>
  <c r="N48" i="17"/>
  <c r="N36" i="17"/>
  <c r="N30" i="17"/>
  <c r="N18" i="17"/>
  <c r="N12" i="17"/>
  <c r="N3" i="17"/>
  <c r="M171" i="17"/>
  <c r="M141" i="17"/>
  <c r="M117" i="17"/>
  <c r="M105" i="17"/>
  <c r="M99" i="17"/>
  <c r="M93" i="17"/>
  <c r="M87" i="17"/>
  <c r="M81" i="17"/>
  <c r="M75" i="17"/>
  <c r="M69" i="17"/>
  <c r="M63" i="17"/>
  <c r="M57" i="17"/>
  <c r="M51" i="17"/>
  <c r="M45" i="17"/>
  <c r="M39" i="17"/>
  <c r="M33" i="17"/>
  <c r="M27" i="17"/>
  <c r="M21" i="17"/>
  <c r="M15" i="17"/>
  <c r="M9" i="17"/>
  <c r="M135" i="17"/>
  <c r="M183" i="17"/>
  <c r="M159" i="17"/>
  <c r="M123" i="17"/>
  <c r="M188" i="17"/>
  <c r="M176" i="17"/>
  <c r="M158" i="17"/>
  <c r="M146" i="17"/>
  <c r="M128" i="17"/>
  <c r="M116" i="17"/>
  <c r="M104" i="17"/>
  <c r="M92" i="17"/>
  <c r="M86" i="17"/>
  <c r="M80" i="17"/>
  <c r="M74" i="17"/>
  <c r="M68" i="17"/>
  <c r="M56" i="17"/>
  <c r="M50" i="17"/>
  <c r="M44" i="17"/>
  <c r="M38" i="17"/>
  <c r="M32" i="17"/>
  <c r="M26" i="17"/>
  <c r="M20" i="17"/>
  <c r="M14" i="17"/>
  <c r="M8" i="17"/>
  <c r="M189" i="17"/>
  <c r="M165" i="17"/>
  <c r="M147" i="17"/>
  <c r="M111" i="17"/>
  <c r="M182" i="17"/>
  <c r="M170" i="17"/>
  <c r="M164" i="17"/>
  <c r="M152" i="17"/>
  <c r="M140" i="17"/>
  <c r="M134" i="17"/>
  <c r="M122" i="17"/>
  <c r="M110" i="17"/>
  <c r="M98" i="17"/>
  <c r="M62" i="17"/>
  <c r="M177" i="17"/>
  <c r="M153" i="17"/>
  <c r="M129" i="17"/>
  <c r="M193" i="17"/>
  <c r="M187" i="17"/>
  <c r="M181" i="17"/>
  <c r="M175" i="17"/>
  <c r="M169" i="17"/>
  <c r="M163" i="17"/>
  <c r="M157" i="17"/>
  <c r="M151" i="17"/>
  <c r="M145" i="17"/>
  <c r="M139" i="17"/>
  <c r="M133" i="17"/>
  <c r="M127" i="17"/>
  <c r="M121" i="17"/>
  <c r="M115" i="17"/>
  <c r="M109" i="17"/>
  <c r="M103" i="17"/>
  <c r="M97" i="17"/>
  <c r="M91" i="17"/>
  <c r="M85" i="17"/>
  <c r="M79" i="17"/>
  <c r="M73" i="17"/>
  <c r="M67" i="17"/>
  <c r="M61" i="17"/>
  <c r="M55" i="17"/>
  <c r="M49" i="17"/>
  <c r="M43" i="17"/>
  <c r="M37" i="17"/>
  <c r="M31" i="17"/>
  <c r="M25" i="17"/>
  <c r="M19" i="17"/>
  <c r="M13" i="17"/>
  <c r="M7" i="17"/>
  <c r="M192" i="17"/>
  <c r="M180" i="17"/>
  <c r="M168" i="17"/>
  <c r="M162" i="17"/>
  <c r="M150" i="17"/>
  <c r="M144" i="17"/>
  <c r="M138" i="17"/>
  <c r="M132" i="17"/>
  <c r="M120" i="17"/>
  <c r="M114" i="17"/>
  <c r="M108" i="17"/>
  <c r="M102" i="17"/>
  <c r="M96" i="17"/>
  <c r="M90" i="17"/>
  <c r="M84" i="17"/>
  <c r="M78" i="17"/>
  <c r="M72" i="17"/>
  <c r="M66" i="17"/>
  <c r="M60" i="17"/>
  <c r="M54" i="17"/>
  <c r="M48" i="17"/>
  <c r="M42" i="17"/>
  <c r="M36" i="17"/>
  <c r="M30" i="17"/>
  <c r="M24" i="17"/>
  <c r="M18" i="17"/>
  <c r="M12" i="17"/>
  <c r="M6" i="17"/>
  <c r="M186" i="17"/>
  <c r="M174" i="17"/>
  <c r="M156" i="17"/>
  <c r="M126" i="17"/>
  <c r="M191" i="17"/>
  <c r="M179" i="17"/>
  <c r="M161" i="17"/>
  <c r="M143" i="17"/>
  <c r="M131" i="17"/>
  <c r="M119" i="17"/>
  <c r="M107" i="17"/>
  <c r="M101" i="17"/>
  <c r="M89" i="17"/>
  <c r="M83" i="17"/>
  <c r="M77" i="17"/>
  <c r="M71" i="17"/>
  <c r="M65" i="17"/>
  <c r="M59" i="17"/>
  <c r="M53" i="17"/>
  <c r="M47" i="17"/>
  <c r="M41" i="17"/>
  <c r="M35" i="17"/>
  <c r="M29" i="17"/>
  <c r="M23" i="17"/>
  <c r="M17" i="17"/>
  <c r="M11" i="17"/>
  <c r="M5" i="17"/>
  <c r="M185" i="17"/>
  <c r="M173" i="17"/>
  <c r="M167" i="17"/>
  <c r="M155" i="17"/>
  <c r="M149" i="17"/>
  <c r="M137" i="17"/>
  <c r="M125" i="17"/>
  <c r="M113" i="17"/>
  <c r="M95" i="17"/>
  <c r="M190" i="17"/>
  <c r="M184" i="17"/>
  <c r="M178" i="17"/>
  <c r="M172" i="17"/>
  <c r="M166" i="17"/>
  <c r="M160" i="17"/>
  <c r="M154" i="17"/>
  <c r="M148" i="17"/>
  <c r="M142" i="17"/>
  <c r="M136" i="17"/>
  <c r="M130" i="17"/>
  <c r="M124" i="17"/>
  <c r="M118" i="17"/>
  <c r="M112" i="17"/>
  <c r="M106" i="17"/>
  <c r="M100" i="17"/>
  <c r="M94" i="17"/>
  <c r="M88" i="17"/>
  <c r="M82" i="17"/>
  <c r="M76" i="17"/>
  <c r="M70" i="17"/>
  <c r="M64" i="17"/>
  <c r="M58" i="17"/>
  <c r="M52" i="17"/>
  <c r="M46" i="17"/>
  <c r="M40" i="17"/>
  <c r="M34" i="17"/>
  <c r="M28" i="17"/>
  <c r="M22" i="17"/>
  <c r="M16" i="17"/>
  <c r="M10" i="17"/>
  <c r="M4" i="17"/>
  <c r="M3" i="17"/>
  <c r="L83" i="17"/>
  <c r="L5" i="17"/>
  <c r="L154" i="17"/>
  <c r="L82" i="17"/>
  <c r="L173" i="17"/>
  <c r="L125" i="17"/>
  <c r="L29" i="17"/>
  <c r="L179" i="17"/>
  <c r="L107" i="17"/>
  <c r="L35" i="17"/>
  <c r="L130" i="17"/>
  <c r="L58" i="17"/>
  <c r="L77" i="17"/>
  <c r="L131" i="17"/>
  <c r="L59" i="17"/>
  <c r="L178" i="17"/>
  <c r="L106" i="17"/>
  <c r="L34" i="17"/>
  <c r="L149" i="17"/>
  <c r="L101" i="17"/>
  <c r="L53" i="17"/>
  <c r="L172" i="17"/>
  <c r="L148" i="17"/>
  <c r="L124" i="17"/>
  <c r="L100" i="17"/>
  <c r="L76" i="17"/>
  <c r="L52" i="17"/>
  <c r="L23" i="17"/>
  <c r="L191" i="17"/>
  <c r="L143" i="17"/>
  <c r="L119" i="17"/>
  <c r="L95" i="17"/>
  <c r="L71" i="17"/>
  <c r="L47" i="17"/>
  <c r="L22" i="17"/>
  <c r="L190" i="17"/>
  <c r="L166" i="17"/>
  <c r="L142" i="17"/>
  <c r="L118" i="17"/>
  <c r="L94" i="17"/>
  <c r="L70" i="17"/>
  <c r="L46" i="17"/>
  <c r="L17" i="17"/>
  <c r="L155" i="17"/>
  <c r="L167" i="17"/>
  <c r="L185" i="17"/>
  <c r="L161" i="17"/>
  <c r="L137" i="17"/>
  <c r="L113" i="17"/>
  <c r="L89" i="17"/>
  <c r="L65" i="17"/>
  <c r="L41" i="17"/>
  <c r="L11" i="17"/>
  <c r="L184" i="17"/>
  <c r="L160" i="17"/>
  <c r="L136" i="17"/>
  <c r="L112" i="17"/>
  <c r="L88" i="17"/>
  <c r="L64" i="17"/>
  <c r="L40" i="17"/>
  <c r="L10" i="17"/>
  <c r="L28" i="17"/>
  <c r="L16" i="17"/>
  <c r="L4" i="17"/>
  <c r="L189" i="17"/>
  <c r="L183" i="17"/>
  <c r="L177" i="17"/>
  <c r="L171" i="17"/>
  <c r="L165" i="17"/>
  <c r="L159" i="17"/>
  <c r="L153" i="17"/>
  <c r="L147" i="17"/>
  <c r="L141" i="17"/>
  <c r="L135" i="17"/>
  <c r="L129" i="17"/>
  <c r="L123" i="17"/>
  <c r="L117" i="17"/>
  <c r="L111" i="17"/>
  <c r="L105" i="17"/>
  <c r="L99" i="17"/>
  <c r="L93" i="17"/>
  <c r="L87" i="17"/>
  <c r="L81" i="17"/>
  <c r="L75" i="17"/>
  <c r="L69" i="17"/>
  <c r="L63" i="17"/>
  <c r="L57" i="17"/>
  <c r="L51" i="17"/>
  <c r="L45" i="17"/>
  <c r="L39" i="17"/>
  <c r="L33" i="17"/>
  <c r="L27" i="17"/>
  <c r="L21" i="17"/>
  <c r="L15" i="17"/>
  <c r="L9" i="17"/>
  <c r="L188" i="17"/>
  <c r="L164" i="17"/>
  <c r="L140" i="17"/>
  <c r="L122" i="17"/>
  <c r="L98" i="17"/>
  <c r="L74" i="17"/>
  <c r="L50" i="17"/>
  <c r="L20" i="17"/>
  <c r="L193" i="17"/>
  <c r="L169" i="17"/>
  <c r="L145" i="17"/>
  <c r="L121" i="17"/>
  <c r="L103" i="17"/>
  <c r="L79" i="17"/>
  <c r="L61" i="17"/>
  <c r="L43" i="17"/>
  <c r="L37" i="17"/>
  <c r="L31" i="17"/>
  <c r="L25" i="17"/>
  <c r="L7" i="17"/>
  <c r="L182" i="17"/>
  <c r="L170" i="17"/>
  <c r="L152" i="17"/>
  <c r="L134" i="17"/>
  <c r="L116" i="17"/>
  <c r="L92" i="17"/>
  <c r="L62" i="17"/>
  <c r="L14" i="17"/>
  <c r="L187" i="17"/>
  <c r="L175" i="17"/>
  <c r="L157" i="17"/>
  <c r="L139" i="17"/>
  <c r="L127" i="17"/>
  <c r="L109" i="17"/>
  <c r="L91" i="17"/>
  <c r="L73" i="17"/>
  <c r="L49" i="17"/>
  <c r="L13" i="17"/>
  <c r="L186" i="17"/>
  <c r="L174" i="17"/>
  <c r="L168" i="17"/>
  <c r="L156" i="17"/>
  <c r="L150" i="17"/>
  <c r="L144" i="17"/>
  <c r="L138" i="17"/>
  <c r="L132" i="17"/>
  <c r="L126" i="17"/>
  <c r="L114" i="17"/>
  <c r="L108" i="17"/>
  <c r="L102" i="17"/>
  <c r="L96" i="17"/>
  <c r="L90" i="17"/>
  <c r="L84" i="17"/>
  <c r="L78" i="17"/>
  <c r="L72" i="17"/>
  <c r="L66" i="17"/>
  <c r="L60" i="17"/>
  <c r="L54" i="17"/>
  <c r="L48" i="17"/>
  <c r="L42" i="17"/>
  <c r="L36" i="17"/>
  <c r="L30" i="17"/>
  <c r="L24" i="17"/>
  <c r="L18" i="17"/>
  <c r="L12" i="17"/>
  <c r="L6" i="17"/>
  <c r="L176" i="17"/>
  <c r="L158" i="17"/>
  <c r="L146" i="17"/>
  <c r="L128" i="17"/>
  <c r="L110" i="17"/>
  <c r="L104" i="17"/>
  <c r="L86" i="17"/>
  <c r="L80" i="17"/>
  <c r="L68" i="17"/>
  <c r="L56" i="17"/>
  <c r="L44" i="17"/>
  <c r="L38" i="17"/>
  <c r="L32" i="17"/>
  <c r="L26" i="17"/>
  <c r="L8" i="17"/>
  <c r="L181" i="17"/>
  <c r="L163" i="17"/>
  <c r="L151" i="17"/>
  <c r="L133" i="17"/>
  <c r="L115" i="17"/>
  <c r="L97" i="17"/>
  <c r="L85" i="17"/>
  <c r="L67" i="17"/>
  <c r="L55" i="17"/>
  <c r="L19" i="17"/>
  <c r="L192" i="17"/>
  <c r="L180" i="17"/>
  <c r="L162" i="17"/>
  <c r="L120" i="17"/>
  <c r="L3" i="17"/>
  <c r="K183" i="17"/>
  <c r="K159" i="17"/>
  <c r="K117" i="17"/>
  <c r="K93" i="17"/>
  <c r="K51" i="17"/>
  <c r="K21" i="17"/>
  <c r="K188" i="17"/>
  <c r="K182" i="17"/>
  <c r="K176" i="17"/>
  <c r="K170" i="17"/>
  <c r="K164" i="17"/>
  <c r="K158" i="17"/>
  <c r="K152" i="17"/>
  <c r="K146" i="17"/>
  <c r="K140" i="17"/>
  <c r="K134" i="17"/>
  <c r="K128" i="17"/>
  <c r="K122" i="17"/>
  <c r="K116" i="17"/>
  <c r="K110" i="17"/>
  <c r="K104" i="17"/>
  <c r="K98" i="17"/>
  <c r="K92" i="17"/>
  <c r="K86" i="17"/>
  <c r="K80" i="17"/>
  <c r="K74" i="17"/>
  <c r="K68" i="17"/>
  <c r="K62" i="17"/>
  <c r="K56" i="17"/>
  <c r="K50" i="17"/>
  <c r="K44" i="17"/>
  <c r="K38" i="17"/>
  <c r="K32" i="17"/>
  <c r="K26" i="17"/>
  <c r="K20" i="17"/>
  <c r="K14" i="17"/>
  <c r="K8" i="17"/>
  <c r="K189" i="17"/>
  <c r="K129" i="17"/>
  <c r="K75" i="17"/>
  <c r="K15" i="17"/>
  <c r="K91" i="17"/>
  <c r="K177" i="17"/>
  <c r="K135" i="17"/>
  <c r="K81" i="17"/>
  <c r="K33" i="17"/>
  <c r="K187" i="17"/>
  <c r="K163" i="17"/>
  <c r="K145" i="17"/>
  <c r="K127" i="17"/>
  <c r="K115" i="17"/>
  <c r="K103" i="17"/>
  <c r="K97" i="17"/>
  <c r="K85" i="17"/>
  <c r="K79" i="17"/>
  <c r="K67" i="17"/>
  <c r="K61" i="17"/>
  <c r="K55" i="17"/>
  <c r="K49" i="17"/>
  <c r="K43" i="17"/>
  <c r="K37" i="17"/>
  <c r="K31" i="17"/>
  <c r="K25" i="17"/>
  <c r="K19" i="17"/>
  <c r="K13" i="17"/>
  <c r="K7" i="17"/>
  <c r="K171" i="17"/>
  <c r="K141" i="17"/>
  <c r="K105" i="17"/>
  <c r="K63" i="17"/>
  <c r="K39" i="17"/>
  <c r="K181" i="17"/>
  <c r="K151" i="17"/>
  <c r="K121" i="17"/>
  <c r="K109" i="17"/>
  <c r="K73" i="17"/>
  <c r="K192" i="17"/>
  <c r="K186" i="17"/>
  <c r="K180" i="17"/>
  <c r="K174" i="17"/>
  <c r="K168" i="17"/>
  <c r="K162" i="17"/>
  <c r="K156" i="17"/>
  <c r="K150" i="17"/>
  <c r="K144" i="17"/>
  <c r="K138" i="17"/>
  <c r="K132" i="17"/>
  <c r="K126" i="17"/>
  <c r="K120" i="17"/>
  <c r="K114" i="17"/>
  <c r="K108" i="17"/>
  <c r="K102" i="17"/>
  <c r="K96" i="17"/>
  <c r="K90" i="17"/>
  <c r="K84" i="17"/>
  <c r="K78" i="17"/>
  <c r="K72" i="17"/>
  <c r="K66" i="17"/>
  <c r="K60" i="17"/>
  <c r="K54" i="17"/>
  <c r="K48" i="17"/>
  <c r="K42" i="17"/>
  <c r="K36" i="17"/>
  <c r="K30" i="17"/>
  <c r="K24" i="17"/>
  <c r="K18" i="17"/>
  <c r="K12" i="17"/>
  <c r="K6" i="17"/>
  <c r="K153" i="17"/>
  <c r="K87" i="17"/>
  <c r="K9" i="17"/>
  <c r="K147" i="17"/>
  <c r="K111" i="17"/>
  <c r="K69" i="17"/>
  <c r="K45" i="17"/>
  <c r="K169" i="17"/>
  <c r="K133" i="17"/>
  <c r="K179" i="17"/>
  <c r="K167" i="17"/>
  <c r="K155" i="17"/>
  <c r="K143" i="17"/>
  <c r="K137" i="17"/>
  <c r="K131" i="17"/>
  <c r="K119" i="17"/>
  <c r="K113" i="17"/>
  <c r="K107" i="17"/>
  <c r="K101" i="17"/>
  <c r="K95" i="17"/>
  <c r="K89" i="17"/>
  <c r="K83" i="17"/>
  <c r="K77" i="17"/>
  <c r="K71" i="17"/>
  <c r="K65" i="17"/>
  <c r="K59" i="17"/>
  <c r="K53" i="17"/>
  <c r="K47" i="17"/>
  <c r="K41" i="17"/>
  <c r="K35" i="17"/>
  <c r="K29" i="17"/>
  <c r="K23" i="17"/>
  <c r="K17" i="17"/>
  <c r="K11" i="17"/>
  <c r="K5" i="17"/>
  <c r="K165" i="17"/>
  <c r="K123" i="17"/>
  <c r="K99" i="17"/>
  <c r="K57" i="17"/>
  <c r="K27" i="17"/>
  <c r="K193" i="17"/>
  <c r="K175" i="17"/>
  <c r="K157" i="17"/>
  <c r="K139" i="17"/>
  <c r="K191" i="17"/>
  <c r="K185" i="17"/>
  <c r="K173" i="17"/>
  <c r="K161" i="17"/>
  <c r="K149" i="17"/>
  <c r="K125" i="17"/>
  <c r="K190" i="17"/>
  <c r="K184" i="17"/>
  <c r="K178" i="17"/>
  <c r="K172" i="17"/>
  <c r="K166" i="17"/>
  <c r="K160" i="17"/>
  <c r="K154" i="17"/>
  <c r="K148" i="17"/>
  <c r="K142" i="17"/>
  <c r="K136" i="17"/>
  <c r="K130" i="17"/>
  <c r="K124" i="17"/>
  <c r="K118" i="17"/>
  <c r="K112" i="17"/>
  <c r="K106" i="17"/>
  <c r="K100" i="17"/>
  <c r="K94" i="17"/>
  <c r="K88" i="17"/>
  <c r="K82" i="17"/>
  <c r="K76" i="17"/>
  <c r="K70" i="17"/>
  <c r="K64" i="17"/>
  <c r="K58" i="17"/>
  <c r="K52" i="17"/>
  <c r="K46" i="17"/>
  <c r="K40" i="17"/>
  <c r="K34" i="17"/>
  <c r="K28" i="17"/>
  <c r="K22" i="17"/>
  <c r="K16" i="17"/>
  <c r="K10" i="17"/>
  <c r="K4" i="17"/>
  <c r="K3" i="17"/>
  <c r="J184" i="17"/>
  <c r="J172" i="17"/>
  <c r="J160" i="17"/>
  <c r="J148" i="17"/>
  <c r="J136" i="17"/>
  <c r="J124" i="17"/>
  <c r="J112" i="17"/>
  <c r="J100" i="17"/>
  <c r="J94" i="17"/>
  <c r="J82" i="17"/>
  <c r="J70" i="17"/>
  <c r="J58" i="17"/>
  <c r="J46" i="17"/>
  <c r="J34" i="17"/>
  <c r="J22" i="17"/>
  <c r="J10" i="17"/>
  <c r="J189" i="17"/>
  <c r="J183" i="17"/>
  <c r="J177" i="17"/>
  <c r="J171" i="17"/>
  <c r="J165" i="17"/>
  <c r="J159" i="17"/>
  <c r="J153" i="17"/>
  <c r="J147" i="17"/>
  <c r="J141" i="17"/>
  <c r="J135" i="17"/>
  <c r="J129" i="17"/>
  <c r="J123" i="17"/>
  <c r="J117" i="17"/>
  <c r="J111" i="17"/>
  <c r="J105" i="17"/>
  <c r="J99" i="17"/>
  <c r="J93" i="17"/>
  <c r="J87" i="17"/>
  <c r="J81" i="17"/>
  <c r="J75" i="17"/>
  <c r="J69" i="17"/>
  <c r="J63" i="17"/>
  <c r="J57" i="17"/>
  <c r="J51" i="17"/>
  <c r="J45" i="17"/>
  <c r="J39" i="17"/>
  <c r="J33" i="17"/>
  <c r="J27" i="17"/>
  <c r="J21" i="17"/>
  <c r="J15" i="17"/>
  <c r="J9" i="17"/>
  <c r="J164" i="17"/>
  <c r="J134" i="17"/>
  <c r="J104" i="17"/>
  <c r="J80" i="17"/>
  <c r="J62" i="17"/>
  <c r="J56" i="17"/>
  <c r="J44" i="17"/>
  <c r="J20" i="17"/>
  <c r="J14" i="17"/>
  <c r="J8" i="17"/>
  <c r="J176" i="17"/>
  <c r="J152" i="17"/>
  <c r="J122" i="17"/>
  <c r="J86" i="17"/>
  <c r="J32" i="17"/>
  <c r="J163" i="17"/>
  <c r="J182" i="17"/>
  <c r="J146" i="17"/>
  <c r="J116" i="17"/>
  <c r="J92" i="17"/>
  <c r="J50" i="17"/>
  <c r="J175" i="17"/>
  <c r="J151" i="17"/>
  <c r="J133" i="17"/>
  <c r="J115" i="17"/>
  <c r="J91" i="17"/>
  <c r="J73" i="17"/>
  <c r="J55" i="17"/>
  <c r="J37" i="17"/>
  <c r="J19" i="17"/>
  <c r="J186" i="17"/>
  <c r="J174" i="17"/>
  <c r="J162" i="17"/>
  <c r="J144" i="17"/>
  <c r="J126" i="17"/>
  <c r="J114" i="17"/>
  <c r="J102" i="17"/>
  <c r="J96" i="17"/>
  <c r="J90" i="17"/>
  <c r="J84" i="17"/>
  <c r="J72" i="17"/>
  <c r="J66" i="17"/>
  <c r="J60" i="17"/>
  <c r="J54" i="17"/>
  <c r="J48" i="17"/>
  <c r="J42" i="17"/>
  <c r="J36" i="17"/>
  <c r="J30" i="17"/>
  <c r="J24" i="17"/>
  <c r="J18" i="17"/>
  <c r="J12" i="17"/>
  <c r="J6" i="17"/>
  <c r="J158" i="17"/>
  <c r="J128" i="17"/>
  <c r="J98" i="17"/>
  <c r="J74" i="17"/>
  <c r="J38" i="17"/>
  <c r="J187" i="17"/>
  <c r="J157" i="17"/>
  <c r="J139" i="17"/>
  <c r="J121" i="17"/>
  <c r="J109" i="17"/>
  <c r="J97" i="17"/>
  <c r="J79" i="17"/>
  <c r="J61" i="17"/>
  <c r="J43" i="17"/>
  <c r="J25" i="17"/>
  <c r="J13" i="17"/>
  <c r="J192" i="17"/>
  <c r="J180" i="17"/>
  <c r="J168" i="17"/>
  <c r="J156" i="17"/>
  <c r="J150" i="17"/>
  <c r="J138" i="17"/>
  <c r="J132" i="17"/>
  <c r="J120" i="17"/>
  <c r="J108" i="17"/>
  <c r="J78" i="17"/>
  <c r="J188" i="17"/>
  <c r="J170" i="17"/>
  <c r="J140" i="17"/>
  <c r="J110" i="17"/>
  <c r="J68" i="17"/>
  <c r="J26" i="17"/>
  <c r="J193" i="17"/>
  <c r="J181" i="17"/>
  <c r="J169" i="17"/>
  <c r="J145" i="17"/>
  <c r="J127" i="17"/>
  <c r="J103" i="17"/>
  <c r="J85" i="17"/>
  <c r="J67" i="17"/>
  <c r="J49" i="17"/>
  <c r="J31" i="17"/>
  <c r="J7" i="17"/>
  <c r="J191" i="17"/>
  <c r="J185" i="17"/>
  <c r="J179" i="17"/>
  <c r="J173" i="17"/>
  <c r="J167" i="17"/>
  <c r="J161" i="17"/>
  <c r="J155" i="17"/>
  <c r="J149" i="17"/>
  <c r="J143" i="17"/>
  <c r="J137" i="17"/>
  <c r="J131" i="17"/>
  <c r="J125" i="17"/>
  <c r="J119" i="17"/>
  <c r="J113" i="17"/>
  <c r="J107" i="17"/>
  <c r="J101" i="17"/>
  <c r="J95" i="17"/>
  <c r="J89" i="17"/>
  <c r="J83" i="17"/>
  <c r="J77" i="17"/>
  <c r="J71" i="17"/>
  <c r="J65" i="17"/>
  <c r="J59" i="17"/>
  <c r="J53" i="17"/>
  <c r="J47" i="17"/>
  <c r="J41" i="17"/>
  <c r="J35" i="17"/>
  <c r="J29" i="17"/>
  <c r="J23" i="17"/>
  <c r="J17" i="17"/>
  <c r="J11" i="17"/>
  <c r="J5" i="17"/>
  <c r="J190" i="17"/>
  <c r="J178" i="17"/>
  <c r="J166" i="17"/>
  <c r="J154" i="17"/>
  <c r="J142" i="17"/>
  <c r="J130" i="17"/>
  <c r="J118" i="17"/>
  <c r="J106" i="17"/>
  <c r="J88" i="17"/>
  <c r="J76" i="17"/>
  <c r="J64" i="17"/>
  <c r="J52" i="17"/>
  <c r="J40" i="17"/>
  <c r="J28" i="17"/>
  <c r="J16" i="17"/>
  <c r="J4" i="17"/>
  <c r="J3" i="17"/>
  <c r="I153" i="17"/>
  <c r="I99" i="17"/>
  <c r="I21" i="17"/>
  <c r="I182" i="17"/>
  <c r="I140" i="17"/>
  <c r="I104" i="17"/>
  <c r="I74" i="17"/>
  <c r="I68" i="17"/>
  <c r="I62" i="17"/>
  <c r="I56" i="17"/>
  <c r="I50" i="17"/>
  <c r="I44" i="17"/>
  <c r="I32" i="17"/>
  <c r="I26" i="17"/>
  <c r="I20" i="17"/>
  <c r="I14" i="17"/>
  <c r="I8" i="17"/>
  <c r="I147" i="17"/>
  <c r="I111" i="17"/>
  <c r="I81" i="17"/>
  <c r="I63" i="17"/>
  <c r="I39" i="17"/>
  <c r="I176" i="17"/>
  <c r="I134" i="17"/>
  <c r="I80" i="17"/>
  <c r="I38" i="17"/>
  <c r="I183" i="17"/>
  <c r="I159" i="17"/>
  <c r="I129" i="17"/>
  <c r="I87" i="17"/>
  <c r="I51" i="17"/>
  <c r="I152" i="17"/>
  <c r="I122" i="17"/>
  <c r="I175" i="17"/>
  <c r="I163" i="17"/>
  <c r="I151" i="17"/>
  <c r="I139" i="17"/>
  <c r="I127" i="17"/>
  <c r="I121" i="17"/>
  <c r="I109" i="17"/>
  <c r="I103" i="17"/>
  <c r="I97" i="17"/>
  <c r="I91" i="17"/>
  <c r="I85" i="17"/>
  <c r="I73" i="17"/>
  <c r="I67" i="17"/>
  <c r="I61" i="17"/>
  <c r="I55" i="17"/>
  <c r="I49" i="17"/>
  <c r="I43" i="17"/>
  <c r="I37" i="17"/>
  <c r="I31" i="17"/>
  <c r="I25" i="17"/>
  <c r="I19" i="17"/>
  <c r="I13" i="17"/>
  <c r="I7" i="17"/>
  <c r="I177" i="17"/>
  <c r="I123" i="17"/>
  <c r="I69" i="17"/>
  <c r="I9" i="17"/>
  <c r="I146" i="17"/>
  <c r="I98" i="17"/>
  <c r="I181" i="17"/>
  <c r="I169" i="17"/>
  <c r="I157" i="17"/>
  <c r="I145" i="17"/>
  <c r="I133" i="17"/>
  <c r="I115" i="17"/>
  <c r="I79" i="17"/>
  <c r="I171" i="17"/>
  <c r="I105" i="17"/>
  <c r="I33" i="17"/>
  <c r="I164" i="17"/>
  <c r="I86" i="17"/>
  <c r="I192" i="17"/>
  <c r="I180" i="17"/>
  <c r="I168" i="17"/>
  <c r="I156" i="17"/>
  <c r="I144" i="17"/>
  <c r="I132" i="17"/>
  <c r="I126" i="17"/>
  <c r="I120" i="17"/>
  <c r="I114" i="17"/>
  <c r="I102" i="17"/>
  <c r="I96" i="17"/>
  <c r="I90" i="17"/>
  <c r="I84" i="17"/>
  <c r="I78" i="17"/>
  <c r="I72" i="17"/>
  <c r="I66" i="17"/>
  <c r="I60" i="17"/>
  <c r="I54" i="17"/>
  <c r="I48" i="17"/>
  <c r="I42" i="17"/>
  <c r="I36" i="17"/>
  <c r="I30" i="17"/>
  <c r="I24" i="17"/>
  <c r="I18" i="17"/>
  <c r="I12" i="17"/>
  <c r="I6" i="17"/>
  <c r="I165" i="17"/>
  <c r="I93" i="17"/>
  <c r="I27" i="17"/>
  <c r="I158" i="17"/>
  <c r="I116" i="17"/>
  <c r="I187" i="17"/>
  <c r="I186" i="17"/>
  <c r="I174" i="17"/>
  <c r="I162" i="17"/>
  <c r="I150" i="17"/>
  <c r="I138" i="17"/>
  <c r="I108" i="17"/>
  <c r="I117" i="17"/>
  <c r="I45" i="17"/>
  <c r="I110" i="17"/>
  <c r="I193" i="17"/>
  <c r="I185" i="17"/>
  <c r="I173" i="17"/>
  <c r="I161" i="17"/>
  <c r="I155" i="17"/>
  <c r="I143" i="17"/>
  <c r="I137" i="17"/>
  <c r="I131" i="17"/>
  <c r="I125" i="17"/>
  <c r="I113" i="17"/>
  <c r="I107" i="17"/>
  <c r="I101" i="17"/>
  <c r="I95" i="17"/>
  <c r="I89" i="17"/>
  <c r="I83" i="17"/>
  <c r="I77" i="17"/>
  <c r="I71" i="17"/>
  <c r="I65" i="17"/>
  <c r="I59" i="17"/>
  <c r="I53" i="17"/>
  <c r="I47" i="17"/>
  <c r="I41" i="17"/>
  <c r="I35" i="17"/>
  <c r="I29" i="17"/>
  <c r="I23" i="17"/>
  <c r="I17" i="17"/>
  <c r="I11" i="17"/>
  <c r="I5" i="17"/>
  <c r="I189" i="17"/>
  <c r="I135" i="17"/>
  <c r="I75" i="17"/>
  <c r="I15" i="17"/>
  <c r="I188" i="17"/>
  <c r="I92" i="17"/>
  <c r="I191" i="17"/>
  <c r="I179" i="17"/>
  <c r="I167" i="17"/>
  <c r="I149" i="17"/>
  <c r="I119" i="17"/>
  <c r="I141" i="17"/>
  <c r="I57" i="17"/>
  <c r="I170" i="17"/>
  <c r="I128" i="17"/>
  <c r="I190" i="17"/>
  <c r="I184" i="17"/>
  <c r="I178" i="17"/>
  <c r="I172" i="17"/>
  <c r="I166" i="17"/>
  <c r="I160" i="17"/>
  <c r="I154" i="17"/>
  <c r="I148" i="17"/>
  <c r="I142" i="17"/>
  <c r="I136" i="17"/>
  <c r="I130" i="17"/>
  <c r="I124" i="17"/>
  <c r="I118" i="17"/>
  <c r="I112" i="17"/>
  <c r="I106" i="17"/>
  <c r="I100" i="17"/>
  <c r="I94" i="17"/>
  <c r="I88" i="17"/>
  <c r="I82" i="17"/>
  <c r="I76" i="17"/>
  <c r="I70" i="17"/>
  <c r="I64" i="17"/>
  <c r="I58" i="17"/>
  <c r="I52" i="17"/>
  <c r="I46" i="17"/>
  <c r="I40" i="17"/>
  <c r="I34" i="17"/>
  <c r="I28" i="17"/>
  <c r="I22" i="17"/>
  <c r="I16" i="17"/>
  <c r="I10" i="17"/>
  <c r="I4" i="17"/>
  <c r="I3" i="17"/>
  <c r="H10" i="17"/>
  <c r="H190" i="17"/>
  <c r="H148" i="17"/>
  <c r="H100" i="17"/>
  <c r="H58" i="17"/>
  <c r="H4" i="17"/>
  <c r="H189" i="17"/>
  <c r="H183" i="17"/>
  <c r="H177" i="17"/>
  <c r="H171" i="17"/>
  <c r="H165" i="17"/>
  <c r="H159" i="17"/>
  <c r="H153" i="17"/>
  <c r="H147" i="17"/>
  <c r="H141" i="17"/>
  <c r="H135" i="17"/>
  <c r="H129" i="17"/>
  <c r="H123" i="17"/>
  <c r="H117" i="17"/>
  <c r="H111" i="17"/>
  <c r="H105" i="17"/>
  <c r="H99" i="17"/>
  <c r="H93" i="17"/>
  <c r="H87" i="17"/>
  <c r="H81" i="17"/>
  <c r="H75" i="17"/>
  <c r="H69" i="17"/>
  <c r="H63" i="17"/>
  <c r="H57" i="17"/>
  <c r="H51" i="17"/>
  <c r="H45" i="17"/>
  <c r="H39" i="17"/>
  <c r="H33" i="17"/>
  <c r="H27" i="17"/>
  <c r="H21" i="17"/>
  <c r="H15" i="17"/>
  <c r="H9" i="17"/>
  <c r="H160" i="17"/>
  <c r="H112" i="17"/>
  <c r="H70" i="17"/>
  <c r="H22" i="17"/>
  <c r="H170" i="17"/>
  <c r="H134" i="17"/>
  <c r="H122" i="17"/>
  <c r="H110" i="17"/>
  <c r="H98" i="17"/>
  <c r="H86" i="17"/>
  <c r="H80" i="17"/>
  <c r="H74" i="17"/>
  <c r="H62" i="17"/>
  <c r="H56" i="17"/>
  <c r="H50" i="17"/>
  <c r="H44" i="17"/>
  <c r="H38" i="17"/>
  <c r="H32" i="17"/>
  <c r="H26" i="17"/>
  <c r="H20" i="17"/>
  <c r="H8" i="17"/>
  <c r="H178" i="17"/>
  <c r="H142" i="17"/>
  <c r="H94" i="17"/>
  <c r="H46" i="17"/>
  <c r="H176" i="17"/>
  <c r="H146" i="17"/>
  <c r="H128" i="17"/>
  <c r="H116" i="17"/>
  <c r="H104" i="17"/>
  <c r="H92" i="17"/>
  <c r="H68" i="17"/>
  <c r="H14" i="17"/>
  <c r="H172" i="17"/>
  <c r="H136" i="17"/>
  <c r="H88" i="17"/>
  <c r="H52" i="17"/>
  <c r="H164" i="17"/>
  <c r="H193" i="17"/>
  <c r="H175" i="17"/>
  <c r="H151" i="17"/>
  <c r="H139" i="17"/>
  <c r="H133" i="17"/>
  <c r="H121" i="17"/>
  <c r="H109" i="17"/>
  <c r="H103" i="17"/>
  <c r="H91" i="17"/>
  <c r="H85" i="17"/>
  <c r="H79" i="17"/>
  <c r="H73" i="17"/>
  <c r="H67" i="17"/>
  <c r="H61" i="17"/>
  <c r="H49" i="17"/>
  <c r="H43" i="17"/>
  <c r="H37" i="17"/>
  <c r="H31" i="17"/>
  <c r="H25" i="17"/>
  <c r="H19" i="17"/>
  <c r="H13" i="17"/>
  <c r="H7" i="17"/>
  <c r="H130" i="17"/>
  <c r="H82" i="17"/>
  <c r="H34" i="17"/>
  <c r="H182" i="17"/>
  <c r="H152" i="17"/>
  <c r="H169" i="17"/>
  <c r="H145" i="17"/>
  <c r="H127" i="17"/>
  <c r="H115" i="17"/>
  <c r="H97" i="17"/>
  <c r="H55" i="17"/>
  <c r="H166" i="17"/>
  <c r="H118" i="17"/>
  <c r="H76" i="17"/>
  <c r="H40" i="17"/>
  <c r="H188" i="17"/>
  <c r="H158" i="17"/>
  <c r="H181" i="17"/>
  <c r="H157" i="17"/>
  <c r="H186" i="17"/>
  <c r="H168" i="17"/>
  <c r="H156" i="17"/>
  <c r="H144" i="17"/>
  <c r="H132" i="17"/>
  <c r="H120" i="17"/>
  <c r="H108" i="17"/>
  <c r="H102" i="17"/>
  <c r="H96" i="17"/>
  <c r="H90" i="17"/>
  <c r="H78" i="17"/>
  <c r="H72" i="17"/>
  <c r="H66" i="17"/>
  <c r="H60" i="17"/>
  <c r="H54" i="17"/>
  <c r="H48" i="17"/>
  <c r="H42" i="17"/>
  <c r="H36" i="17"/>
  <c r="H30" i="17"/>
  <c r="H24" i="17"/>
  <c r="H18" i="17"/>
  <c r="H12" i="17"/>
  <c r="H6" i="17"/>
  <c r="H154" i="17"/>
  <c r="H106" i="17"/>
  <c r="H64" i="17"/>
  <c r="H28" i="17"/>
  <c r="H140" i="17"/>
  <c r="H187" i="17"/>
  <c r="H163" i="17"/>
  <c r="H192" i="17"/>
  <c r="H180" i="17"/>
  <c r="H174" i="17"/>
  <c r="H162" i="17"/>
  <c r="H150" i="17"/>
  <c r="H138" i="17"/>
  <c r="H126" i="17"/>
  <c r="H114" i="17"/>
  <c r="H84" i="17"/>
  <c r="H124" i="17"/>
  <c r="H16" i="17"/>
  <c r="H191" i="17"/>
  <c r="H185" i="17"/>
  <c r="H179" i="17"/>
  <c r="H173" i="17"/>
  <c r="H167" i="17"/>
  <c r="H161" i="17"/>
  <c r="H155" i="17"/>
  <c r="H149" i="17"/>
  <c r="H143" i="17"/>
  <c r="H137" i="17"/>
  <c r="H131" i="17"/>
  <c r="H125" i="17"/>
  <c r="H119" i="17"/>
  <c r="H113" i="17"/>
  <c r="H107" i="17"/>
  <c r="H101" i="17"/>
  <c r="H95" i="17"/>
  <c r="H89" i="17"/>
  <c r="H83" i="17"/>
  <c r="H77" i="17"/>
  <c r="H71" i="17"/>
  <c r="H65" i="17"/>
  <c r="H59" i="17"/>
  <c r="H53" i="17"/>
  <c r="H47" i="17"/>
  <c r="H41" i="17"/>
  <c r="H35" i="17"/>
  <c r="H29" i="17"/>
  <c r="H23" i="17"/>
  <c r="H17" i="17"/>
  <c r="H11" i="17"/>
  <c r="H5" i="17"/>
  <c r="H184" i="17"/>
  <c r="H3" i="17"/>
  <c r="G159" i="17"/>
  <c r="G117" i="17"/>
  <c r="G69" i="17"/>
  <c r="G33" i="17"/>
  <c r="G98" i="17"/>
  <c r="G171" i="17"/>
  <c r="G135" i="17"/>
  <c r="G105" i="17"/>
  <c r="G75" i="17"/>
  <c r="G57" i="17"/>
  <c r="G45" i="17"/>
  <c r="G164" i="17"/>
  <c r="G146" i="17"/>
  <c r="G122" i="17"/>
  <c r="G116" i="17"/>
  <c r="G110" i="17"/>
  <c r="G104" i="17"/>
  <c r="G92" i="17"/>
  <c r="G86" i="17"/>
  <c r="G80" i="17"/>
  <c r="G74" i="17"/>
  <c r="G68" i="17"/>
  <c r="G62" i="17"/>
  <c r="G56" i="17"/>
  <c r="G50" i="17"/>
  <c r="G44" i="17"/>
  <c r="G38" i="17"/>
  <c r="G32" i="17"/>
  <c r="G26" i="17"/>
  <c r="G20" i="17"/>
  <c r="G193" i="17"/>
  <c r="G187" i="17"/>
  <c r="G181" i="17"/>
  <c r="G175" i="17"/>
  <c r="G169" i="17"/>
  <c r="G163" i="17"/>
  <c r="G157" i="17"/>
  <c r="G151" i="17"/>
  <c r="G145" i="17"/>
  <c r="G139" i="17"/>
  <c r="G133" i="17"/>
  <c r="G127" i="17"/>
  <c r="G121" i="17"/>
  <c r="G115" i="17"/>
  <c r="G109" i="17"/>
  <c r="G103" i="17"/>
  <c r="G97" i="17"/>
  <c r="G91" i="17"/>
  <c r="G85" i="17"/>
  <c r="G79" i="17"/>
  <c r="G73" i="17"/>
  <c r="G67" i="17"/>
  <c r="G61" i="17"/>
  <c r="G55" i="17"/>
  <c r="G49" i="17"/>
  <c r="G43" i="17"/>
  <c r="G37" i="17"/>
  <c r="G31" i="17"/>
  <c r="G25" i="17"/>
  <c r="G19" i="17"/>
  <c r="G177" i="17"/>
  <c r="G123" i="17"/>
  <c r="G81" i="17"/>
  <c r="G27" i="17"/>
  <c r="G182" i="17"/>
  <c r="G140" i="17"/>
  <c r="G150" i="17"/>
  <c r="G147" i="17"/>
  <c r="G99" i="17"/>
  <c r="G51" i="17"/>
  <c r="G176" i="17"/>
  <c r="G158" i="17"/>
  <c r="G192" i="17"/>
  <c r="G180" i="17"/>
  <c r="G162" i="17"/>
  <c r="G132" i="17"/>
  <c r="G114" i="17"/>
  <c r="G84" i="17"/>
  <c r="G36" i="17"/>
  <c r="G89" i="17"/>
  <c r="G189" i="17"/>
  <c r="G153" i="17"/>
  <c r="G111" i="17"/>
  <c r="G63" i="17"/>
  <c r="G15" i="17"/>
  <c r="G170" i="17"/>
  <c r="G152" i="17"/>
  <c r="G186" i="17"/>
  <c r="G168" i="17"/>
  <c r="G156" i="17"/>
  <c r="G138" i="17"/>
  <c r="G120" i="17"/>
  <c r="G102" i="17"/>
  <c r="G90" i="17"/>
  <c r="G78" i="17"/>
  <c r="G66" i="17"/>
  <c r="G60" i="17"/>
  <c r="G48" i="17"/>
  <c r="G42" i="17"/>
  <c r="G30" i="17"/>
  <c r="G18" i="17"/>
  <c r="G185" i="17"/>
  <c r="G173" i="17"/>
  <c r="G155" i="17"/>
  <c r="G137" i="17"/>
  <c r="G125" i="17"/>
  <c r="G113" i="17"/>
  <c r="G101" i="17"/>
  <c r="G77" i="17"/>
  <c r="G65" i="17"/>
  <c r="G59" i="17"/>
  <c r="G47" i="17"/>
  <c r="G41" i="17"/>
  <c r="G35" i="17"/>
  <c r="G23" i="17"/>
  <c r="G17" i="17"/>
  <c r="G165" i="17"/>
  <c r="G129" i="17"/>
  <c r="G93" i="17"/>
  <c r="G21" i="17"/>
  <c r="G188" i="17"/>
  <c r="G128" i="17"/>
  <c r="G174" i="17"/>
  <c r="G144" i="17"/>
  <c r="G126" i="17"/>
  <c r="G108" i="17"/>
  <c r="G96" i="17"/>
  <c r="G72" i="17"/>
  <c r="G54" i="17"/>
  <c r="G24" i="17"/>
  <c r="G191" i="17"/>
  <c r="G179" i="17"/>
  <c r="G167" i="17"/>
  <c r="G161" i="17"/>
  <c r="G149" i="17"/>
  <c r="G143" i="17"/>
  <c r="G131" i="17"/>
  <c r="G119" i="17"/>
  <c r="G107" i="17"/>
  <c r="G95" i="17"/>
  <c r="G83" i="17"/>
  <c r="G71" i="17"/>
  <c r="G53" i="17"/>
  <c r="G29" i="17"/>
  <c r="G190" i="17"/>
  <c r="G184" i="17"/>
  <c r="G178" i="17"/>
  <c r="G172" i="17"/>
  <c r="G166" i="17"/>
  <c r="G160" i="17"/>
  <c r="G154" i="17"/>
  <c r="G148" i="17"/>
  <c r="G142" i="17"/>
  <c r="G136" i="17"/>
  <c r="G130" i="17"/>
  <c r="G124" i="17"/>
  <c r="G118" i="17"/>
  <c r="G112" i="17"/>
  <c r="G106" i="17"/>
  <c r="G100" i="17"/>
  <c r="G94" i="17"/>
  <c r="G88" i="17"/>
  <c r="G82" i="17"/>
  <c r="G76" i="17"/>
  <c r="G70" i="17"/>
  <c r="G64" i="17"/>
  <c r="G58" i="17"/>
  <c r="G52" i="17"/>
  <c r="G46" i="17"/>
  <c r="G40" i="17"/>
  <c r="G34" i="17"/>
  <c r="G28" i="17"/>
  <c r="G22" i="17"/>
  <c r="G16" i="17"/>
  <c r="G141" i="17"/>
  <c r="G87" i="17"/>
  <c r="G39" i="17"/>
  <c r="G134" i="17"/>
  <c r="G183" i="17"/>
  <c r="G9" i="17"/>
  <c r="G7" i="17"/>
  <c r="G10" i="17"/>
  <c r="G14" i="17"/>
  <c r="G6" i="17"/>
  <c r="G4" i="17"/>
  <c r="G13" i="17"/>
  <c r="G12" i="17"/>
  <c r="G8" i="17"/>
  <c r="G11" i="17"/>
  <c r="G5" i="17"/>
  <c r="G3" i="17"/>
  <c r="F182" i="17"/>
  <c r="F173" i="17"/>
  <c r="F137" i="17"/>
  <c r="F101" i="17"/>
  <c r="F64" i="17"/>
  <c r="F40" i="17"/>
  <c r="F35" i="17"/>
  <c r="F190" i="17"/>
  <c r="F154" i="17"/>
  <c r="F118" i="17"/>
  <c r="F82" i="17"/>
  <c r="F5" i="17"/>
  <c r="F170" i="17"/>
  <c r="F134" i="17"/>
  <c r="F98" i="17"/>
  <c r="F58" i="17"/>
  <c r="F167" i="17"/>
  <c r="F131" i="17"/>
  <c r="F95" i="17"/>
  <c r="F77" i="17"/>
  <c r="F29" i="17"/>
  <c r="F191" i="17"/>
  <c r="F155" i="17"/>
  <c r="F119" i="17"/>
  <c r="F83" i="17"/>
  <c r="F11" i="17"/>
  <c r="F59" i="17"/>
  <c r="F172" i="17"/>
  <c r="F136" i="17"/>
  <c r="F100" i="17"/>
  <c r="F188" i="17"/>
  <c r="F152" i="17"/>
  <c r="F116" i="17"/>
  <c r="F80" i="17"/>
  <c r="F34" i="17"/>
  <c r="F185" i="17"/>
  <c r="F149" i="17"/>
  <c r="F113" i="17"/>
  <c r="F53" i="17"/>
  <c r="F184" i="17"/>
  <c r="F166" i="17"/>
  <c r="F148" i="17"/>
  <c r="F130" i="17"/>
  <c r="F112" i="17"/>
  <c r="F94" i="17"/>
  <c r="F76" i="17"/>
  <c r="F52" i="17"/>
  <c r="F28" i="17"/>
  <c r="F164" i="17"/>
  <c r="F146" i="17"/>
  <c r="F128" i="17"/>
  <c r="F110" i="17"/>
  <c r="F92" i="17"/>
  <c r="F71" i="17"/>
  <c r="F47" i="17"/>
  <c r="F23" i="17"/>
  <c r="F179" i="17"/>
  <c r="F161" i="17"/>
  <c r="F143" i="17"/>
  <c r="F125" i="17"/>
  <c r="F107" i="17"/>
  <c r="F89" i="17"/>
  <c r="F70" i="17"/>
  <c r="F46" i="17"/>
  <c r="F22" i="17"/>
  <c r="F178" i="17"/>
  <c r="F160" i="17"/>
  <c r="F142" i="17"/>
  <c r="F124" i="17"/>
  <c r="F106" i="17"/>
  <c r="F88" i="17"/>
  <c r="F65" i="17"/>
  <c r="F41" i="17"/>
  <c r="F17" i="17"/>
  <c r="F176" i="17"/>
  <c r="F158" i="17"/>
  <c r="F140" i="17"/>
  <c r="F122" i="17"/>
  <c r="F104" i="17"/>
  <c r="F86" i="17"/>
  <c r="F16" i="17"/>
  <c r="F10" i="17"/>
  <c r="F4" i="17"/>
  <c r="F189" i="17"/>
  <c r="F183" i="17"/>
  <c r="F177" i="17"/>
  <c r="F171" i="17"/>
  <c r="F165" i="17"/>
  <c r="F159" i="17"/>
  <c r="F153" i="17"/>
  <c r="F147" i="17"/>
  <c r="F141" i="17"/>
  <c r="F135" i="17"/>
  <c r="F129" i="17"/>
  <c r="F123" i="17"/>
  <c r="F117" i="17"/>
  <c r="F111" i="17"/>
  <c r="F105" i="17"/>
  <c r="F99" i="17"/>
  <c r="F93" i="17"/>
  <c r="F87" i="17"/>
  <c r="F81" i="17"/>
  <c r="F75" i="17"/>
  <c r="F69" i="17"/>
  <c r="F63" i="17"/>
  <c r="F57" i="17"/>
  <c r="F51" i="17"/>
  <c r="F45" i="17"/>
  <c r="F39" i="17"/>
  <c r="F33" i="17"/>
  <c r="F27" i="17"/>
  <c r="F21" i="17"/>
  <c r="F15" i="17"/>
  <c r="F9" i="17"/>
  <c r="F44" i="17"/>
  <c r="F8" i="17"/>
  <c r="F193" i="17"/>
  <c r="F187" i="17"/>
  <c r="F181" i="17"/>
  <c r="F175" i="17"/>
  <c r="F169" i="17"/>
  <c r="F163" i="17"/>
  <c r="F157" i="17"/>
  <c r="F151" i="17"/>
  <c r="F145" i="17"/>
  <c r="F139" i="17"/>
  <c r="F133" i="17"/>
  <c r="F127" i="17"/>
  <c r="F121" i="17"/>
  <c r="F115" i="17"/>
  <c r="F109" i="17"/>
  <c r="F103" i="17"/>
  <c r="F97" i="17"/>
  <c r="F91" i="17"/>
  <c r="F85" i="17"/>
  <c r="F79" i="17"/>
  <c r="F73" i="17"/>
  <c r="F67" i="17"/>
  <c r="F61" i="17"/>
  <c r="F55" i="17"/>
  <c r="F49" i="17"/>
  <c r="F43" i="17"/>
  <c r="F37" i="17"/>
  <c r="F31" i="17"/>
  <c r="F25" i="17"/>
  <c r="F19" i="17"/>
  <c r="F13" i="17"/>
  <c r="F7" i="17"/>
  <c r="F74" i="17"/>
  <c r="F56" i="17"/>
  <c r="F20" i="17"/>
  <c r="F186" i="17"/>
  <c r="F114" i="17"/>
  <c r="F68" i="17"/>
  <c r="F62" i="17"/>
  <c r="F50" i="17"/>
  <c r="F38" i="17"/>
  <c r="F32" i="17"/>
  <c r="F26" i="17"/>
  <c r="F14" i="17"/>
  <c r="F192" i="17"/>
  <c r="F180" i="17"/>
  <c r="F174" i="17"/>
  <c r="F168" i="17"/>
  <c r="F162" i="17"/>
  <c r="F156" i="17"/>
  <c r="F150" i="17"/>
  <c r="F144" i="17"/>
  <c r="F138" i="17"/>
  <c r="F132" i="17"/>
  <c r="F126" i="17"/>
  <c r="F120" i="17"/>
  <c r="F108" i="17"/>
  <c r="F102" i="17"/>
  <c r="F96" i="17"/>
  <c r="F90" i="17"/>
  <c r="F84" i="17"/>
  <c r="F78" i="17"/>
  <c r="F72" i="17"/>
  <c r="F66" i="17"/>
  <c r="F60" i="17"/>
  <c r="F54" i="17"/>
  <c r="F48" i="17"/>
  <c r="F42" i="17"/>
  <c r="F36" i="17"/>
  <c r="F30" i="17"/>
  <c r="F24" i="17"/>
  <c r="F18" i="17"/>
  <c r="F12" i="17"/>
  <c r="F6" i="17"/>
  <c r="F3" i="17"/>
  <c r="D189" i="17"/>
  <c r="D117" i="17"/>
  <c r="D39" i="17"/>
  <c r="D165" i="17"/>
  <c r="D111" i="17"/>
  <c r="D63" i="17"/>
  <c r="D9" i="17"/>
  <c r="D188" i="17"/>
  <c r="D146" i="17"/>
  <c r="D110" i="17"/>
  <c r="D104" i="17"/>
  <c r="D98" i="17"/>
  <c r="D92" i="17"/>
  <c r="D86" i="17"/>
  <c r="D80" i="17"/>
  <c r="D74" i="17"/>
  <c r="D68" i="17"/>
  <c r="D62" i="17"/>
  <c r="D56" i="17"/>
  <c r="D50" i="17"/>
  <c r="D44" i="17"/>
  <c r="D38" i="17"/>
  <c r="D32" i="17"/>
  <c r="D26" i="17"/>
  <c r="D20" i="17"/>
  <c r="D14" i="17"/>
  <c r="D8" i="17"/>
  <c r="D153" i="17"/>
  <c r="D87" i="17"/>
  <c r="D15" i="17"/>
  <c r="D164" i="17"/>
  <c r="D122" i="17"/>
  <c r="D181" i="17"/>
  <c r="D163" i="17"/>
  <c r="D151" i="17"/>
  <c r="D139" i="17"/>
  <c r="D127" i="17"/>
  <c r="D121" i="17"/>
  <c r="D115" i="17"/>
  <c r="D109" i="17"/>
  <c r="D97" i="17"/>
  <c r="D91" i="17"/>
  <c r="D85" i="17"/>
  <c r="D79" i="17"/>
  <c r="D73" i="17"/>
  <c r="D67" i="17"/>
  <c r="D61" i="17"/>
  <c r="D55" i="17"/>
  <c r="D49" i="17"/>
  <c r="D43" i="17"/>
  <c r="D37" i="17"/>
  <c r="D31" i="17"/>
  <c r="D25" i="17"/>
  <c r="D19" i="17"/>
  <c r="D13" i="17"/>
  <c r="D7" i="17"/>
  <c r="D177" i="17"/>
  <c r="D135" i="17"/>
  <c r="D105" i="17"/>
  <c r="D75" i="17"/>
  <c r="D33" i="17"/>
  <c r="D176" i="17"/>
  <c r="D140" i="17"/>
  <c r="D187" i="17"/>
  <c r="D169" i="17"/>
  <c r="D157" i="17"/>
  <c r="D145" i="17"/>
  <c r="D133" i="17"/>
  <c r="D103" i="17"/>
  <c r="D171" i="17"/>
  <c r="D129" i="17"/>
  <c r="D99" i="17"/>
  <c r="D69" i="17"/>
  <c r="D45" i="17"/>
  <c r="D182" i="17"/>
  <c r="D134" i="17"/>
  <c r="D175" i="17"/>
  <c r="D192" i="17"/>
  <c r="D186" i="17"/>
  <c r="D174" i="17"/>
  <c r="D168" i="17"/>
  <c r="D162" i="17"/>
  <c r="D156" i="17"/>
  <c r="D150" i="17"/>
  <c r="D144" i="17"/>
  <c r="D132" i="17"/>
  <c r="D126" i="17"/>
  <c r="D120" i="17"/>
  <c r="D114" i="17"/>
  <c r="D108" i="17"/>
  <c r="D102" i="17"/>
  <c r="D96" i="17"/>
  <c r="D90" i="17"/>
  <c r="D84" i="17"/>
  <c r="D78" i="17"/>
  <c r="D72" i="17"/>
  <c r="D66" i="17"/>
  <c r="D60" i="17"/>
  <c r="D54" i="17"/>
  <c r="D48" i="17"/>
  <c r="D42" i="17"/>
  <c r="D36" i="17"/>
  <c r="D30" i="17"/>
  <c r="D24" i="17"/>
  <c r="D18" i="17"/>
  <c r="D12" i="17"/>
  <c r="D6" i="17"/>
  <c r="D147" i="17"/>
  <c r="D21" i="17"/>
  <c r="D152" i="17"/>
  <c r="D193" i="17"/>
  <c r="D180" i="17"/>
  <c r="D138" i="17"/>
  <c r="D141" i="17"/>
  <c r="D93" i="17"/>
  <c r="D51" i="17"/>
  <c r="D170" i="17"/>
  <c r="D191" i="17"/>
  <c r="D185" i="17"/>
  <c r="D179" i="17"/>
  <c r="D173" i="17"/>
  <c r="D167" i="17"/>
  <c r="D161" i="17"/>
  <c r="D155" i="17"/>
  <c r="D149" i="17"/>
  <c r="D143" i="17"/>
  <c r="D137" i="17"/>
  <c r="D131" i="17"/>
  <c r="D125" i="17"/>
  <c r="D119" i="17"/>
  <c r="D113" i="17"/>
  <c r="D107" i="17"/>
  <c r="D101" i="17"/>
  <c r="D95" i="17"/>
  <c r="D89" i="17"/>
  <c r="D83" i="17"/>
  <c r="D77" i="17"/>
  <c r="D71" i="17"/>
  <c r="D65" i="17"/>
  <c r="D59" i="17"/>
  <c r="D53" i="17"/>
  <c r="D47" i="17"/>
  <c r="D41" i="17"/>
  <c r="D35" i="17"/>
  <c r="D29" i="17"/>
  <c r="D23" i="17"/>
  <c r="D17" i="17"/>
  <c r="D11" i="17"/>
  <c r="D5" i="17"/>
  <c r="D159" i="17"/>
  <c r="D57" i="17"/>
  <c r="D116" i="17"/>
  <c r="D183" i="17"/>
  <c r="D123" i="17"/>
  <c r="D81" i="17"/>
  <c r="D27" i="17"/>
  <c r="D158" i="17"/>
  <c r="D128" i="17"/>
  <c r="D190" i="17"/>
  <c r="D184" i="17"/>
  <c r="D178" i="17"/>
  <c r="D172" i="17"/>
  <c r="D166" i="17"/>
  <c r="D160" i="17"/>
  <c r="D154" i="17"/>
  <c r="D148" i="17"/>
  <c r="D142" i="17"/>
  <c r="D136" i="17"/>
  <c r="D130" i="17"/>
  <c r="D124" i="17"/>
  <c r="D118" i="17"/>
  <c r="D112" i="17"/>
  <c r="D106" i="17"/>
  <c r="D100" i="17"/>
  <c r="D94" i="17"/>
  <c r="D88" i="17"/>
  <c r="D82" i="17"/>
  <c r="D76" i="17"/>
  <c r="D70" i="17"/>
  <c r="D64" i="17"/>
  <c r="D58" i="17"/>
  <c r="D52" i="17"/>
  <c r="D46" i="17"/>
  <c r="D40" i="17"/>
  <c r="D34" i="17"/>
  <c r="D28" i="17"/>
  <c r="D22" i="17"/>
  <c r="D16" i="17"/>
  <c r="D10" i="17"/>
  <c r="D4" i="17"/>
  <c r="D3" i="17"/>
  <c r="C130" i="17"/>
  <c r="C88" i="17"/>
  <c r="C34" i="17"/>
  <c r="C177" i="17"/>
  <c r="C9" i="17"/>
  <c r="C184" i="17"/>
  <c r="C40" i="17"/>
  <c r="C142" i="17"/>
  <c r="C112" i="17"/>
  <c r="C70" i="17"/>
  <c r="C10" i="17"/>
  <c r="C189" i="17"/>
  <c r="C159" i="17"/>
  <c r="C135" i="17"/>
  <c r="C111" i="17"/>
  <c r="C93" i="17"/>
  <c r="C63" i="17"/>
  <c r="C51" i="17"/>
  <c r="C15" i="17"/>
  <c r="C170" i="17"/>
  <c r="C146" i="17"/>
  <c r="C134" i="17"/>
  <c r="C110" i="17"/>
  <c r="C98" i="17"/>
  <c r="C92" i="17"/>
  <c r="C86" i="17"/>
  <c r="C80" i="17"/>
  <c r="C74" i="17"/>
  <c r="C68" i="17"/>
  <c r="C62" i="17"/>
  <c r="C56" i="17"/>
  <c r="C50" i="17"/>
  <c r="C44" i="17"/>
  <c r="C38" i="17"/>
  <c r="C32" i="17"/>
  <c r="C26" i="17"/>
  <c r="C20" i="17"/>
  <c r="C14" i="17"/>
  <c r="C8" i="17"/>
  <c r="C160" i="17"/>
  <c r="C58" i="17"/>
  <c r="C190" i="17"/>
  <c r="C148" i="17"/>
  <c r="C106" i="17"/>
  <c r="C64" i="17"/>
  <c r="C22" i="17"/>
  <c r="C171" i="17"/>
  <c r="C147" i="17"/>
  <c r="C117" i="17"/>
  <c r="C99" i="17"/>
  <c r="C75" i="17"/>
  <c r="C57" i="17"/>
  <c r="C45" i="17"/>
  <c r="C27" i="17"/>
  <c r="C188" i="17"/>
  <c r="C158" i="17"/>
  <c r="C116" i="17"/>
  <c r="C181" i="17"/>
  <c r="C163" i="17"/>
  <c r="C139" i="17"/>
  <c r="C115" i="17"/>
  <c r="C97" i="17"/>
  <c r="C73" i="17"/>
  <c r="C67" i="17"/>
  <c r="C55" i="17"/>
  <c r="C49" i="17"/>
  <c r="C37" i="17"/>
  <c r="C25" i="17"/>
  <c r="C19" i="17"/>
  <c r="C7" i="17"/>
  <c r="C136" i="17"/>
  <c r="C94" i="17"/>
  <c r="C16" i="17"/>
  <c r="C183" i="17"/>
  <c r="C141" i="17"/>
  <c r="C81" i="17"/>
  <c r="C21" i="17"/>
  <c r="C182" i="17"/>
  <c r="C152" i="17"/>
  <c r="C140" i="17"/>
  <c r="C104" i="17"/>
  <c r="C175" i="17"/>
  <c r="C151" i="17"/>
  <c r="C133" i="17"/>
  <c r="C109" i="17"/>
  <c r="C103" i="17"/>
  <c r="C79" i="17"/>
  <c r="C61" i="17"/>
  <c r="C13" i="17"/>
  <c r="C192" i="17"/>
  <c r="C186" i="17"/>
  <c r="C180" i="17"/>
  <c r="C168" i="17"/>
  <c r="C162" i="17"/>
  <c r="C156" i="17"/>
  <c r="C150" i="17"/>
  <c r="C144" i="17"/>
  <c r="C138" i="17"/>
  <c r="C132" i="17"/>
  <c r="C126" i="17"/>
  <c r="C120" i="17"/>
  <c r="C114" i="17"/>
  <c r="C108" i="17"/>
  <c r="C102" i="17"/>
  <c r="C96" i="17"/>
  <c r="C90" i="17"/>
  <c r="C84" i="17"/>
  <c r="C78" i="17"/>
  <c r="C72" i="17"/>
  <c r="C66" i="17"/>
  <c r="C60" i="17"/>
  <c r="C54" i="17"/>
  <c r="C48" i="17"/>
  <c r="C42" i="17"/>
  <c r="C36" i="17"/>
  <c r="C30" i="17"/>
  <c r="C24" i="17"/>
  <c r="C18" i="17"/>
  <c r="C12" i="17"/>
  <c r="C6" i="17"/>
  <c r="C154" i="17"/>
  <c r="C100" i="17"/>
  <c r="C52" i="17"/>
  <c r="C165" i="17"/>
  <c r="C129" i="17"/>
  <c r="C105" i="17"/>
  <c r="C69" i="17"/>
  <c r="C33" i="17"/>
  <c r="C164" i="17"/>
  <c r="C122" i="17"/>
  <c r="C193" i="17"/>
  <c r="C157" i="17"/>
  <c r="C127" i="17"/>
  <c r="C91" i="17"/>
  <c r="C31" i="17"/>
  <c r="C174" i="17"/>
  <c r="C172" i="17"/>
  <c r="C118" i="17"/>
  <c r="C28" i="17"/>
  <c r="C153" i="17"/>
  <c r="C123" i="17"/>
  <c r="C87" i="17"/>
  <c r="C39" i="17"/>
  <c r="C176" i="17"/>
  <c r="C128" i="17"/>
  <c r="C187" i="17"/>
  <c r="C169" i="17"/>
  <c r="C145" i="17"/>
  <c r="C121" i="17"/>
  <c r="C85" i="17"/>
  <c r="C43" i="17"/>
  <c r="C191" i="17"/>
  <c r="C185" i="17"/>
  <c r="C179" i="17"/>
  <c r="C173" i="17"/>
  <c r="C167" i="17"/>
  <c r="C161" i="17"/>
  <c r="C155" i="17"/>
  <c r="C149" i="17"/>
  <c r="C143" i="17"/>
  <c r="C137" i="17"/>
  <c r="C131" i="17"/>
  <c r="C125" i="17"/>
  <c r="C119" i="17"/>
  <c r="C113" i="17"/>
  <c r="C107" i="17"/>
  <c r="C101" i="17"/>
  <c r="C95" i="17"/>
  <c r="C89" i="17"/>
  <c r="C83" i="17"/>
  <c r="C77" i="17"/>
  <c r="C71" i="17"/>
  <c r="C65" i="17"/>
  <c r="C59" i="17"/>
  <c r="C53" i="17"/>
  <c r="C47" i="17"/>
  <c r="C41" i="17"/>
  <c r="C35" i="17"/>
  <c r="C29" i="17"/>
  <c r="C23" i="17"/>
  <c r="C17" i="17"/>
  <c r="C11" i="17"/>
  <c r="C5" i="17"/>
  <c r="C178" i="17"/>
  <c r="C76" i="17"/>
  <c r="C166" i="17"/>
  <c r="C124" i="17"/>
  <c r="C82" i="17"/>
  <c r="C46" i="17"/>
  <c r="C4" i="17"/>
  <c r="C3" i="17"/>
  <c r="L8" i="9"/>
  <c r="L9" i="9"/>
  <c r="L10" i="9"/>
  <c r="L11" i="9"/>
  <c r="L12" i="9"/>
  <c r="L13" i="9"/>
  <c r="L14" i="9"/>
  <c r="E33" i="16" l="1"/>
  <c r="E5" i="16" l="1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F19" i="16" s="1"/>
  <c r="E20" i="16"/>
  <c r="E21" i="16"/>
  <c r="E22" i="16"/>
  <c r="E23" i="16"/>
  <c r="E24" i="16"/>
  <c r="E25" i="16"/>
  <c r="E26" i="16"/>
  <c r="E27" i="16"/>
  <c r="E28" i="16"/>
  <c r="E29" i="16"/>
  <c r="E30" i="16"/>
  <c r="E31" i="16"/>
  <c r="F31" i="16" s="1"/>
  <c r="E4" i="16"/>
  <c r="F4" i="16" s="1"/>
  <c r="E34" i="16"/>
  <c r="C30" i="16"/>
  <c r="C29" i="16"/>
  <c r="C28" i="16"/>
  <c r="B27" i="16"/>
  <c r="C27" i="16" s="1"/>
  <c r="B26" i="16"/>
  <c r="C26" i="16" s="1"/>
  <c r="B25" i="16"/>
  <c r="C25" i="16" s="1"/>
  <c r="B24" i="16"/>
  <c r="C24" i="16" s="1"/>
  <c r="B23" i="16"/>
  <c r="C23" i="16" s="1"/>
  <c r="B22" i="16"/>
  <c r="C22" i="16" s="1"/>
  <c r="B21" i="16"/>
  <c r="C21" i="16" s="1"/>
  <c r="B20" i="16"/>
  <c r="C20" i="16" s="1"/>
  <c r="C19" i="16"/>
  <c r="B19" i="16"/>
  <c r="B18" i="16"/>
  <c r="C18" i="16" s="1"/>
  <c r="B17" i="16"/>
  <c r="C17" i="16" s="1"/>
  <c r="B16" i="16"/>
  <c r="C16" i="16" s="1"/>
  <c r="B15" i="16"/>
  <c r="C15" i="16" s="1"/>
  <c r="B14" i="16"/>
  <c r="C14" i="16" s="1"/>
  <c r="B13" i="16"/>
  <c r="C13" i="16" s="1"/>
  <c r="B12" i="16"/>
  <c r="C12" i="16" s="1"/>
  <c r="C11" i="16"/>
  <c r="B11" i="16"/>
  <c r="B10" i="16"/>
  <c r="C10" i="16" s="1"/>
  <c r="B9" i="16"/>
  <c r="C9" i="16" s="1"/>
  <c r="B8" i="16"/>
  <c r="C8" i="16" s="1"/>
  <c r="B7" i="16"/>
  <c r="C7" i="16" s="1"/>
  <c r="B6" i="16"/>
  <c r="C6" i="16" s="1"/>
  <c r="B5" i="16"/>
  <c r="C5" i="16" s="1"/>
  <c r="B4" i="16"/>
  <c r="C4" i="16" s="1"/>
  <c r="F7" i="16" l="1"/>
  <c r="F30" i="16"/>
  <c r="F26" i="16"/>
  <c r="F23" i="16"/>
  <c r="F22" i="16"/>
  <c r="F18" i="16"/>
  <c r="F14" i="16"/>
  <c r="F16" i="16"/>
  <c r="F12" i="16"/>
  <c r="F20" i="16"/>
  <c r="F24" i="16"/>
  <c r="E32" i="16"/>
  <c r="F32" i="16" s="1"/>
  <c r="F28" i="16"/>
  <c r="F17" i="16"/>
  <c r="F11" i="16"/>
  <c r="F15" i="16"/>
  <c r="F29" i="16"/>
  <c r="F5" i="16"/>
  <c r="G4" i="16" s="1"/>
  <c r="F13" i="16"/>
  <c r="F27" i="16"/>
  <c r="F8" i="16"/>
  <c r="F21" i="16"/>
  <c r="F25" i="16"/>
  <c r="G25" i="16" s="1"/>
  <c r="F6" i="16"/>
  <c r="F10" i="16"/>
  <c r="F9" i="16"/>
  <c r="E34" i="12" l="1"/>
  <c r="E33" i="12" l="1"/>
  <c r="E5" i="12"/>
  <c r="E6" i="12"/>
  <c r="F6" i="12" s="1"/>
  <c r="E7" i="12"/>
  <c r="E8" i="12"/>
  <c r="F8" i="12" s="1"/>
  <c r="E9" i="12"/>
  <c r="F9" i="12" s="1"/>
  <c r="E10" i="12"/>
  <c r="F10" i="12" s="1"/>
  <c r="E11" i="12"/>
  <c r="E12" i="12"/>
  <c r="E13" i="12"/>
  <c r="E14" i="12"/>
  <c r="E15" i="12"/>
  <c r="E16" i="12"/>
  <c r="E17" i="12"/>
  <c r="F17" i="12" s="1"/>
  <c r="E18" i="12"/>
  <c r="F18" i="12" s="1"/>
  <c r="E19" i="12"/>
  <c r="E20" i="12"/>
  <c r="F20" i="12" s="1"/>
  <c r="E21" i="12"/>
  <c r="F21" i="12" s="1"/>
  <c r="E22" i="12"/>
  <c r="E23" i="12"/>
  <c r="E24" i="12"/>
  <c r="E25" i="12"/>
  <c r="E26" i="12"/>
  <c r="E27" i="12"/>
  <c r="F27" i="12" s="1"/>
  <c r="E28" i="12"/>
  <c r="F28" i="12" s="1"/>
  <c r="E29" i="12"/>
  <c r="F29" i="12" s="1"/>
  <c r="E30" i="12"/>
  <c r="E31" i="12"/>
  <c r="F31" i="12" s="1"/>
  <c r="E4" i="12"/>
  <c r="C30" i="12"/>
  <c r="C29" i="12"/>
  <c r="C28" i="12"/>
  <c r="B27" i="12"/>
  <c r="C27" i="12" s="1"/>
  <c r="B26" i="12"/>
  <c r="C26" i="12" s="1"/>
  <c r="F26" i="12" s="1"/>
  <c r="B25" i="12"/>
  <c r="C25" i="12" s="1"/>
  <c r="F25" i="12" s="1"/>
  <c r="B24" i="12"/>
  <c r="C24" i="12" s="1"/>
  <c r="B23" i="12"/>
  <c r="C23" i="12" s="1"/>
  <c r="B22" i="12"/>
  <c r="C22" i="12" s="1"/>
  <c r="C21" i="12"/>
  <c r="B21" i="12"/>
  <c r="B20" i="12"/>
  <c r="C20" i="12" s="1"/>
  <c r="B19" i="12"/>
  <c r="C19" i="12" s="1"/>
  <c r="B18" i="12"/>
  <c r="C18" i="12" s="1"/>
  <c r="B17" i="12"/>
  <c r="C17" i="12" s="1"/>
  <c r="B16" i="12"/>
  <c r="C16" i="12" s="1"/>
  <c r="B15" i="12"/>
  <c r="C15" i="12" s="1"/>
  <c r="B14" i="12"/>
  <c r="C14" i="12" s="1"/>
  <c r="B13" i="12"/>
  <c r="C13" i="12" s="1"/>
  <c r="B12" i="12"/>
  <c r="C12" i="12" s="1"/>
  <c r="B11" i="12"/>
  <c r="C11" i="12" s="1"/>
  <c r="B10" i="12"/>
  <c r="C10" i="12" s="1"/>
  <c r="B9" i="12"/>
  <c r="C9" i="12" s="1"/>
  <c r="B8" i="12"/>
  <c r="C8" i="12" s="1"/>
  <c r="B7" i="12"/>
  <c r="C7" i="12" s="1"/>
  <c r="B6" i="12"/>
  <c r="C6" i="12" s="1"/>
  <c r="B5" i="12"/>
  <c r="C5" i="12" s="1"/>
  <c r="B4" i="12"/>
  <c r="C4" i="12" s="1"/>
  <c r="F5" i="12" l="1"/>
  <c r="F30" i="12"/>
  <c r="F16" i="12"/>
  <c r="F4" i="12"/>
  <c r="E32" i="12"/>
  <c r="F32" i="12" s="1"/>
  <c r="F14" i="12"/>
  <c r="F13" i="12"/>
  <c r="F24" i="12"/>
  <c r="F12" i="12"/>
  <c r="F23" i="12"/>
  <c r="G4" i="12"/>
  <c r="G25" i="12" s="1"/>
  <c r="F11" i="12"/>
  <c r="F15" i="12"/>
  <c r="F22" i="12"/>
  <c r="F7" i="12"/>
  <c r="F19" i="12"/>
  <c r="E33" i="1"/>
  <c r="F33" i="1" s="1"/>
  <c r="G20" i="12" l="1"/>
  <c r="F31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4" i="7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F31" i="6" s="1"/>
  <c r="E4" i="6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F31" i="5" s="1"/>
  <c r="E4" i="5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F31" i="4" s="1"/>
  <c r="E4" i="4"/>
  <c r="F31" i="3"/>
  <c r="F31" i="1"/>
  <c r="U9" i="11"/>
  <c r="U8" i="11"/>
  <c r="U7" i="11"/>
  <c r="U6" i="11"/>
  <c r="U11" i="11" l="1"/>
  <c r="N17" i="9"/>
  <c r="N18" i="9"/>
  <c r="N19" i="9"/>
  <c r="N20" i="9"/>
  <c r="N21" i="9"/>
  <c r="N22" i="9"/>
  <c r="N23" i="9"/>
  <c r="N24" i="9"/>
  <c r="N25" i="9"/>
  <c r="N15" i="9"/>
  <c r="N16" i="9"/>
  <c r="K7" i="9" l="1"/>
  <c r="K9" i="9"/>
  <c r="K10" i="9"/>
  <c r="K11" i="9"/>
  <c r="K12" i="9"/>
  <c r="K13" i="9"/>
  <c r="K14" i="9"/>
  <c r="L15" i="9"/>
  <c r="K15" i="9" s="1"/>
  <c r="L16" i="9"/>
  <c r="K16" i="9" s="1"/>
  <c r="L17" i="9"/>
  <c r="K17" i="9" s="1"/>
  <c r="L18" i="9"/>
  <c r="K18" i="9" s="1"/>
  <c r="L19" i="9"/>
  <c r="K19" i="9" s="1"/>
  <c r="L20" i="9"/>
  <c r="K20" i="9" s="1"/>
  <c r="L21" i="9"/>
  <c r="K21" i="9" s="1"/>
  <c r="L22" i="9"/>
  <c r="K22" i="9" s="1"/>
  <c r="L23" i="9"/>
  <c r="K23" i="9" s="1"/>
  <c r="L24" i="9"/>
  <c r="K24" i="9" s="1"/>
  <c r="L25" i="9"/>
  <c r="K25" i="9" s="1"/>
  <c r="K8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5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4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3" i="9"/>
  <c r="B9" i="10"/>
  <c r="B10" i="10"/>
  <c r="B11" i="10"/>
  <c r="B12" i="10"/>
  <c r="B13" i="10"/>
  <c r="B14" i="10"/>
  <c r="B15" i="10"/>
  <c r="B8" i="10"/>
  <c r="C6" i="10"/>
  <c r="B7" i="10"/>
  <c r="B5" i="10"/>
  <c r="C5" i="10" s="1"/>
  <c r="B4" i="10"/>
  <c r="B2" i="10"/>
  <c r="C4" i="10"/>
  <c r="C7" i="10"/>
  <c r="C2" i="10"/>
  <c r="C3" i="10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4" i="1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4" i="3"/>
  <c r="C30" i="7"/>
  <c r="F30" i="7" s="1"/>
  <c r="C29" i="7"/>
  <c r="F29" i="7" s="1"/>
  <c r="C28" i="7"/>
  <c r="F28" i="7" s="1"/>
  <c r="B27" i="7"/>
  <c r="C27" i="7" s="1"/>
  <c r="F27" i="7" s="1"/>
  <c r="B26" i="7"/>
  <c r="C26" i="7" s="1"/>
  <c r="F26" i="7" s="1"/>
  <c r="B25" i="7"/>
  <c r="C25" i="7" s="1"/>
  <c r="F25" i="7" s="1"/>
  <c r="B24" i="7"/>
  <c r="C24" i="7" s="1"/>
  <c r="F24" i="7" s="1"/>
  <c r="B23" i="7"/>
  <c r="C23" i="7" s="1"/>
  <c r="F23" i="7" s="1"/>
  <c r="B22" i="7"/>
  <c r="C22" i="7" s="1"/>
  <c r="F22" i="7" s="1"/>
  <c r="B21" i="7"/>
  <c r="C21" i="7" s="1"/>
  <c r="F21" i="7" s="1"/>
  <c r="B20" i="7"/>
  <c r="C20" i="7" s="1"/>
  <c r="F20" i="7" s="1"/>
  <c r="G20" i="7" s="1"/>
  <c r="B19" i="7"/>
  <c r="C19" i="7" s="1"/>
  <c r="F19" i="7" s="1"/>
  <c r="B18" i="7"/>
  <c r="C18" i="7" s="1"/>
  <c r="F18" i="7" s="1"/>
  <c r="B17" i="7"/>
  <c r="C17" i="7" s="1"/>
  <c r="F17" i="7" s="1"/>
  <c r="B16" i="7"/>
  <c r="C16" i="7" s="1"/>
  <c r="F16" i="7" s="1"/>
  <c r="B15" i="7"/>
  <c r="C15" i="7" s="1"/>
  <c r="F15" i="7" s="1"/>
  <c r="B14" i="7"/>
  <c r="C14" i="7" s="1"/>
  <c r="F14" i="7" s="1"/>
  <c r="B13" i="7"/>
  <c r="C13" i="7" s="1"/>
  <c r="F13" i="7" s="1"/>
  <c r="B12" i="7"/>
  <c r="C12" i="7" s="1"/>
  <c r="F12" i="7" s="1"/>
  <c r="B11" i="7"/>
  <c r="C11" i="7" s="1"/>
  <c r="F11" i="7" s="1"/>
  <c r="B10" i="7"/>
  <c r="C10" i="7" s="1"/>
  <c r="F10" i="7" s="1"/>
  <c r="B9" i="7"/>
  <c r="C9" i="7" s="1"/>
  <c r="F9" i="7" s="1"/>
  <c r="B8" i="7"/>
  <c r="C8" i="7" s="1"/>
  <c r="F8" i="7" s="1"/>
  <c r="B7" i="7"/>
  <c r="C7" i="7" s="1"/>
  <c r="F7" i="7" s="1"/>
  <c r="B6" i="7"/>
  <c r="C6" i="7" s="1"/>
  <c r="F6" i="7" s="1"/>
  <c r="B5" i="7"/>
  <c r="C5" i="7" s="1"/>
  <c r="F5" i="7" s="1"/>
  <c r="B4" i="7"/>
  <c r="C4" i="7" s="1"/>
  <c r="F4" i="7" s="1"/>
  <c r="E32" i="3" l="1"/>
  <c r="G28" i="1"/>
  <c r="G32" i="1"/>
  <c r="E32" i="1"/>
  <c r="G4" i="7"/>
  <c r="G25" i="7" s="1"/>
  <c r="C30" i="6"/>
  <c r="F30" i="6" s="1"/>
  <c r="C29" i="6"/>
  <c r="F29" i="6" s="1"/>
  <c r="C28" i="6"/>
  <c r="F28" i="6" s="1"/>
  <c r="C27" i="6"/>
  <c r="F27" i="6" s="1"/>
  <c r="B27" i="6"/>
  <c r="B26" i="6"/>
  <c r="C26" i="6" s="1"/>
  <c r="F26" i="6" s="1"/>
  <c r="B25" i="6"/>
  <c r="C25" i="6" s="1"/>
  <c r="F25" i="6" s="1"/>
  <c r="B24" i="6"/>
  <c r="C24" i="6" s="1"/>
  <c r="F24" i="6" s="1"/>
  <c r="B23" i="6"/>
  <c r="C23" i="6" s="1"/>
  <c r="F23" i="6" s="1"/>
  <c r="B22" i="6"/>
  <c r="C22" i="6" s="1"/>
  <c r="F22" i="6" s="1"/>
  <c r="B21" i="6"/>
  <c r="C21" i="6" s="1"/>
  <c r="F21" i="6" s="1"/>
  <c r="B20" i="6"/>
  <c r="C20" i="6" s="1"/>
  <c r="F20" i="6" s="1"/>
  <c r="B19" i="6"/>
  <c r="C19" i="6" s="1"/>
  <c r="F19" i="6" s="1"/>
  <c r="B18" i="6"/>
  <c r="C18" i="6" s="1"/>
  <c r="F18" i="6" s="1"/>
  <c r="B17" i="6"/>
  <c r="C17" i="6" s="1"/>
  <c r="F17" i="6" s="1"/>
  <c r="B16" i="6"/>
  <c r="C16" i="6" s="1"/>
  <c r="F16" i="6" s="1"/>
  <c r="B15" i="6"/>
  <c r="C15" i="6" s="1"/>
  <c r="F15" i="6" s="1"/>
  <c r="B14" i="6"/>
  <c r="C14" i="6" s="1"/>
  <c r="F14" i="6" s="1"/>
  <c r="B13" i="6"/>
  <c r="C13" i="6" s="1"/>
  <c r="F13" i="6" s="1"/>
  <c r="B12" i="6"/>
  <c r="C12" i="6" s="1"/>
  <c r="F12" i="6" s="1"/>
  <c r="B11" i="6"/>
  <c r="C11" i="6" s="1"/>
  <c r="F11" i="6" s="1"/>
  <c r="B10" i="6"/>
  <c r="C10" i="6" s="1"/>
  <c r="F10" i="6" s="1"/>
  <c r="B9" i="6"/>
  <c r="C9" i="6" s="1"/>
  <c r="F9" i="6" s="1"/>
  <c r="B8" i="6"/>
  <c r="C8" i="6" s="1"/>
  <c r="F8" i="6" s="1"/>
  <c r="B7" i="6"/>
  <c r="C7" i="6" s="1"/>
  <c r="F7" i="6" s="1"/>
  <c r="B6" i="6"/>
  <c r="C6" i="6" s="1"/>
  <c r="F6" i="6" s="1"/>
  <c r="B5" i="6"/>
  <c r="C5" i="6" s="1"/>
  <c r="F5" i="6" s="1"/>
  <c r="B4" i="6"/>
  <c r="C4" i="6" s="1"/>
  <c r="F4" i="6" s="1"/>
  <c r="G4" i="6" s="1"/>
  <c r="G27" i="6" s="1"/>
  <c r="G24" i="6" l="1"/>
  <c r="C30" i="5"/>
  <c r="F30" i="5" s="1"/>
  <c r="C29" i="5"/>
  <c r="F29" i="5" s="1"/>
  <c r="C28" i="5"/>
  <c r="F28" i="5" s="1"/>
  <c r="B27" i="5"/>
  <c r="C27" i="5" s="1"/>
  <c r="F27" i="5" s="1"/>
  <c r="C26" i="5"/>
  <c r="F26" i="5" s="1"/>
  <c r="B26" i="5"/>
  <c r="C25" i="5"/>
  <c r="F25" i="5" s="1"/>
  <c r="B25" i="5"/>
  <c r="C24" i="5"/>
  <c r="F24" i="5" s="1"/>
  <c r="B24" i="5"/>
  <c r="B23" i="5"/>
  <c r="C23" i="5" s="1"/>
  <c r="F23" i="5" s="1"/>
  <c r="B22" i="5"/>
  <c r="C22" i="5" s="1"/>
  <c r="F22" i="5" s="1"/>
  <c r="B21" i="5"/>
  <c r="C21" i="5" s="1"/>
  <c r="F21" i="5" s="1"/>
  <c r="B20" i="5"/>
  <c r="C20" i="5" s="1"/>
  <c r="F20" i="5" s="1"/>
  <c r="B19" i="5"/>
  <c r="C19" i="5" s="1"/>
  <c r="F19" i="5" s="1"/>
  <c r="B18" i="5"/>
  <c r="C18" i="5" s="1"/>
  <c r="F18" i="5" s="1"/>
  <c r="B17" i="5"/>
  <c r="C17" i="5" s="1"/>
  <c r="F17" i="5" s="1"/>
  <c r="B16" i="5"/>
  <c r="C16" i="5" s="1"/>
  <c r="F16" i="5" s="1"/>
  <c r="C15" i="5"/>
  <c r="F15" i="5" s="1"/>
  <c r="B15" i="5"/>
  <c r="B14" i="5"/>
  <c r="C14" i="5" s="1"/>
  <c r="F14" i="5" s="1"/>
  <c r="B13" i="5"/>
  <c r="C13" i="5" s="1"/>
  <c r="F13" i="5" s="1"/>
  <c r="B12" i="5"/>
  <c r="C12" i="5" s="1"/>
  <c r="F12" i="5" s="1"/>
  <c r="B11" i="5"/>
  <c r="C11" i="5" s="1"/>
  <c r="F11" i="5" s="1"/>
  <c r="B10" i="5"/>
  <c r="C10" i="5" s="1"/>
  <c r="F10" i="5" s="1"/>
  <c r="B9" i="5"/>
  <c r="C9" i="5" s="1"/>
  <c r="F9" i="5" s="1"/>
  <c r="B8" i="5"/>
  <c r="C8" i="5" s="1"/>
  <c r="F8" i="5" s="1"/>
  <c r="C7" i="5"/>
  <c r="F7" i="5" s="1"/>
  <c r="B7" i="5"/>
  <c r="B6" i="5"/>
  <c r="C6" i="5" s="1"/>
  <c r="F6" i="5" s="1"/>
  <c r="B5" i="5"/>
  <c r="C5" i="5" s="1"/>
  <c r="F5" i="5" s="1"/>
  <c r="B4" i="5"/>
  <c r="C4" i="5" s="1"/>
  <c r="F4" i="5" s="1"/>
  <c r="C30" i="4"/>
  <c r="F30" i="4" s="1"/>
  <c r="C29" i="4"/>
  <c r="F29" i="4" s="1"/>
  <c r="C28" i="4"/>
  <c r="F28" i="4" s="1"/>
  <c r="C27" i="4"/>
  <c r="F27" i="4" s="1"/>
  <c r="B27" i="4"/>
  <c r="B26" i="4"/>
  <c r="C26" i="4" s="1"/>
  <c r="F26" i="4" s="1"/>
  <c r="G26" i="4" s="1"/>
  <c r="B25" i="4"/>
  <c r="C25" i="4" s="1"/>
  <c r="F25" i="4" s="1"/>
  <c r="B24" i="4"/>
  <c r="C24" i="4" s="1"/>
  <c r="F24" i="4" s="1"/>
  <c r="B23" i="4"/>
  <c r="C23" i="4" s="1"/>
  <c r="F23" i="4" s="1"/>
  <c r="B22" i="4"/>
  <c r="C22" i="4" s="1"/>
  <c r="F22" i="4" s="1"/>
  <c r="B21" i="4"/>
  <c r="C21" i="4" s="1"/>
  <c r="F21" i="4" s="1"/>
  <c r="B20" i="4"/>
  <c r="C20" i="4" s="1"/>
  <c r="F20" i="4" s="1"/>
  <c r="B19" i="4"/>
  <c r="C19" i="4" s="1"/>
  <c r="F19" i="4" s="1"/>
  <c r="B18" i="4"/>
  <c r="C18" i="4" s="1"/>
  <c r="F18" i="4" s="1"/>
  <c r="B17" i="4"/>
  <c r="C17" i="4" s="1"/>
  <c r="F17" i="4" s="1"/>
  <c r="B16" i="4"/>
  <c r="C16" i="4" s="1"/>
  <c r="F16" i="4" s="1"/>
  <c r="B15" i="4"/>
  <c r="C15" i="4" s="1"/>
  <c r="F15" i="4" s="1"/>
  <c r="B14" i="4"/>
  <c r="C14" i="4" s="1"/>
  <c r="F14" i="4" s="1"/>
  <c r="B13" i="4"/>
  <c r="C13" i="4" s="1"/>
  <c r="F13" i="4" s="1"/>
  <c r="B12" i="4"/>
  <c r="C12" i="4" s="1"/>
  <c r="F12" i="4" s="1"/>
  <c r="B11" i="4"/>
  <c r="C11" i="4" s="1"/>
  <c r="F11" i="4" s="1"/>
  <c r="B10" i="4"/>
  <c r="C10" i="4" s="1"/>
  <c r="F10" i="4" s="1"/>
  <c r="B9" i="4"/>
  <c r="C9" i="4" s="1"/>
  <c r="F9" i="4" s="1"/>
  <c r="B8" i="4"/>
  <c r="C8" i="4" s="1"/>
  <c r="F8" i="4" s="1"/>
  <c r="C7" i="4"/>
  <c r="F7" i="4" s="1"/>
  <c r="B7" i="4"/>
  <c r="B6" i="4"/>
  <c r="C6" i="4" s="1"/>
  <c r="F6" i="4" s="1"/>
  <c r="B5" i="4"/>
  <c r="C5" i="4" s="1"/>
  <c r="F5" i="4" s="1"/>
  <c r="B4" i="4"/>
  <c r="C4" i="4" s="1"/>
  <c r="F4" i="4" s="1"/>
  <c r="C30" i="3"/>
  <c r="F30" i="3" s="1"/>
  <c r="C29" i="3"/>
  <c r="F29" i="3" s="1"/>
  <c r="C28" i="3"/>
  <c r="F28" i="3" s="1"/>
  <c r="B27" i="3"/>
  <c r="C27" i="3" s="1"/>
  <c r="F27" i="3" s="1"/>
  <c r="G27" i="3" s="1"/>
  <c r="B26" i="3"/>
  <c r="C26" i="3" s="1"/>
  <c r="F26" i="3" s="1"/>
  <c r="B25" i="3"/>
  <c r="C25" i="3" s="1"/>
  <c r="F25" i="3" s="1"/>
  <c r="B24" i="3"/>
  <c r="C24" i="3" s="1"/>
  <c r="F24" i="3" s="1"/>
  <c r="B23" i="3"/>
  <c r="C23" i="3" s="1"/>
  <c r="F23" i="3" s="1"/>
  <c r="B22" i="3"/>
  <c r="C22" i="3" s="1"/>
  <c r="F22" i="3" s="1"/>
  <c r="B21" i="3"/>
  <c r="C21" i="3" s="1"/>
  <c r="F21" i="3" s="1"/>
  <c r="C20" i="3"/>
  <c r="F20" i="3" s="1"/>
  <c r="B20" i="3"/>
  <c r="B19" i="3"/>
  <c r="C19" i="3" s="1"/>
  <c r="F19" i="3" s="1"/>
  <c r="B18" i="3"/>
  <c r="C18" i="3" s="1"/>
  <c r="F18" i="3" s="1"/>
  <c r="C17" i="3"/>
  <c r="F17" i="3" s="1"/>
  <c r="B17" i="3"/>
  <c r="B16" i="3"/>
  <c r="C16" i="3" s="1"/>
  <c r="F16" i="3" s="1"/>
  <c r="B15" i="3"/>
  <c r="C15" i="3" s="1"/>
  <c r="F15" i="3" s="1"/>
  <c r="B14" i="3"/>
  <c r="C14" i="3" s="1"/>
  <c r="F14" i="3" s="1"/>
  <c r="C13" i="3"/>
  <c r="F13" i="3" s="1"/>
  <c r="B13" i="3"/>
  <c r="B12" i="3"/>
  <c r="C12" i="3" s="1"/>
  <c r="F12" i="3" s="1"/>
  <c r="B11" i="3"/>
  <c r="C11" i="3" s="1"/>
  <c r="F11" i="3" s="1"/>
  <c r="B10" i="3"/>
  <c r="C10" i="3" s="1"/>
  <c r="F10" i="3" s="1"/>
  <c r="B9" i="3"/>
  <c r="C9" i="3" s="1"/>
  <c r="F9" i="3" s="1"/>
  <c r="B8" i="3"/>
  <c r="C8" i="3" s="1"/>
  <c r="F8" i="3" s="1"/>
  <c r="B7" i="3"/>
  <c r="C7" i="3" s="1"/>
  <c r="F7" i="3" s="1"/>
  <c r="B6" i="3"/>
  <c r="C6" i="3" s="1"/>
  <c r="F6" i="3" s="1"/>
  <c r="B5" i="3"/>
  <c r="C5" i="3" s="1"/>
  <c r="F5" i="3" s="1"/>
  <c r="B4" i="3"/>
  <c r="C28" i="1"/>
  <c r="F28" i="1" s="1"/>
  <c r="H28" i="1" s="1"/>
  <c r="C29" i="1"/>
  <c r="F29" i="1" s="1"/>
  <c r="C30" i="1"/>
  <c r="F30" i="1" s="1"/>
  <c r="B5" i="1"/>
  <c r="C5" i="1" s="1"/>
  <c r="F5" i="1" s="1"/>
  <c r="B6" i="1"/>
  <c r="C6" i="1" s="1"/>
  <c r="F6" i="1" s="1"/>
  <c r="B7" i="1"/>
  <c r="C7" i="1" s="1"/>
  <c r="F7" i="1" s="1"/>
  <c r="B8" i="1"/>
  <c r="C8" i="1" s="1"/>
  <c r="F8" i="1" s="1"/>
  <c r="B9" i="1"/>
  <c r="C9" i="1" s="1"/>
  <c r="F9" i="1" s="1"/>
  <c r="B10" i="1"/>
  <c r="C10" i="1" s="1"/>
  <c r="F10" i="1" s="1"/>
  <c r="B11" i="1"/>
  <c r="C11" i="1" s="1"/>
  <c r="F11" i="1" s="1"/>
  <c r="B12" i="1"/>
  <c r="C12" i="1" s="1"/>
  <c r="F12" i="1" s="1"/>
  <c r="B13" i="1"/>
  <c r="C13" i="1" s="1"/>
  <c r="F13" i="1" s="1"/>
  <c r="B14" i="1"/>
  <c r="C14" i="1" s="1"/>
  <c r="F14" i="1" s="1"/>
  <c r="B15" i="1"/>
  <c r="C15" i="1" s="1"/>
  <c r="F15" i="1" s="1"/>
  <c r="B16" i="1"/>
  <c r="C16" i="1" s="1"/>
  <c r="F16" i="1" s="1"/>
  <c r="B17" i="1"/>
  <c r="C17" i="1" s="1"/>
  <c r="F17" i="1" s="1"/>
  <c r="B18" i="1"/>
  <c r="C18" i="1" s="1"/>
  <c r="F18" i="1" s="1"/>
  <c r="B19" i="1"/>
  <c r="C19" i="1" s="1"/>
  <c r="F19" i="1" s="1"/>
  <c r="B20" i="1"/>
  <c r="C20" i="1" s="1"/>
  <c r="F20" i="1" s="1"/>
  <c r="B21" i="1"/>
  <c r="C21" i="1" s="1"/>
  <c r="F21" i="1" s="1"/>
  <c r="B22" i="1"/>
  <c r="C22" i="1" s="1"/>
  <c r="F22" i="1" s="1"/>
  <c r="B23" i="1"/>
  <c r="C23" i="1" s="1"/>
  <c r="F23" i="1" s="1"/>
  <c r="B24" i="1"/>
  <c r="C24" i="1" s="1"/>
  <c r="F24" i="1" s="1"/>
  <c r="B25" i="1"/>
  <c r="C25" i="1" s="1"/>
  <c r="F25" i="1" s="1"/>
  <c r="B26" i="1"/>
  <c r="C26" i="1" s="1"/>
  <c r="F26" i="1" s="1"/>
  <c r="B27" i="1"/>
  <c r="C27" i="1" s="1"/>
  <c r="F27" i="1" s="1"/>
  <c r="B4" i="1"/>
  <c r="C4" i="1" s="1"/>
  <c r="F4" i="1" s="1"/>
  <c r="G25" i="5" l="1"/>
  <c r="B32" i="3"/>
  <c r="C4" i="3"/>
  <c r="G4" i="5"/>
  <c r="G28" i="5" s="1"/>
  <c r="G4" i="4"/>
  <c r="G28" i="4" s="1"/>
  <c r="C32" i="3" l="1"/>
  <c r="F4" i="3"/>
  <c r="G4" i="3" s="1"/>
  <c r="G28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<sst xmlns="http://schemas.openxmlformats.org/spreadsheetml/2006/main" count="360" uniqueCount="140">
  <si>
    <t>Hole Size</t>
  </si>
  <si>
    <t>Circum</t>
  </si>
  <si>
    <t>20ga</t>
  </si>
  <si>
    <t>3-16</t>
  </si>
  <si>
    <t>8ga</t>
  </si>
  <si>
    <t>12ga</t>
  </si>
  <si>
    <t>16ga</t>
  </si>
  <si>
    <t>Thickness:</t>
  </si>
  <si>
    <t>MM</t>
  </si>
  <si>
    <t>Length</t>
  </si>
  <si>
    <t>Time (CS)</t>
  </si>
  <si>
    <t>Tri</t>
  </si>
  <si>
    <t>Hex</t>
  </si>
  <si>
    <t>Sqr</t>
  </si>
  <si>
    <t>Overall</t>
  </si>
  <si>
    <t>CS based on 30 frames per second</t>
  </si>
  <si>
    <t>Pierce(CS)</t>
  </si>
  <si>
    <t>1 Second</t>
  </si>
  <si>
    <t>=</t>
  </si>
  <si>
    <t>30 centiseconds</t>
  </si>
  <si>
    <t>Regular Cut</t>
  </si>
  <si>
    <t>Laser Pulse</t>
  </si>
  <si>
    <t>3/16</t>
  </si>
  <si>
    <t>Re-Check</t>
  </si>
  <si>
    <t>1-2</t>
  </si>
  <si>
    <t>Time (Sec)</t>
  </si>
  <si>
    <t>Inside Cut Length</t>
  </si>
  <si>
    <t>20Ga</t>
  </si>
  <si>
    <t>16Ga</t>
  </si>
  <si>
    <t>12Ga</t>
  </si>
  <si>
    <t>8Ga</t>
  </si>
  <si>
    <t>Sheet Metal Size</t>
  </si>
  <si>
    <t>IN</t>
  </si>
  <si>
    <t>3-8</t>
  </si>
  <si>
    <t>5-8</t>
  </si>
  <si>
    <t>5-16</t>
  </si>
  <si>
    <t>1/4</t>
  </si>
  <si>
    <t>1-4</t>
  </si>
  <si>
    <t>11ga</t>
  </si>
  <si>
    <t>14Ga</t>
  </si>
  <si>
    <t>18Ga</t>
  </si>
  <si>
    <t>22Ga</t>
  </si>
  <si>
    <t>Thickness</t>
  </si>
  <si>
    <t>Time (cs)</t>
  </si>
  <si>
    <t>5/8</t>
  </si>
  <si>
    <t>1/2</t>
  </si>
  <si>
    <t>5/16</t>
  </si>
  <si>
    <t>14ga</t>
  </si>
  <si>
    <t>18ga</t>
  </si>
  <si>
    <t>22ga</t>
  </si>
  <si>
    <t>Gage</t>
  </si>
  <si>
    <t>Time/1MM</t>
  </si>
  <si>
    <t>AVERAGE TIME</t>
  </si>
  <si>
    <t>Time/1mm</t>
  </si>
  <si>
    <t>Actual Time
(Seconds)</t>
  </si>
  <si>
    <t>Feat. Time</t>
  </si>
  <si>
    <t>Trvl Time</t>
  </si>
  <si>
    <t>Hole Time-&gt;</t>
  </si>
  <si>
    <t>MS based on 30 frames per second</t>
  </si>
  <si>
    <t>4:16</t>
  </si>
  <si>
    <t>3:58</t>
  </si>
  <si>
    <t>32:14</t>
  </si>
  <si>
    <t>4:56</t>
  </si>
  <si>
    <t>4:06</t>
  </si>
  <si>
    <t>3:56</t>
  </si>
  <si>
    <t>3:52</t>
  </si>
  <si>
    <t>3:46</t>
  </si>
  <si>
    <t>3:38</t>
  </si>
  <si>
    <t>3:30</t>
  </si>
  <si>
    <t>3:22</t>
  </si>
  <si>
    <t>3:14</t>
  </si>
  <si>
    <t>3:06</t>
  </si>
  <si>
    <t>2:58</t>
  </si>
  <si>
    <t>2:50</t>
  </si>
  <si>
    <t>3:40</t>
  </si>
  <si>
    <t>3:26</t>
  </si>
  <si>
    <t>2:44</t>
  </si>
  <si>
    <t>3:28</t>
  </si>
  <si>
    <t>18:14</t>
  </si>
  <si>
    <t>16:20</t>
  </si>
  <si>
    <t>14:20</t>
  </si>
  <si>
    <t>12:08</t>
  </si>
  <si>
    <t>9:56</t>
  </si>
  <si>
    <t>Cut Time -&gt;</t>
  </si>
  <si>
    <t>pierce time -&gt;</t>
  </si>
  <si>
    <t>Travel Time</t>
  </si>
  <si>
    <t>Pierce(SEC)</t>
  </si>
  <si>
    <t>16:22</t>
  </si>
  <si>
    <t>2:00</t>
  </si>
  <si>
    <t>1:24</t>
  </si>
  <si>
    <t>2:09</t>
  </si>
  <si>
    <t>actual time: 1:12</t>
  </si>
  <si>
    <t>1:23</t>
  </si>
  <si>
    <t>1:21</t>
  </si>
  <si>
    <t>1:19</t>
  </si>
  <si>
    <t>1:16</t>
  </si>
  <si>
    <t>1:14</t>
  </si>
  <si>
    <t>1:12</t>
  </si>
  <si>
    <t>1:11</t>
  </si>
  <si>
    <t>1:08</t>
  </si>
  <si>
    <t>1:07</t>
  </si>
  <si>
    <t>1:05</t>
  </si>
  <si>
    <t>1:03</t>
  </si>
  <si>
    <t>1:00</t>
  </si>
  <si>
    <t>0:29</t>
  </si>
  <si>
    <t>0:27</t>
  </si>
  <si>
    <t>0:25</t>
  </si>
  <si>
    <t>0:23</t>
  </si>
  <si>
    <t>0:21</t>
  </si>
  <si>
    <t>0:18</t>
  </si>
  <si>
    <t>0:16</t>
  </si>
  <si>
    <t>0:14</t>
  </si>
  <si>
    <t>2:22</t>
  </si>
  <si>
    <t>2:02</t>
  </si>
  <si>
    <t>Hole Circum</t>
  </si>
  <si>
    <t>8GA</t>
  </si>
  <si>
    <t>11GA</t>
  </si>
  <si>
    <t>12GA</t>
  </si>
  <si>
    <t>14GA</t>
  </si>
  <si>
    <t>16GA</t>
  </si>
  <si>
    <t>18GA</t>
  </si>
  <si>
    <t>20GA</t>
  </si>
  <si>
    <t>22GA</t>
  </si>
  <si>
    <t>Normal</t>
  </si>
  <si>
    <t>Pulse</t>
  </si>
  <si>
    <t>(14.349*(X^0.6915))</t>
  </si>
  <si>
    <t>(1.0589*(X^0.2814))</t>
  </si>
  <si>
    <t>(0.0212*(X^1.0161))</t>
  </si>
  <si>
    <t>(0.0281*(X^0.9443))</t>
  </si>
  <si>
    <t>(4.1936*(X^0.7498))</t>
  </si>
  <si>
    <t>(0.0299*(X^0.8622))</t>
  </si>
  <si>
    <t>(4.4916*(X^0.6079))</t>
  </si>
  <si>
    <t>(0.0913*(X^0.5098))</t>
  </si>
  <si>
    <t>(6.3332*(X^0.4084))</t>
  </si>
  <si>
    <t>(0.1074*(X^-0.553))</t>
  </si>
  <si>
    <t>(0.182*(X^0.4133))</t>
  </si>
  <si>
    <t>(0.1331*(X^0.3906))</t>
  </si>
  <si>
    <t>(0.0428*(X^1.4782))</t>
  </si>
  <si>
    <t>(0.1115*(X^0.2604))</t>
  </si>
  <si>
    <t>*all values in 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</si>
</sst>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000000000"/>
    <numFmt numFmtId="165" formatCode="#,##0.000000000000"/>
    <numFmt numFmtId="166" formatCode="0.000000000000"/>
    <numFmt numFmtId="167" formatCode="#,##0.00000"/>
  </numFmts>
  <fonts count="4" x14ac:knownFonts="1">
    <font>
      <sz val="11"/>
      <color theme="1"/>
      <name val="Calibri"/>
      <family val="2"/>
      <scheme val="minor"/>
    </font>
    <font>
      <sz val="9"/>
      <color rgb="FF595959"/>
      <name val="Calibri"/>
      <family val="2"/>
      <scheme val="minor"/>
    </font>
    <font>
      <sz val="22"/>
      <color rgb="FF595959"/>
      <name val="Calibri"/>
      <family val="2"/>
      <scheme val="minor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right"/>
    </xf>
    <xf numFmtId="0" fontId="0" fillId="0" borderId="1" xfId="0" applyBorder="1"/>
    <xf numFmtId="1" fontId="0" fillId="2" borderId="1" xfId="0" applyNumberFormat="1" applyFill="1" applyBorder="1"/>
    <xf numFmtId="2" fontId="0" fillId="2" borderId="1" xfId="0" applyNumberFormat="1" applyFill="1" applyBorder="1"/>
    <xf numFmtId="0" fontId="0" fillId="2" borderId="1" xfId="0" applyFill="1" applyBorder="1"/>
    <xf numFmtId="0" fontId="0" fillId="0" borderId="2" xfId="0" applyBorder="1" applyAlignment="1">
      <alignment vertical="center"/>
    </xf>
    <xf numFmtId="0" fontId="0" fillId="0" borderId="3" xfId="0" applyFill="1" applyBorder="1"/>
    <xf numFmtId="0" fontId="0" fillId="3" borderId="0" xfId="0" applyFill="1"/>
    <xf numFmtId="0" fontId="0" fillId="3" borderId="1" xfId="0" applyFill="1" applyBorder="1"/>
    <xf numFmtId="0" fontId="0" fillId="0" borderId="0" xfId="0" quotePrefix="1"/>
    <xf numFmtId="0" fontId="0" fillId="4" borderId="1" xfId="0" applyFill="1" applyBorder="1"/>
    <xf numFmtId="0" fontId="0" fillId="5" borderId="0" xfId="0" applyFill="1"/>
    <xf numFmtId="0" fontId="0" fillId="5" borderId="1" xfId="0" applyFill="1" applyBorder="1"/>
    <xf numFmtId="0" fontId="0" fillId="2" borderId="3" xfId="0" applyFill="1" applyBorder="1"/>
    <xf numFmtId="2" fontId="0" fillId="0" borderId="0" xfId="0" applyNumberFormat="1"/>
    <xf numFmtId="1" fontId="0" fillId="2" borderId="1" xfId="0" applyNumberFormat="1" applyFill="1" applyBorder="1" applyAlignment="1">
      <alignment horizontal="left"/>
    </xf>
    <xf numFmtId="0" fontId="1" fillId="0" borderId="0" xfId="0" applyFont="1" applyAlignment="1">
      <alignment horizontal="center" vertical="center" readingOrder="1"/>
    </xf>
    <xf numFmtId="0" fontId="2" fillId="0" borderId="0" xfId="0" applyFont="1" applyAlignment="1">
      <alignment horizontal="center" vertical="center" readingOrder="1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6" borderId="1" xfId="0" applyFill="1" applyBorder="1"/>
    <xf numFmtId="16" fontId="0" fillId="6" borderId="1" xfId="0" quotePrefix="1" applyNumberFormat="1" applyFill="1" applyBorder="1"/>
    <xf numFmtId="0" fontId="0" fillId="7" borderId="1" xfId="0" applyFill="1" applyBorder="1"/>
    <xf numFmtId="16" fontId="0" fillId="7" borderId="1" xfId="0" quotePrefix="1" applyNumberFormat="1" applyFill="1" applyBorder="1"/>
    <xf numFmtId="0" fontId="0" fillId="2" borderId="0" xfId="0" applyFill="1" applyBorder="1"/>
    <xf numFmtId="164" fontId="0" fillId="0" borderId="0" xfId="0" applyNumberFormat="1" applyAlignment="1">
      <alignment vertical="center"/>
    </xf>
    <xf numFmtId="2" fontId="0" fillId="0" borderId="0" xfId="0" applyNumberFormat="1" applyAlignment="1">
      <alignment vertical="center"/>
    </xf>
    <xf numFmtId="165" fontId="0" fillId="0" borderId="0" xfId="0" applyNumberFormat="1" applyAlignment="1">
      <alignment vertical="center"/>
    </xf>
    <xf numFmtId="0" fontId="3" fillId="0" borderId="0" xfId="0" applyFont="1"/>
    <xf numFmtId="0" fontId="0" fillId="0" borderId="2" xfId="0" applyFill="1" applyBorder="1" applyAlignment="1">
      <alignment vertical="center"/>
    </xf>
    <xf numFmtId="0" fontId="0" fillId="2" borderId="0" xfId="0" applyFill="1" applyBorder="1" applyAlignment="1">
      <alignment wrapText="1"/>
    </xf>
    <xf numFmtId="10" fontId="0" fillId="0" borderId="2" xfId="0" applyNumberFormat="1" applyFill="1" applyBorder="1" applyAlignment="1">
      <alignment vertical="center"/>
    </xf>
    <xf numFmtId="2" fontId="0" fillId="0" borderId="1" xfId="0" applyNumberFormat="1" applyBorder="1"/>
    <xf numFmtId="49" fontId="0" fillId="0" borderId="1" xfId="0" applyNumberFormat="1" applyBorder="1" applyAlignment="1">
      <alignment horizontal="right"/>
    </xf>
    <xf numFmtId="49" fontId="0" fillId="3" borderId="1" xfId="0" applyNumberFormat="1" applyFill="1" applyBorder="1" applyAlignment="1">
      <alignment horizontal="right"/>
    </xf>
    <xf numFmtId="49" fontId="0" fillId="4" borderId="1" xfId="0" applyNumberFormat="1" applyFill="1" applyBorder="1" applyAlignment="1">
      <alignment horizontal="right"/>
    </xf>
    <xf numFmtId="49" fontId="0" fillId="0" borderId="3" xfId="0" applyNumberFormat="1" applyFill="1" applyBorder="1" applyAlignment="1">
      <alignment horizontal="right"/>
    </xf>
    <xf numFmtId="49" fontId="0" fillId="0" borderId="1" xfId="0" applyNumberFormat="1" applyFill="1" applyBorder="1" applyAlignment="1">
      <alignment horizontal="right"/>
    </xf>
    <xf numFmtId="49" fontId="0" fillId="0" borderId="0" xfId="0" applyNumberFormat="1"/>
    <xf numFmtId="49" fontId="0" fillId="0" borderId="0" xfId="0" applyNumberFormat="1" applyAlignment="1">
      <alignment horizontal="left"/>
    </xf>
    <xf numFmtId="167" fontId="0" fillId="0" borderId="0" xfId="0" applyNumberFormat="1"/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Laser Time (holes)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'20ga'!$A$4:$A$27</c:f>
              <c:numCache>
                <c:formatCode>0</c:formatCode>
                <c:ptCount val="24"/>
                <c:pt idx="0">
                  <c:v>25</c:v>
                </c:pt>
                <c:pt idx="1">
                  <c:v>24</c:v>
                </c:pt>
                <c:pt idx="2">
                  <c:v>23</c:v>
                </c:pt>
                <c:pt idx="3">
                  <c:v>22</c:v>
                </c:pt>
                <c:pt idx="4">
                  <c:v>21</c:v>
                </c:pt>
                <c:pt idx="5">
                  <c:v>20</c:v>
                </c:pt>
                <c:pt idx="6">
                  <c:v>19</c:v>
                </c:pt>
                <c:pt idx="7">
                  <c:v>18</c:v>
                </c:pt>
                <c:pt idx="8">
                  <c:v>17</c:v>
                </c:pt>
                <c:pt idx="9">
                  <c:v>16</c:v>
                </c:pt>
                <c:pt idx="10">
                  <c:v>15</c:v>
                </c:pt>
                <c:pt idx="11">
                  <c:v>14</c:v>
                </c:pt>
                <c:pt idx="12">
                  <c:v>13</c:v>
                </c:pt>
                <c:pt idx="13">
                  <c:v>12</c:v>
                </c:pt>
                <c:pt idx="14">
                  <c:v>11</c:v>
                </c:pt>
                <c:pt idx="15">
                  <c:v>10</c:v>
                </c:pt>
                <c:pt idx="16">
                  <c:v>9</c:v>
                </c:pt>
                <c:pt idx="17">
                  <c:v>8</c:v>
                </c:pt>
                <c:pt idx="18">
                  <c:v>7</c:v>
                </c:pt>
                <c:pt idx="19">
                  <c:v>6</c:v>
                </c:pt>
                <c:pt idx="20">
                  <c:v>5</c:v>
                </c:pt>
                <c:pt idx="21">
                  <c:v>4</c:v>
                </c:pt>
                <c:pt idx="22">
                  <c:v>3</c:v>
                </c:pt>
                <c:pt idx="23">
                  <c:v>2</c:v>
                </c:pt>
              </c:numCache>
            </c:numRef>
          </c:xVal>
          <c:yVal>
            <c:numRef>
              <c:f>'20ga'!$F$4:$F$27</c:f>
              <c:numCache>
                <c:formatCode>General</c:formatCode>
                <c:ptCount val="24"/>
                <c:pt idx="0">
                  <c:v>9.692872358955322E-3</c:v>
                </c:pt>
                <c:pt idx="1">
                  <c:v>9.6987841164417471E-3</c:v>
                </c:pt>
                <c:pt idx="2">
                  <c:v>9.5685106068976716E-3</c:v>
                </c:pt>
                <c:pt idx="3">
                  <c:v>9.5693727449443471E-3</c:v>
                </c:pt>
                <c:pt idx="4">
                  <c:v>1.0467533000685123E-2</c:v>
                </c:pt>
                <c:pt idx="5">
                  <c:v>1.0983518700004358E-2</c:v>
                </c:pt>
                <c:pt idx="6">
                  <c:v>1.1057882824327316E-2</c:v>
                </c:pt>
                <c:pt idx="7">
                  <c:v>1.1662585505815084E-2</c:v>
                </c:pt>
                <c:pt idx="8">
                  <c:v>1.1048284201889861E-2</c:v>
                </c:pt>
                <c:pt idx="9">
                  <c:v>1.1726655768351746E-2</c:v>
                </c:pt>
                <c:pt idx="10">
                  <c:v>1.2493781791743529E-2</c:v>
                </c:pt>
                <c:pt idx="11">
                  <c:v>1.3368299710492046E-2</c:v>
                </c:pt>
                <c:pt idx="12">
                  <c:v>1.3655735016295913E-2</c:v>
                </c:pt>
                <c:pt idx="13">
                  <c:v>1.4767179159906645E-2</c:v>
                </c:pt>
                <c:pt idx="14">
                  <c:v>1.5229491863607218E-2</c:v>
                </c:pt>
                <c:pt idx="15">
                  <c:v>1.5472247080540251E-2</c:v>
                </c:pt>
                <c:pt idx="16">
                  <c:v>1.7138351882070198E-2</c:v>
                </c:pt>
                <c:pt idx="17">
                  <c:v>1.9206582803059508E-2</c:v>
                </c:pt>
                <c:pt idx="18">
                  <c:v>1.9221403354048566E-2</c:v>
                </c:pt>
                <c:pt idx="19">
                  <c:v>2.227898195524176E-2</c:v>
                </c:pt>
                <c:pt idx="20">
                  <c:v>2.2278469312010583E-2</c:v>
                </c:pt>
                <c:pt idx="21">
                  <c:v>2.524807980833815E-2</c:v>
                </c:pt>
                <c:pt idx="22">
                  <c:v>2.9056314928989007E-2</c:v>
                </c:pt>
                <c:pt idx="23">
                  <c:v>3.3411361358048251E-2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4-4B4D-88EC-E56274001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168792"/>
        <c:axId val="800158952"/>
      </c:scatterChart>
      <c:valAx>
        <c:axId val="800168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158952"/>
        <c:crosses val="autoZero"/>
        <c:crossBetween val="midCat"/>
      </c:valAx>
      <c:valAx>
        <c:axId val="80015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168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9.9791602801596407E-2"/>
                  <c:y val="-0.4371989776478193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'20ga'!$C$4:$C$27</c:f>
              <c:numCache>
                <c:formatCode>0.00</c:formatCode>
                <c:ptCount val="24"/>
                <c:pt idx="0">
                  <c:v>79.439816339744837</c:v>
                </c:pt>
                <c:pt idx="1">
                  <c:v>76.29822368615504</c:v>
                </c:pt>
                <c:pt idx="2">
                  <c:v>73.156631032565244</c:v>
                </c:pt>
                <c:pt idx="3">
                  <c:v>70.015038378975447</c:v>
                </c:pt>
                <c:pt idx="4">
                  <c:v>66.873445725385665</c:v>
                </c:pt>
                <c:pt idx="5">
                  <c:v>63.731853071795861</c:v>
                </c:pt>
                <c:pt idx="6">
                  <c:v>60.590260418206064</c:v>
                </c:pt>
                <c:pt idx="7">
                  <c:v>57.448667764616275</c:v>
                </c:pt>
                <c:pt idx="8">
                  <c:v>54.307075111026485</c:v>
                </c:pt>
                <c:pt idx="9">
                  <c:v>51.165482457436688</c:v>
                </c:pt>
                <c:pt idx="10">
                  <c:v>48.023889803846892</c:v>
                </c:pt>
                <c:pt idx="11">
                  <c:v>44.882297150257102</c:v>
                </c:pt>
                <c:pt idx="12">
                  <c:v>41.740704496667313</c:v>
                </c:pt>
                <c:pt idx="13">
                  <c:v>38.599111843077516</c:v>
                </c:pt>
                <c:pt idx="14">
                  <c:v>35.457519189487719</c:v>
                </c:pt>
                <c:pt idx="15">
                  <c:v>32.31592653589793</c:v>
                </c:pt>
                <c:pt idx="16">
                  <c:v>29.174333882308137</c:v>
                </c:pt>
                <c:pt idx="17">
                  <c:v>26.032741228718344</c:v>
                </c:pt>
                <c:pt idx="18">
                  <c:v>22.89114857512855</c:v>
                </c:pt>
                <c:pt idx="19">
                  <c:v>19.749555921538757</c:v>
                </c:pt>
                <c:pt idx="20">
                  <c:v>16.607963267948964</c:v>
                </c:pt>
                <c:pt idx="21">
                  <c:v>13.466370614359173</c:v>
                </c:pt>
                <c:pt idx="22">
                  <c:v>10.32477796076938</c:v>
                </c:pt>
                <c:pt idx="23">
                  <c:v>7.1831853071795866</c:v>
                </c:pt>
              </c:numCache>
            </c:numRef>
          </c:xVal>
          <c:yVal>
            <c:numRef>
              <c:f>'20ga'!$F$4:$F$27</c:f>
              <c:numCache>
                <c:formatCode>General</c:formatCode>
                <c:ptCount val="24"/>
                <c:pt idx="0">
                  <c:v>9.692872358955322E-3</c:v>
                </c:pt>
                <c:pt idx="1">
                  <c:v>9.6987841164417471E-3</c:v>
                </c:pt>
                <c:pt idx="2">
                  <c:v>9.5685106068976716E-3</c:v>
                </c:pt>
                <c:pt idx="3">
                  <c:v>9.5693727449443471E-3</c:v>
                </c:pt>
                <c:pt idx="4">
                  <c:v>1.0467533000685123E-2</c:v>
                </c:pt>
                <c:pt idx="5">
                  <c:v>1.0983518700004358E-2</c:v>
                </c:pt>
                <c:pt idx="6">
                  <c:v>1.1057882824327316E-2</c:v>
                </c:pt>
                <c:pt idx="7">
                  <c:v>1.1662585505815084E-2</c:v>
                </c:pt>
                <c:pt idx="8">
                  <c:v>1.1048284201889861E-2</c:v>
                </c:pt>
                <c:pt idx="9">
                  <c:v>1.1726655768351746E-2</c:v>
                </c:pt>
                <c:pt idx="10">
                  <c:v>1.2493781791743529E-2</c:v>
                </c:pt>
                <c:pt idx="11">
                  <c:v>1.3368299710492046E-2</c:v>
                </c:pt>
                <c:pt idx="12">
                  <c:v>1.3655735016295913E-2</c:v>
                </c:pt>
                <c:pt idx="13">
                  <c:v>1.4767179159906645E-2</c:v>
                </c:pt>
                <c:pt idx="14">
                  <c:v>1.5229491863607218E-2</c:v>
                </c:pt>
                <c:pt idx="15">
                  <c:v>1.5472247080540251E-2</c:v>
                </c:pt>
                <c:pt idx="16">
                  <c:v>1.7138351882070198E-2</c:v>
                </c:pt>
                <c:pt idx="17">
                  <c:v>1.9206582803059508E-2</c:v>
                </c:pt>
                <c:pt idx="18">
                  <c:v>1.9221403354048566E-2</c:v>
                </c:pt>
                <c:pt idx="19">
                  <c:v>2.227898195524176E-2</c:v>
                </c:pt>
                <c:pt idx="20">
                  <c:v>2.2278469312010583E-2</c:v>
                </c:pt>
                <c:pt idx="21">
                  <c:v>2.524807980833815E-2</c:v>
                </c:pt>
                <c:pt idx="22">
                  <c:v>2.9056314928989007E-2</c:v>
                </c:pt>
                <c:pt idx="23">
                  <c:v>3.3411361358048251E-2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70-461A-87B4-49D4029D4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805800"/>
        <c:axId val="629807440"/>
      </c:scatterChart>
      <c:valAx>
        <c:axId val="629805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807440"/>
        <c:crosses val="autoZero"/>
        <c:crossBetween val="midCat"/>
      </c:valAx>
      <c:valAx>
        <c:axId val="62980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805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Normal 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43013998250218721"/>
                  <c:y val="-2.2433654126567514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'16ga'!$C$4:$C$26</c:f>
              <c:numCache>
                <c:formatCode>0.00</c:formatCode>
                <c:ptCount val="23"/>
                <c:pt idx="0">
                  <c:v>80.039816339744831</c:v>
                </c:pt>
                <c:pt idx="1">
                  <c:v>76.898223686155035</c:v>
                </c:pt>
                <c:pt idx="2">
                  <c:v>73.756631032565238</c:v>
                </c:pt>
                <c:pt idx="3">
                  <c:v>70.615038378975441</c:v>
                </c:pt>
                <c:pt idx="4">
                  <c:v>67.473445725385659</c:v>
                </c:pt>
                <c:pt idx="5">
                  <c:v>64.331853071795862</c:v>
                </c:pt>
                <c:pt idx="6">
                  <c:v>61.190260418206066</c:v>
                </c:pt>
                <c:pt idx="7">
                  <c:v>58.048667764616276</c:v>
                </c:pt>
                <c:pt idx="8">
                  <c:v>54.907075111026487</c:v>
                </c:pt>
                <c:pt idx="9">
                  <c:v>51.76548245743669</c:v>
                </c:pt>
                <c:pt idx="10">
                  <c:v>48.623889803846893</c:v>
                </c:pt>
                <c:pt idx="11">
                  <c:v>45.482297150257104</c:v>
                </c:pt>
                <c:pt idx="12">
                  <c:v>42.340704496667314</c:v>
                </c:pt>
                <c:pt idx="13">
                  <c:v>39.199111843077517</c:v>
                </c:pt>
                <c:pt idx="14">
                  <c:v>36.057519189487721</c:v>
                </c:pt>
                <c:pt idx="15">
                  <c:v>32.915926535897931</c:v>
                </c:pt>
                <c:pt idx="16">
                  <c:v>29.774333882308138</c:v>
                </c:pt>
                <c:pt idx="17">
                  <c:v>26.632741228718345</c:v>
                </c:pt>
                <c:pt idx="18">
                  <c:v>23.491148575128552</c:v>
                </c:pt>
                <c:pt idx="19">
                  <c:v>20.349555921538759</c:v>
                </c:pt>
                <c:pt idx="20">
                  <c:v>17.207963267948966</c:v>
                </c:pt>
                <c:pt idx="21">
                  <c:v>14.066370614359172</c:v>
                </c:pt>
                <c:pt idx="22">
                  <c:v>10.924777960769379</c:v>
                </c:pt>
              </c:numCache>
            </c:numRef>
          </c:xVal>
          <c:yVal>
            <c:numRef>
              <c:f>'16ga'!$E$4:$E$26</c:f>
              <c:numCache>
                <c:formatCode>General</c:formatCode>
                <c:ptCount val="23"/>
                <c:pt idx="0">
                  <c:v>0.9</c:v>
                </c:pt>
                <c:pt idx="1">
                  <c:v>0.9</c:v>
                </c:pt>
                <c:pt idx="2">
                  <c:v>0.8</c:v>
                </c:pt>
                <c:pt idx="3">
                  <c:v>0.79999999999999993</c:v>
                </c:pt>
                <c:pt idx="4">
                  <c:v>0.79999999999999993</c:v>
                </c:pt>
                <c:pt idx="5">
                  <c:v>0.79999999999999993</c:v>
                </c:pt>
                <c:pt idx="6">
                  <c:v>0.79999999999999993</c:v>
                </c:pt>
                <c:pt idx="7">
                  <c:v>0.7</c:v>
                </c:pt>
                <c:pt idx="8">
                  <c:v>0.7</c:v>
                </c:pt>
                <c:pt idx="9">
                  <c:v>0.7</c:v>
                </c:pt>
                <c:pt idx="10">
                  <c:v>0.6</c:v>
                </c:pt>
                <c:pt idx="11">
                  <c:v>0.6</c:v>
                </c:pt>
                <c:pt idx="12">
                  <c:v>0.6</c:v>
                </c:pt>
                <c:pt idx="13">
                  <c:v>0.6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0.4</c:v>
                </c:pt>
                <c:pt idx="20">
                  <c:v>0.4</c:v>
                </c:pt>
                <c:pt idx="21">
                  <c:v>0.4</c:v>
                </c:pt>
                <c:pt idx="22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9B-47A7-A4DB-316F07082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7902536"/>
        <c:axId val="657904504"/>
      </c:scatterChart>
      <c:valAx>
        <c:axId val="657902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904504"/>
        <c:crosses val="autoZero"/>
        <c:crossBetween val="midCat"/>
      </c:valAx>
      <c:valAx>
        <c:axId val="65790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902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Normal 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43013998250218721"/>
                  <c:y val="-2.2433654126567514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'16ga'!$C$4:$C$26</c:f>
              <c:numCache>
                <c:formatCode>0.00</c:formatCode>
                <c:ptCount val="23"/>
                <c:pt idx="0">
                  <c:v>80.039816339744831</c:v>
                </c:pt>
                <c:pt idx="1">
                  <c:v>76.898223686155035</c:v>
                </c:pt>
                <c:pt idx="2">
                  <c:v>73.756631032565238</c:v>
                </c:pt>
                <c:pt idx="3">
                  <c:v>70.615038378975441</c:v>
                </c:pt>
                <c:pt idx="4">
                  <c:v>67.473445725385659</c:v>
                </c:pt>
                <c:pt idx="5">
                  <c:v>64.331853071795862</c:v>
                </c:pt>
                <c:pt idx="6">
                  <c:v>61.190260418206066</c:v>
                </c:pt>
                <c:pt idx="7">
                  <c:v>58.048667764616276</c:v>
                </c:pt>
                <c:pt idx="8">
                  <c:v>54.907075111026487</c:v>
                </c:pt>
                <c:pt idx="9">
                  <c:v>51.76548245743669</c:v>
                </c:pt>
                <c:pt idx="10">
                  <c:v>48.623889803846893</c:v>
                </c:pt>
                <c:pt idx="11">
                  <c:v>45.482297150257104</c:v>
                </c:pt>
                <c:pt idx="12">
                  <c:v>42.340704496667314</c:v>
                </c:pt>
                <c:pt idx="13">
                  <c:v>39.199111843077517</c:v>
                </c:pt>
                <c:pt idx="14">
                  <c:v>36.057519189487721</c:v>
                </c:pt>
                <c:pt idx="15">
                  <c:v>32.915926535897931</c:v>
                </c:pt>
                <c:pt idx="16">
                  <c:v>29.774333882308138</c:v>
                </c:pt>
                <c:pt idx="17">
                  <c:v>26.632741228718345</c:v>
                </c:pt>
                <c:pt idx="18">
                  <c:v>23.491148575128552</c:v>
                </c:pt>
                <c:pt idx="19">
                  <c:v>20.349555921538759</c:v>
                </c:pt>
                <c:pt idx="20">
                  <c:v>17.207963267948966</c:v>
                </c:pt>
                <c:pt idx="21">
                  <c:v>14.066370614359172</c:v>
                </c:pt>
                <c:pt idx="22">
                  <c:v>10.924777960769379</c:v>
                </c:pt>
              </c:numCache>
            </c:numRef>
          </c:xVal>
          <c:yVal>
            <c:numRef>
              <c:f>'16ga'!$E$4:$E$26</c:f>
              <c:numCache>
                <c:formatCode>General</c:formatCode>
                <c:ptCount val="23"/>
                <c:pt idx="0">
                  <c:v>0.9</c:v>
                </c:pt>
                <c:pt idx="1">
                  <c:v>0.9</c:v>
                </c:pt>
                <c:pt idx="2">
                  <c:v>0.8</c:v>
                </c:pt>
                <c:pt idx="3">
                  <c:v>0.79999999999999993</c:v>
                </c:pt>
                <c:pt idx="4">
                  <c:v>0.79999999999999993</c:v>
                </c:pt>
                <c:pt idx="5">
                  <c:v>0.79999999999999993</c:v>
                </c:pt>
                <c:pt idx="6">
                  <c:v>0.79999999999999993</c:v>
                </c:pt>
                <c:pt idx="7">
                  <c:v>0.7</c:v>
                </c:pt>
                <c:pt idx="8">
                  <c:v>0.7</c:v>
                </c:pt>
                <c:pt idx="9">
                  <c:v>0.7</c:v>
                </c:pt>
                <c:pt idx="10">
                  <c:v>0.6</c:v>
                </c:pt>
                <c:pt idx="11">
                  <c:v>0.6</c:v>
                </c:pt>
                <c:pt idx="12">
                  <c:v>0.6</c:v>
                </c:pt>
                <c:pt idx="13">
                  <c:v>0.6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0.4</c:v>
                </c:pt>
                <c:pt idx="20">
                  <c:v>0.4</c:v>
                </c:pt>
                <c:pt idx="21">
                  <c:v>0.4</c:v>
                </c:pt>
                <c:pt idx="22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CA-4973-8710-C9A2566CC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7902536"/>
        <c:axId val="657904504"/>
      </c:scatterChart>
      <c:valAx>
        <c:axId val="657902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904504"/>
        <c:crosses val="autoZero"/>
        <c:crossBetween val="midCat"/>
      </c:valAx>
      <c:valAx>
        <c:axId val="65790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902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Pulse</a:t>
            </a:r>
          </a:p>
        </c:rich>
      </c:tx>
      <c:layout>
        <c:manualLayout>
          <c:xMode val="edge"/>
          <c:yMode val="edge"/>
          <c:x val="0.45393744531933511"/>
          <c:y val="5.5555555555555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35968000874890638"/>
                  <c:y val="5.976851851851851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'12ga'!$A$26:$A$27</c:f>
              <c:numCache>
                <c:formatCode>0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xVal>
          <c:yVal>
            <c:numRef>
              <c:f>'12ga'!$F$26:$F$27</c:f>
              <c:numCache>
                <c:formatCode>General</c:formatCode>
                <c:ptCount val="2"/>
                <c:pt idx="0">
                  <c:v>0.14845632685596669</c:v>
                </c:pt>
                <c:pt idx="1">
                  <c:v>0.13358290617036814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8F-42FC-B3BF-B3DD6CCA0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870944"/>
        <c:axId val="864871272"/>
      </c:scatterChart>
      <c:valAx>
        <c:axId val="864870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871272"/>
        <c:crosses val="autoZero"/>
        <c:crossBetween val="midCat"/>
      </c:valAx>
      <c:valAx>
        <c:axId val="864871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870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37597602751972081"/>
                  <c:y val="2.1798060458491999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aseline="0"/>
                      <a:t>y = 0.0299x</a:t>
                    </a:r>
                    <a:r>
                      <a:rPr lang="en-US" sz="1200" baseline="30000"/>
                      <a:t>0.8622</a:t>
                    </a:r>
                    <a:br>
                      <a:rPr lang="en-US" sz="1200" baseline="0"/>
                    </a:br>
                    <a:r>
                      <a:rPr lang="en-US" sz="1200" baseline="0"/>
                      <a:t>R² = 0.9905</a:t>
                    </a:r>
                    <a:endParaRPr lang="en-US" sz="12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'12ga'!$C$4:$C$25</c:f>
              <c:numCache>
                <c:formatCode>0.00</c:formatCode>
                <c:ptCount val="22"/>
                <c:pt idx="0">
                  <c:v>81.239816339744834</c:v>
                </c:pt>
                <c:pt idx="1">
                  <c:v>78.098223686155038</c:v>
                </c:pt>
                <c:pt idx="2">
                  <c:v>74.956631032565241</c:v>
                </c:pt>
                <c:pt idx="3">
                  <c:v>71.815038378975444</c:v>
                </c:pt>
                <c:pt idx="4">
                  <c:v>68.673445725385662</c:v>
                </c:pt>
                <c:pt idx="5">
                  <c:v>65.531853071795865</c:v>
                </c:pt>
                <c:pt idx="6">
                  <c:v>62.390260418206068</c:v>
                </c:pt>
                <c:pt idx="7">
                  <c:v>59.248667764616279</c:v>
                </c:pt>
                <c:pt idx="8">
                  <c:v>56.107075111026489</c:v>
                </c:pt>
                <c:pt idx="9">
                  <c:v>52.965482457436693</c:v>
                </c:pt>
                <c:pt idx="10">
                  <c:v>49.823889803846896</c:v>
                </c:pt>
                <c:pt idx="11">
                  <c:v>46.682297150257106</c:v>
                </c:pt>
                <c:pt idx="12">
                  <c:v>43.540704496667317</c:v>
                </c:pt>
                <c:pt idx="13">
                  <c:v>40.39911184307752</c:v>
                </c:pt>
                <c:pt idx="14">
                  <c:v>37.257519189487724</c:v>
                </c:pt>
                <c:pt idx="15">
                  <c:v>34.115926535897934</c:v>
                </c:pt>
                <c:pt idx="16">
                  <c:v>30.974333882308137</c:v>
                </c:pt>
                <c:pt idx="17">
                  <c:v>27.832741228718344</c:v>
                </c:pt>
                <c:pt idx="18">
                  <c:v>24.691148575128551</c:v>
                </c:pt>
                <c:pt idx="19">
                  <c:v>21.549555921538758</c:v>
                </c:pt>
                <c:pt idx="20">
                  <c:v>18.407963267948965</c:v>
                </c:pt>
                <c:pt idx="21">
                  <c:v>15.266370614359172</c:v>
                </c:pt>
              </c:numCache>
            </c:numRef>
          </c:xVal>
          <c:yVal>
            <c:numRef>
              <c:f>'12ga'!$E$4:$E$25</c:f>
              <c:numCache>
                <c:formatCode>General</c:formatCode>
                <c:ptCount val="22"/>
                <c:pt idx="0">
                  <c:v>1.3</c:v>
                </c:pt>
                <c:pt idx="1">
                  <c:v>1.3</c:v>
                </c:pt>
                <c:pt idx="2">
                  <c:v>1.2</c:v>
                </c:pt>
                <c:pt idx="3">
                  <c:v>1.2000000000000002</c:v>
                </c:pt>
                <c:pt idx="4">
                  <c:v>1.2000000000000002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0.8</c:v>
                </c:pt>
                <c:pt idx="12">
                  <c:v>0.79999999999999993</c:v>
                </c:pt>
                <c:pt idx="13">
                  <c:v>0.7</c:v>
                </c:pt>
                <c:pt idx="14">
                  <c:v>0.7</c:v>
                </c:pt>
                <c:pt idx="15">
                  <c:v>0.6</c:v>
                </c:pt>
                <c:pt idx="16">
                  <c:v>0.6</c:v>
                </c:pt>
                <c:pt idx="17">
                  <c:v>0.5</c:v>
                </c:pt>
                <c:pt idx="18">
                  <c:v>0.5</c:v>
                </c:pt>
                <c:pt idx="19">
                  <c:v>0.4</c:v>
                </c:pt>
                <c:pt idx="20">
                  <c:v>0.4</c:v>
                </c:pt>
                <c:pt idx="21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A7-43CB-AB07-0718E04AF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882160"/>
        <c:axId val="543883800"/>
      </c:scatterChart>
      <c:valAx>
        <c:axId val="543882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883800"/>
        <c:crosses val="autoZero"/>
        <c:crossBetween val="midCat"/>
      </c:valAx>
      <c:valAx>
        <c:axId val="543883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882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18197987751531058"/>
                  <c:y val="0.1183041703120443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'8ga'!$A$25:$A$27</c:f>
              <c:numCache>
                <c:formatCode>0</c:formatCode>
                <c:ptCount val="3"/>
                <c:pt idx="0">
                  <c:v>4</c:v>
                </c:pt>
                <c:pt idx="1">
                  <c:v>3</c:v>
                </c:pt>
                <c:pt idx="2">
                  <c:v>2</c:v>
                </c:pt>
              </c:numCache>
            </c:numRef>
          </c:xVal>
          <c:yVal>
            <c:numRef>
              <c:f>'8ga'!$F$25:$F$27</c:f>
              <c:numCache>
                <c:formatCode>General</c:formatCode>
                <c:ptCount val="3"/>
                <c:pt idx="0">
                  <c:v>0.1670009606970041</c:v>
                </c:pt>
                <c:pt idx="1">
                  <c:v>0.15413095215545186</c:v>
                </c:pt>
                <c:pt idx="2">
                  <c:v>0.22893804980784987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4A-428A-9364-189A129C3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742544"/>
        <c:axId val="267745824"/>
      </c:scatterChart>
      <c:valAx>
        <c:axId val="267742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745824"/>
        <c:crosses val="autoZero"/>
        <c:crossBetween val="midCat"/>
      </c:valAx>
      <c:valAx>
        <c:axId val="26774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742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21184886264216973"/>
                  <c:y val="-4.1666666666666669E-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'8ga'!$C$4:$C$24</c:f>
              <c:numCache>
                <c:formatCode>0.00</c:formatCode>
                <c:ptCount val="21"/>
                <c:pt idx="0">
                  <c:v>82.739816339744834</c:v>
                </c:pt>
                <c:pt idx="1">
                  <c:v>79.598223686155038</c:v>
                </c:pt>
                <c:pt idx="2">
                  <c:v>76.456631032565241</c:v>
                </c:pt>
                <c:pt idx="3">
                  <c:v>73.315038378975444</c:v>
                </c:pt>
                <c:pt idx="4">
                  <c:v>70.173445725385662</c:v>
                </c:pt>
                <c:pt idx="5">
                  <c:v>67.031853071795865</c:v>
                </c:pt>
                <c:pt idx="6">
                  <c:v>63.890260418206068</c:v>
                </c:pt>
                <c:pt idx="7">
                  <c:v>60.748667764616279</c:v>
                </c:pt>
                <c:pt idx="8">
                  <c:v>57.607075111026489</c:v>
                </c:pt>
                <c:pt idx="9">
                  <c:v>54.465482457436693</c:v>
                </c:pt>
                <c:pt idx="10">
                  <c:v>51.323889803846896</c:v>
                </c:pt>
                <c:pt idx="11">
                  <c:v>48.182297150257106</c:v>
                </c:pt>
                <c:pt idx="12">
                  <c:v>45.040704496667317</c:v>
                </c:pt>
                <c:pt idx="13">
                  <c:v>41.89911184307752</c:v>
                </c:pt>
                <c:pt idx="14">
                  <c:v>38.757519189487724</c:v>
                </c:pt>
                <c:pt idx="15">
                  <c:v>35.615926535897934</c:v>
                </c:pt>
                <c:pt idx="16">
                  <c:v>32.474333882308137</c:v>
                </c:pt>
                <c:pt idx="17">
                  <c:v>29.332741228718344</c:v>
                </c:pt>
                <c:pt idx="18">
                  <c:v>26.191148575128551</c:v>
                </c:pt>
                <c:pt idx="19">
                  <c:v>23.049555921538758</c:v>
                </c:pt>
                <c:pt idx="20">
                  <c:v>19.907963267948965</c:v>
                </c:pt>
              </c:numCache>
            </c:numRef>
          </c:xVal>
          <c:yVal>
            <c:numRef>
              <c:f>'8ga'!$E$4:$E$24</c:f>
              <c:numCache>
                <c:formatCode>General</c:formatCode>
                <c:ptCount val="21"/>
                <c:pt idx="0">
                  <c:v>1.8</c:v>
                </c:pt>
                <c:pt idx="1">
                  <c:v>1.8</c:v>
                </c:pt>
                <c:pt idx="2">
                  <c:v>1.7</c:v>
                </c:pt>
                <c:pt idx="3">
                  <c:v>1.7000000000000002</c:v>
                </c:pt>
                <c:pt idx="4">
                  <c:v>1.5</c:v>
                </c:pt>
                <c:pt idx="5">
                  <c:v>1.5</c:v>
                </c:pt>
                <c:pt idx="6">
                  <c:v>1.4</c:v>
                </c:pt>
                <c:pt idx="7">
                  <c:v>1.4000000000000001</c:v>
                </c:pt>
                <c:pt idx="8">
                  <c:v>1.3</c:v>
                </c:pt>
                <c:pt idx="9">
                  <c:v>1.3</c:v>
                </c:pt>
                <c:pt idx="10">
                  <c:v>1.2000000000000002</c:v>
                </c:pt>
                <c:pt idx="11">
                  <c:v>1.1000000000000001</c:v>
                </c:pt>
                <c:pt idx="12">
                  <c:v>1</c:v>
                </c:pt>
                <c:pt idx="13">
                  <c:v>1</c:v>
                </c:pt>
                <c:pt idx="14">
                  <c:v>0.9</c:v>
                </c:pt>
                <c:pt idx="15">
                  <c:v>0.9</c:v>
                </c:pt>
                <c:pt idx="16">
                  <c:v>0.79999999999999993</c:v>
                </c:pt>
                <c:pt idx="17">
                  <c:v>0.7</c:v>
                </c:pt>
                <c:pt idx="18">
                  <c:v>0.6</c:v>
                </c:pt>
                <c:pt idx="19">
                  <c:v>0.6</c:v>
                </c:pt>
                <c:pt idx="2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BB-47C8-AD61-BBA46FBE2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6178240"/>
        <c:axId val="686177912"/>
      </c:scatterChart>
      <c:valAx>
        <c:axId val="686178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177912"/>
        <c:crosses val="autoZero"/>
        <c:crossBetween val="midCat"/>
      </c:valAx>
      <c:valAx>
        <c:axId val="686177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17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18034629108315697"/>
                  <c:y val="0.3897893171660002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'8ga (2)'!$C$25:$C$27</c:f>
              <c:numCache>
                <c:formatCode>0.00</c:formatCode>
                <c:ptCount val="3"/>
                <c:pt idx="0">
                  <c:v>16.746370614359172</c:v>
                </c:pt>
                <c:pt idx="1">
                  <c:v>13.604777960769379</c:v>
                </c:pt>
                <c:pt idx="2">
                  <c:v>10.463185307179586</c:v>
                </c:pt>
              </c:numCache>
            </c:numRef>
          </c:xVal>
          <c:yVal>
            <c:numRef>
              <c:f>'8ga (2)'!$E$25:$E$27</c:f>
              <c:numCache>
                <c:formatCode>0.00</c:formatCode>
                <c:ptCount val="3"/>
                <c:pt idx="0">
                  <c:v>2.7333333333333334</c:v>
                </c:pt>
                <c:pt idx="1">
                  <c:v>2.0666666666666669</c:v>
                </c:pt>
                <c:pt idx="2">
                  <c:v>1.3666666666666667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EA-4083-93AC-D2DD121EE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35040"/>
        <c:axId val="674927824"/>
      </c:scatterChart>
      <c:valAx>
        <c:axId val="674935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927824"/>
        <c:crosses val="autoZero"/>
        <c:crossBetween val="midCat"/>
      </c:valAx>
      <c:valAx>
        <c:axId val="67492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935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17759208223972009"/>
                  <c:y val="0.3695552639253426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'8ga (2)'!$C$4:$C$24</c:f>
              <c:numCache>
                <c:formatCode>0.00</c:formatCode>
                <c:ptCount val="21"/>
                <c:pt idx="0">
                  <c:v>82.719816339744824</c:v>
                </c:pt>
                <c:pt idx="1">
                  <c:v>79.578223686155042</c:v>
                </c:pt>
                <c:pt idx="2">
                  <c:v>76.436631032565231</c:v>
                </c:pt>
                <c:pt idx="3">
                  <c:v>73.295038378975448</c:v>
                </c:pt>
                <c:pt idx="4">
                  <c:v>70.153445725385666</c:v>
                </c:pt>
                <c:pt idx="5">
                  <c:v>67.011853071795855</c:v>
                </c:pt>
                <c:pt idx="6">
                  <c:v>63.870260418206065</c:v>
                </c:pt>
                <c:pt idx="7">
                  <c:v>60.728667764616276</c:v>
                </c:pt>
                <c:pt idx="8">
                  <c:v>57.587075111026486</c:v>
                </c:pt>
                <c:pt idx="9">
                  <c:v>54.44548245743669</c:v>
                </c:pt>
                <c:pt idx="10">
                  <c:v>51.303889803846893</c:v>
                </c:pt>
                <c:pt idx="11">
                  <c:v>48.162297150257103</c:v>
                </c:pt>
                <c:pt idx="12">
                  <c:v>45.020704496667314</c:v>
                </c:pt>
                <c:pt idx="13">
                  <c:v>41.879111843077517</c:v>
                </c:pt>
                <c:pt idx="14">
                  <c:v>38.73751918948772</c:v>
                </c:pt>
                <c:pt idx="15">
                  <c:v>35.595926535897931</c:v>
                </c:pt>
                <c:pt idx="16">
                  <c:v>32.454333882308134</c:v>
                </c:pt>
                <c:pt idx="17">
                  <c:v>29.312741228718345</c:v>
                </c:pt>
                <c:pt idx="18">
                  <c:v>26.171148575128552</c:v>
                </c:pt>
                <c:pt idx="19">
                  <c:v>23.029555921538758</c:v>
                </c:pt>
                <c:pt idx="20">
                  <c:v>19.887963267948965</c:v>
                </c:pt>
              </c:numCache>
            </c:numRef>
          </c:xVal>
          <c:yVal>
            <c:numRef>
              <c:f>'8ga (2)'!$E$4:$E$24</c:f>
              <c:numCache>
                <c:formatCode>0.00</c:formatCode>
                <c:ptCount val="21"/>
                <c:pt idx="0">
                  <c:v>1.8</c:v>
                </c:pt>
                <c:pt idx="1">
                  <c:v>1.7666666666666666</c:v>
                </c:pt>
                <c:pt idx="2">
                  <c:v>1.7</c:v>
                </c:pt>
                <c:pt idx="3">
                  <c:v>1.6333333333333333</c:v>
                </c:pt>
                <c:pt idx="4">
                  <c:v>1.5333333333333332</c:v>
                </c:pt>
                <c:pt idx="5">
                  <c:v>1.4666666666666668</c:v>
                </c:pt>
                <c:pt idx="6">
                  <c:v>1.4</c:v>
                </c:pt>
                <c:pt idx="7">
                  <c:v>1.3666666666666667</c:v>
                </c:pt>
                <c:pt idx="8">
                  <c:v>1.2666666666666666</c:v>
                </c:pt>
                <c:pt idx="9">
                  <c:v>1.2333333333333334</c:v>
                </c:pt>
                <c:pt idx="10">
                  <c:v>1.1666666666666667</c:v>
                </c:pt>
                <c:pt idx="11">
                  <c:v>1.1000000000000001</c:v>
                </c:pt>
                <c:pt idx="12">
                  <c:v>1</c:v>
                </c:pt>
                <c:pt idx="13">
                  <c:v>0.96666666666666667</c:v>
                </c:pt>
                <c:pt idx="14">
                  <c:v>0.9</c:v>
                </c:pt>
                <c:pt idx="15">
                  <c:v>0.83333333333333337</c:v>
                </c:pt>
                <c:pt idx="16">
                  <c:v>0.76666666666666672</c:v>
                </c:pt>
                <c:pt idx="17">
                  <c:v>0.7</c:v>
                </c:pt>
                <c:pt idx="18">
                  <c:v>0.6</c:v>
                </c:pt>
                <c:pt idx="19">
                  <c:v>0.53333333333333333</c:v>
                </c:pt>
                <c:pt idx="20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4F-4547-903E-2E26DF51C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0377960"/>
        <c:axId val="810380584"/>
      </c:scatterChart>
      <c:valAx>
        <c:axId val="810377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380584"/>
        <c:crosses val="autoZero"/>
        <c:crossBetween val="midCat"/>
      </c:valAx>
      <c:valAx>
        <c:axId val="810380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377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4.8365266841644793E-2"/>
                  <c:y val="0.3076906532516768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'316'!$A$24:$A$26</c:f>
              <c:numCache>
                <c:formatCode>0</c:formatCode>
                <c:ptCount val="3"/>
                <c:pt idx="0">
                  <c:v>5</c:v>
                </c:pt>
                <c:pt idx="1">
                  <c:v>4</c:v>
                </c:pt>
                <c:pt idx="2">
                  <c:v>3</c:v>
                </c:pt>
              </c:numCache>
            </c:numRef>
          </c:xVal>
          <c:yVal>
            <c:numRef>
              <c:f>'316'!$F$24:$F$26</c:f>
              <c:numCache>
                <c:formatCode>General</c:formatCode>
                <c:ptCount val="3"/>
                <c:pt idx="0">
                  <c:v>0.2486838860283398</c:v>
                </c:pt>
                <c:pt idx="1">
                  <c:v>0.2303302220610591</c:v>
                </c:pt>
                <c:pt idx="2">
                  <c:v>0.20386961455552638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77-4516-9F63-12F9DB42A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868648"/>
        <c:axId val="864869960"/>
      </c:scatterChart>
      <c:valAx>
        <c:axId val="864868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869960"/>
        <c:crosses val="autoZero"/>
        <c:crossBetween val="midCat"/>
      </c:valAx>
      <c:valAx>
        <c:axId val="86486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868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34252493438320208"/>
                  <c:y val="2.273148148148148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'316'!$C$4:$C$23</c:f>
              <c:numCache>
                <c:formatCode>0.00</c:formatCode>
                <c:ptCount val="20"/>
                <c:pt idx="0">
                  <c:v>83.339816339744829</c:v>
                </c:pt>
                <c:pt idx="1">
                  <c:v>80.198223686155032</c:v>
                </c:pt>
                <c:pt idx="2">
                  <c:v>77.056631032565235</c:v>
                </c:pt>
                <c:pt idx="3">
                  <c:v>73.915038378975439</c:v>
                </c:pt>
                <c:pt idx="4">
                  <c:v>70.773445725385656</c:v>
                </c:pt>
                <c:pt idx="5">
                  <c:v>67.631853071795859</c:v>
                </c:pt>
                <c:pt idx="6">
                  <c:v>64.490260418206063</c:v>
                </c:pt>
                <c:pt idx="7">
                  <c:v>61.348667764616273</c:v>
                </c:pt>
                <c:pt idx="8">
                  <c:v>58.207075111026484</c:v>
                </c:pt>
                <c:pt idx="9">
                  <c:v>55.065482457436687</c:v>
                </c:pt>
                <c:pt idx="10">
                  <c:v>51.92388980384689</c:v>
                </c:pt>
                <c:pt idx="11">
                  <c:v>48.782297150257101</c:v>
                </c:pt>
                <c:pt idx="12">
                  <c:v>45.640704496667311</c:v>
                </c:pt>
                <c:pt idx="13">
                  <c:v>42.499111843077515</c:v>
                </c:pt>
                <c:pt idx="14">
                  <c:v>39.357519189487718</c:v>
                </c:pt>
                <c:pt idx="15">
                  <c:v>36.215926535897928</c:v>
                </c:pt>
                <c:pt idx="16">
                  <c:v>33.074333882308139</c:v>
                </c:pt>
                <c:pt idx="17">
                  <c:v>29.932741228718346</c:v>
                </c:pt>
                <c:pt idx="18">
                  <c:v>26.791148575128553</c:v>
                </c:pt>
                <c:pt idx="19">
                  <c:v>23.649555921538759</c:v>
                </c:pt>
              </c:numCache>
            </c:numRef>
          </c:xVal>
          <c:yVal>
            <c:numRef>
              <c:f>'316'!$E$4:$E$23</c:f>
              <c:numCache>
                <c:formatCode>General</c:formatCode>
                <c:ptCount val="20"/>
                <c:pt idx="0">
                  <c:v>1.9000000000000001</c:v>
                </c:pt>
                <c:pt idx="1">
                  <c:v>1.8</c:v>
                </c:pt>
                <c:pt idx="2">
                  <c:v>1.7</c:v>
                </c:pt>
                <c:pt idx="3">
                  <c:v>1.7000000000000002</c:v>
                </c:pt>
                <c:pt idx="4">
                  <c:v>1.6</c:v>
                </c:pt>
                <c:pt idx="5">
                  <c:v>1.5</c:v>
                </c:pt>
                <c:pt idx="6">
                  <c:v>1.4</c:v>
                </c:pt>
                <c:pt idx="7">
                  <c:v>1.4000000000000001</c:v>
                </c:pt>
                <c:pt idx="8">
                  <c:v>1.3</c:v>
                </c:pt>
                <c:pt idx="9">
                  <c:v>1.3</c:v>
                </c:pt>
                <c:pt idx="10">
                  <c:v>1.2000000000000002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</c:v>
                </c:pt>
                <c:pt idx="14">
                  <c:v>0.9</c:v>
                </c:pt>
                <c:pt idx="15">
                  <c:v>0.8</c:v>
                </c:pt>
                <c:pt idx="16">
                  <c:v>0.7</c:v>
                </c:pt>
                <c:pt idx="17">
                  <c:v>0.7</c:v>
                </c:pt>
                <c:pt idx="18">
                  <c:v>0.6</c:v>
                </c:pt>
                <c:pt idx="19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5F-45B3-B812-1838305F7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466304"/>
        <c:axId val="676466632"/>
      </c:scatterChart>
      <c:valAx>
        <c:axId val="67646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66632"/>
        <c:crosses val="autoZero"/>
        <c:crossBetween val="midCat"/>
      </c:valAx>
      <c:valAx>
        <c:axId val="676466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66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18034629108315697"/>
                  <c:y val="0.3897893171660002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'1-2 (2)'!$C$15:$C$24</c:f>
              <c:numCache>
                <c:formatCode>0.00</c:formatCode>
                <c:ptCount val="10"/>
                <c:pt idx="0">
                  <c:v>56.682297150257099</c:v>
                </c:pt>
                <c:pt idx="1">
                  <c:v>53.540704496667317</c:v>
                </c:pt>
                <c:pt idx="2">
                  <c:v>50.39911184307752</c:v>
                </c:pt>
                <c:pt idx="3">
                  <c:v>47.257519189487724</c:v>
                </c:pt>
                <c:pt idx="4">
                  <c:v>44.115926535897927</c:v>
                </c:pt>
                <c:pt idx="5">
                  <c:v>40.974333882308137</c:v>
                </c:pt>
                <c:pt idx="6">
                  <c:v>37.832741228718348</c:v>
                </c:pt>
                <c:pt idx="7">
                  <c:v>34.691148575128551</c:v>
                </c:pt>
                <c:pt idx="8">
                  <c:v>31.549555921538758</c:v>
                </c:pt>
                <c:pt idx="9">
                  <c:v>28.407963267948965</c:v>
                </c:pt>
              </c:numCache>
            </c:numRef>
          </c:xVal>
          <c:yVal>
            <c:numRef>
              <c:f>'1-2 (2)'!$E$15:$E$24</c:f>
              <c:numCache>
                <c:formatCode>0.00</c:formatCode>
                <c:ptCount val="10"/>
                <c:pt idx="0">
                  <c:v>3.8666666666666667</c:v>
                </c:pt>
                <c:pt idx="1">
                  <c:v>3.6666666666666665</c:v>
                </c:pt>
                <c:pt idx="2">
                  <c:v>3.4333333333333336</c:v>
                </c:pt>
                <c:pt idx="3">
                  <c:v>2.7333333333333334</c:v>
                </c:pt>
                <c:pt idx="4">
                  <c:v>3.4666666666666668</c:v>
                </c:pt>
                <c:pt idx="5">
                  <c:v>18.233333333333334</c:v>
                </c:pt>
                <c:pt idx="6">
                  <c:v>16.333333333333332</c:v>
                </c:pt>
                <c:pt idx="7">
                  <c:v>14.333333333333334</c:v>
                </c:pt>
                <c:pt idx="8">
                  <c:v>12.133333333333333</c:v>
                </c:pt>
                <c:pt idx="9">
                  <c:v>9.9333333333333336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38-4FB2-B266-D71E80B7D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35040"/>
        <c:axId val="674927824"/>
      </c:scatterChart>
      <c:valAx>
        <c:axId val="674935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927824"/>
        <c:crosses val="autoZero"/>
        <c:crossBetween val="midCat"/>
      </c:valAx>
      <c:valAx>
        <c:axId val="67492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935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17759208223972009"/>
                  <c:y val="0.3695552639253426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'1-2 (2)'!$C$4:$C$19</c:f>
              <c:numCache>
                <c:formatCode>0.00</c:formatCode>
                <c:ptCount val="16"/>
                <c:pt idx="0">
                  <c:v>91.239816339744834</c:v>
                </c:pt>
                <c:pt idx="1">
                  <c:v>88.098223686155038</c:v>
                </c:pt>
                <c:pt idx="2">
                  <c:v>84.956631032565241</c:v>
                </c:pt>
                <c:pt idx="3">
                  <c:v>81.815038378975444</c:v>
                </c:pt>
                <c:pt idx="4">
                  <c:v>78.673445725385662</c:v>
                </c:pt>
                <c:pt idx="5">
                  <c:v>75.531853071795865</c:v>
                </c:pt>
                <c:pt idx="6">
                  <c:v>72.390260418206068</c:v>
                </c:pt>
                <c:pt idx="7">
                  <c:v>69.248667764616272</c:v>
                </c:pt>
                <c:pt idx="8">
                  <c:v>66.107075111026489</c:v>
                </c:pt>
                <c:pt idx="9">
                  <c:v>62.965482457436693</c:v>
                </c:pt>
                <c:pt idx="10">
                  <c:v>59.823889803846896</c:v>
                </c:pt>
                <c:pt idx="11">
                  <c:v>56.682297150257099</c:v>
                </c:pt>
                <c:pt idx="12">
                  <c:v>53.540704496667317</c:v>
                </c:pt>
                <c:pt idx="13">
                  <c:v>50.39911184307752</c:v>
                </c:pt>
                <c:pt idx="14">
                  <c:v>47.257519189487724</c:v>
                </c:pt>
                <c:pt idx="15">
                  <c:v>44.115926535897927</c:v>
                </c:pt>
              </c:numCache>
            </c:numRef>
          </c:xVal>
          <c:yVal>
            <c:numRef>
              <c:f>'1-2 (2)'!$E$4:$E$19</c:f>
              <c:numCache>
                <c:formatCode>0.00</c:formatCode>
                <c:ptCount val="16"/>
                <c:pt idx="0">
                  <c:v>4.0999999999999996</c:v>
                </c:pt>
                <c:pt idx="1">
                  <c:v>3.9333333333333336</c:v>
                </c:pt>
                <c:pt idx="2">
                  <c:v>3.8666666666666667</c:v>
                </c:pt>
                <c:pt idx="3">
                  <c:v>3.7666666666666666</c:v>
                </c:pt>
                <c:pt idx="4">
                  <c:v>3.6333333333333333</c:v>
                </c:pt>
                <c:pt idx="5">
                  <c:v>3.5</c:v>
                </c:pt>
                <c:pt idx="6">
                  <c:v>3.3666666666666667</c:v>
                </c:pt>
                <c:pt idx="7">
                  <c:v>3.2333333333333334</c:v>
                </c:pt>
                <c:pt idx="8">
                  <c:v>3.1</c:v>
                </c:pt>
                <c:pt idx="9">
                  <c:v>2.9666666666666668</c:v>
                </c:pt>
                <c:pt idx="10">
                  <c:v>2.8333333333333335</c:v>
                </c:pt>
                <c:pt idx="11">
                  <c:v>3.8666666666666667</c:v>
                </c:pt>
                <c:pt idx="12">
                  <c:v>3.6666666666666665</c:v>
                </c:pt>
                <c:pt idx="13">
                  <c:v>3.4333333333333336</c:v>
                </c:pt>
                <c:pt idx="14">
                  <c:v>2.7333333333333334</c:v>
                </c:pt>
                <c:pt idx="15">
                  <c:v>3.4666666666666668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71-42E2-BBFB-C624023B9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0377960"/>
        <c:axId val="810380584"/>
      </c:scatterChart>
      <c:valAx>
        <c:axId val="810377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380584"/>
        <c:crosses val="autoZero"/>
        <c:crossBetween val="midCat"/>
      </c:valAx>
      <c:valAx>
        <c:axId val="810380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377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-0.18034629108315697"/>
                  <c:y val="0.3897893171660002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'1-2'!$A$20:$A$24</c:f>
              <c:numCache>
                <c:formatCode>0</c:formatCode>
                <c:ptCount val="5"/>
                <c:pt idx="0">
                  <c:v>9</c:v>
                </c:pt>
                <c:pt idx="1">
                  <c:v>8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</c:numCache>
            </c:numRef>
          </c:xVal>
          <c:yVal>
            <c:numRef>
              <c:f>'1-2'!$F$20:$F$24</c:f>
              <c:numCache>
                <c:formatCode>General</c:formatCode>
                <c:ptCount val="5"/>
                <c:pt idx="0">
                  <c:v>0.44662104947364523</c:v>
                </c:pt>
                <c:pt idx="1">
                  <c:v>0.43348696043074386</c:v>
                </c:pt>
                <c:pt idx="2">
                  <c:v>0.41509147409215291</c:v>
                </c:pt>
                <c:pt idx="3">
                  <c:v>0.38669324000440547</c:v>
                </c:pt>
                <c:pt idx="4">
                  <c:v>0.35201397247941435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23-4F5E-9794-FF5DEAC5F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35040"/>
        <c:axId val="674927824"/>
      </c:scatterChart>
      <c:valAx>
        <c:axId val="674935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927824"/>
        <c:crosses val="autoZero"/>
        <c:crossBetween val="midCat"/>
      </c:valAx>
      <c:valAx>
        <c:axId val="67492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935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3.8948162729658793E-2"/>
                  <c:y val="0.2462572907553222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'1-2'!$C$4:$C$19</c:f>
              <c:numCache>
                <c:formatCode>0.00</c:formatCode>
                <c:ptCount val="16"/>
                <c:pt idx="0">
                  <c:v>91.239816339744834</c:v>
                </c:pt>
                <c:pt idx="1">
                  <c:v>88.098223686155038</c:v>
                </c:pt>
                <c:pt idx="2">
                  <c:v>84.956631032565241</c:v>
                </c:pt>
                <c:pt idx="3">
                  <c:v>81.815038378975444</c:v>
                </c:pt>
                <c:pt idx="4">
                  <c:v>78.673445725385662</c:v>
                </c:pt>
                <c:pt idx="5">
                  <c:v>75.531853071795865</c:v>
                </c:pt>
                <c:pt idx="6">
                  <c:v>72.390260418206068</c:v>
                </c:pt>
                <c:pt idx="7">
                  <c:v>69.248667764616272</c:v>
                </c:pt>
                <c:pt idx="8">
                  <c:v>66.107075111026489</c:v>
                </c:pt>
                <c:pt idx="9">
                  <c:v>62.965482457436693</c:v>
                </c:pt>
                <c:pt idx="10">
                  <c:v>59.823889803846896</c:v>
                </c:pt>
                <c:pt idx="11">
                  <c:v>56.682297150257099</c:v>
                </c:pt>
                <c:pt idx="12">
                  <c:v>53.540704496667317</c:v>
                </c:pt>
                <c:pt idx="13">
                  <c:v>50.39911184307752</c:v>
                </c:pt>
                <c:pt idx="14">
                  <c:v>47.257519189487724</c:v>
                </c:pt>
                <c:pt idx="15">
                  <c:v>44.115926535897927</c:v>
                </c:pt>
              </c:numCache>
            </c:numRef>
          </c:xVal>
          <c:yVal>
            <c:numRef>
              <c:f>'1-2'!$E$4:$E$19</c:f>
              <c:numCache>
                <c:formatCode>General</c:formatCode>
                <c:ptCount val="16"/>
                <c:pt idx="0">
                  <c:v>4.0999999999999996</c:v>
                </c:pt>
                <c:pt idx="1">
                  <c:v>4</c:v>
                </c:pt>
                <c:pt idx="2">
                  <c:v>3.9</c:v>
                </c:pt>
                <c:pt idx="3">
                  <c:v>3.8000000000000003</c:v>
                </c:pt>
                <c:pt idx="4">
                  <c:v>3.7</c:v>
                </c:pt>
                <c:pt idx="5">
                  <c:v>3.5</c:v>
                </c:pt>
                <c:pt idx="6">
                  <c:v>3.4</c:v>
                </c:pt>
                <c:pt idx="7">
                  <c:v>3.3000000000000003</c:v>
                </c:pt>
                <c:pt idx="8">
                  <c:v>3.1</c:v>
                </c:pt>
                <c:pt idx="9">
                  <c:v>3</c:v>
                </c:pt>
                <c:pt idx="10">
                  <c:v>2.9</c:v>
                </c:pt>
                <c:pt idx="11">
                  <c:v>3.9</c:v>
                </c:pt>
                <c:pt idx="12">
                  <c:v>3.7</c:v>
                </c:pt>
                <c:pt idx="13">
                  <c:v>3.5</c:v>
                </c:pt>
                <c:pt idx="14">
                  <c:v>2.8000000000000003</c:v>
                </c:pt>
                <c:pt idx="15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55-4F15-838C-E860D5409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0377960"/>
        <c:axId val="810380584"/>
      </c:scatterChart>
      <c:valAx>
        <c:axId val="810377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380584"/>
        <c:crosses val="autoZero"/>
        <c:crossBetween val="midCat"/>
      </c:valAx>
      <c:valAx>
        <c:axId val="810380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377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'20ga'!$D$3</c:f>
              <c:strCache>
                <c:ptCount val="1"/>
                <c:pt idx="0">
                  <c:v>Time (CS)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4.8963493869016723E-2"/>
                  <c:y val="-4.051387792687825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'20ga'!$A$4:$A$27</c:f>
              <c:numCache>
                <c:formatCode>0</c:formatCode>
                <c:ptCount val="24"/>
                <c:pt idx="0">
                  <c:v>25</c:v>
                </c:pt>
                <c:pt idx="1">
                  <c:v>24</c:v>
                </c:pt>
                <c:pt idx="2">
                  <c:v>23</c:v>
                </c:pt>
                <c:pt idx="3">
                  <c:v>22</c:v>
                </c:pt>
                <c:pt idx="4">
                  <c:v>21</c:v>
                </c:pt>
                <c:pt idx="5">
                  <c:v>20</c:v>
                </c:pt>
                <c:pt idx="6">
                  <c:v>19</c:v>
                </c:pt>
                <c:pt idx="7">
                  <c:v>18</c:v>
                </c:pt>
                <c:pt idx="8">
                  <c:v>17</c:v>
                </c:pt>
                <c:pt idx="9">
                  <c:v>16</c:v>
                </c:pt>
                <c:pt idx="10">
                  <c:v>15</c:v>
                </c:pt>
                <c:pt idx="11">
                  <c:v>14</c:v>
                </c:pt>
                <c:pt idx="12">
                  <c:v>13</c:v>
                </c:pt>
                <c:pt idx="13">
                  <c:v>12</c:v>
                </c:pt>
                <c:pt idx="14">
                  <c:v>11</c:v>
                </c:pt>
                <c:pt idx="15">
                  <c:v>10</c:v>
                </c:pt>
                <c:pt idx="16">
                  <c:v>9</c:v>
                </c:pt>
                <c:pt idx="17">
                  <c:v>8</c:v>
                </c:pt>
                <c:pt idx="18">
                  <c:v>7</c:v>
                </c:pt>
                <c:pt idx="19">
                  <c:v>6</c:v>
                </c:pt>
                <c:pt idx="20">
                  <c:v>5</c:v>
                </c:pt>
                <c:pt idx="21">
                  <c:v>4</c:v>
                </c:pt>
                <c:pt idx="22">
                  <c:v>3</c:v>
                </c:pt>
                <c:pt idx="23">
                  <c:v>2</c:v>
                </c:pt>
              </c:numCache>
            </c:numRef>
          </c:xVal>
          <c:yVal>
            <c:numRef>
              <c:f>'20ga'!$D$4:$D$27</c:f>
              <c:numCache>
                <c:formatCode>General</c:formatCode>
                <c:ptCount val="24"/>
                <c:pt idx="0">
                  <c:v>23</c:v>
                </c:pt>
                <c:pt idx="1">
                  <c:v>22</c:v>
                </c:pt>
                <c:pt idx="2">
                  <c:v>21</c:v>
                </c:pt>
                <c:pt idx="3">
                  <c:v>20</c:v>
                </c:pt>
                <c:pt idx="4">
                  <c:v>21</c:v>
                </c:pt>
                <c:pt idx="5">
                  <c:v>21</c:v>
                </c:pt>
                <c:pt idx="6">
                  <c:v>20</c:v>
                </c:pt>
                <c:pt idx="7">
                  <c:v>20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  <c:pt idx="11">
                  <c:v>18</c:v>
                </c:pt>
                <c:pt idx="12">
                  <c:v>17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13</c:v>
                </c:pt>
                <c:pt idx="19">
                  <c:v>13</c:v>
                </c:pt>
                <c:pt idx="20">
                  <c:v>11</c:v>
                </c:pt>
                <c:pt idx="21">
                  <c:v>10</c:v>
                </c:pt>
                <c:pt idx="22">
                  <c:v>9</c:v>
                </c:pt>
                <c:pt idx="23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BA-411C-A135-F9D729517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361976"/>
        <c:axId val="728368208"/>
      </c:scatterChart>
      <c:valAx>
        <c:axId val="728361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368208"/>
        <c:crosses val="autoZero"/>
        <c:crossBetween val="midCat"/>
      </c:valAx>
      <c:valAx>
        <c:axId val="72836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361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16ga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'16ga'!$D$3</c:f>
              <c:strCache>
                <c:ptCount val="1"/>
                <c:pt idx="0">
                  <c:v>Time (CS)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9.6756313752321396E-2"/>
                  <c:y val="-5.9062644492540992E-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'16ga'!$A$4:$A$26</c:f>
              <c:numCache>
                <c:formatCode>0</c:formatCode>
                <c:ptCount val="23"/>
                <c:pt idx="0">
                  <c:v>25</c:v>
                </c:pt>
                <c:pt idx="1">
                  <c:v>24</c:v>
                </c:pt>
                <c:pt idx="2">
                  <c:v>23</c:v>
                </c:pt>
                <c:pt idx="3">
                  <c:v>22</c:v>
                </c:pt>
                <c:pt idx="4">
                  <c:v>21</c:v>
                </c:pt>
                <c:pt idx="5">
                  <c:v>20</c:v>
                </c:pt>
                <c:pt idx="6">
                  <c:v>19</c:v>
                </c:pt>
                <c:pt idx="7">
                  <c:v>18</c:v>
                </c:pt>
                <c:pt idx="8">
                  <c:v>17</c:v>
                </c:pt>
                <c:pt idx="9">
                  <c:v>16</c:v>
                </c:pt>
                <c:pt idx="10">
                  <c:v>15</c:v>
                </c:pt>
                <c:pt idx="11">
                  <c:v>14</c:v>
                </c:pt>
                <c:pt idx="12">
                  <c:v>13</c:v>
                </c:pt>
                <c:pt idx="13">
                  <c:v>12</c:v>
                </c:pt>
                <c:pt idx="14">
                  <c:v>11</c:v>
                </c:pt>
                <c:pt idx="15">
                  <c:v>10</c:v>
                </c:pt>
                <c:pt idx="16">
                  <c:v>9</c:v>
                </c:pt>
                <c:pt idx="17">
                  <c:v>8</c:v>
                </c:pt>
                <c:pt idx="18">
                  <c:v>7</c:v>
                </c:pt>
                <c:pt idx="19">
                  <c:v>6</c:v>
                </c:pt>
                <c:pt idx="20">
                  <c:v>5</c:v>
                </c:pt>
                <c:pt idx="21">
                  <c:v>4</c:v>
                </c:pt>
                <c:pt idx="22">
                  <c:v>3</c:v>
                </c:pt>
              </c:numCache>
            </c:numRef>
          </c:xVal>
          <c:yVal>
            <c:numRef>
              <c:f>'16ga'!$D$4:$D$26</c:f>
              <c:numCache>
                <c:formatCode>General</c:formatCode>
                <c:ptCount val="23"/>
                <c:pt idx="0">
                  <c:v>27</c:v>
                </c:pt>
                <c:pt idx="1">
                  <c:v>26</c:v>
                </c:pt>
                <c:pt idx="2">
                  <c:v>24</c:v>
                </c:pt>
                <c:pt idx="3">
                  <c:v>23</c:v>
                </c:pt>
                <c:pt idx="4">
                  <c:v>23</c:v>
                </c:pt>
                <c:pt idx="5">
                  <c:v>23</c:v>
                </c:pt>
                <c:pt idx="6">
                  <c:v>22</c:v>
                </c:pt>
                <c:pt idx="7">
                  <c:v>21</c:v>
                </c:pt>
                <c:pt idx="8">
                  <c:v>20</c:v>
                </c:pt>
                <c:pt idx="9">
                  <c:v>19</c:v>
                </c:pt>
                <c:pt idx="10">
                  <c:v>18</c:v>
                </c:pt>
                <c:pt idx="11">
                  <c:v>17</c:v>
                </c:pt>
                <c:pt idx="12">
                  <c:v>16</c:v>
                </c:pt>
                <c:pt idx="13">
                  <c:v>16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14</c:v>
                </c:pt>
                <c:pt idx="18">
                  <c:v>13</c:v>
                </c:pt>
                <c:pt idx="19">
                  <c:v>11</c:v>
                </c:pt>
                <c:pt idx="20">
                  <c:v>11</c:v>
                </c:pt>
                <c:pt idx="21">
                  <c:v>10</c:v>
                </c:pt>
                <c:pt idx="22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E6-4002-85C0-3DB1F5FD1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6922424"/>
        <c:axId val="636916520"/>
      </c:scatterChart>
      <c:valAx>
        <c:axId val="636922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16520"/>
        <c:crosses val="autoZero"/>
        <c:crossBetween val="midCat"/>
      </c:valAx>
      <c:valAx>
        <c:axId val="636916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922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12ga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'12ga'!$D$3</c:f>
              <c:strCache>
                <c:ptCount val="1"/>
                <c:pt idx="0">
                  <c:v>Time (CS)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9.5190569614997014E-2"/>
                  <c:y val="5.1875868457619263E-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'12ga'!$A$4:$A$25</c:f>
              <c:numCache>
                <c:formatCode>0</c:formatCode>
                <c:ptCount val="22"/>
                <c:pt idx="0">
                  <c:v>25</c:v>
                </c:pt>
                <c:pt idx="1">
                  <c:v>24</c:v>
                </c:pt>
                <c:pt idx="2">
                  <c:v>23</c:v>
                </c:pt>
                <c:pt idx="3">
                  <c:v>22</c:v>
                </c:pt>
                <c:pt idx="4">
                  <c:v>21</c:v>
                </c:pt>
                <c:pt idx="5">
                  <c:v>20</c:v>
                </c:pt>
                <c:pt idx="6">
                  <c:v>19</c:v>
                </c:pt>
                <c:pt idx="7">
                  <c:v>18</c:v>
                </c:pt>
                <c:pt idx="8">
                  <c:v>17</c:v>
                </c:pt>
                <c:pt idx="9">
                  <c:v>16</c:v>
                </c:pt>
                <c:pt idx="10">
                  <c:v>15</c:v>
                </c:pt>
                <c:pt idx="11">
                  <c:v>14</c:v>
                </c:pt>
                <c:pt idx="12">
                  <c:v>13</c:v>
                </c:pt>
                <c:pt idx="13">
                  <c:v>12</c:v>
                </c:pt>
                <c:pt idx="14">
                  <c:v>11</c:v>
                </c:pt>
                <c:pt idx="15">
                  <c:v>10</c:v>
                </c:pt>
                <c:pt idx="16">
                  <c:v>9</c:v>
                </c:pt>
                <c:pt idx="17">
                  <c:v>8</c:v>
                </c:pt>
                <c:pt idx="18">
                  <c:v>7</c:v>
                </c:pt>
                <c:pt idx="19">
                  <c:v>6</c:v>
                </c:pt>
                <c:pt idx="20">
                  <c:v>5</c:v>
                </c:pt>
                <c:pt idx="21">
                  <c:v>4</c:v>
                </c:pt>
              </c:numCache>
            </c:numRef>
          </c:xVal>
          <c:yVal>
            <c:numRef>
              <c:f>'12ga'!$D$4:$D$25</c:f>
              <c:numCache>
                <c:formatCode>General</c:formatCode>
                <c:ptCount val="22"/>
                <c:pt idx="0">
                  <c:v>39</c:v>
                </c:pt>
                <c:pt idx="1">
                  <c:v>38</c:v>
                </c:pt>
                <c:pt idx="2">
                  <c:v>36</c:v>
                </c:pt>
                <c:pt idx="3">
                  <c:v>35</c:v>
                </c:pt>
                <c:pt idx="4">
                  <c:v>34</c:v>
                </c:pt>
                <c:pt idx="5">
                  <c:v>32</c:v>
                </c:pt>
                <c:pt idx="6">
                  <c:v>31</c:v>
                </c:pt>
                <c:pt idx="7">
                  <c:v>30</c:v>
                </c:pt>
                <c:pt idx="8">
                  <c:v>27</c:v>
                </c:pt>
                <c:pt idx="9">
                  <c:v>27</c:v>
                </c:pt>
                <c:pt idx="10">
                  <c:v>25</c:v>
                </c:pt>
                <c:pt idx="11">
                  <c:v>24</c:v>
                </c:pt>
                <c:pt idx="12">
                  <c:v>22</c:v>
                </c:pt>
                <c:pt idx="13">
                  <c:v>21</c:v>
                </c:pt>
                <c:pt idx="14">
                  <c:v>19</c:v>
                </c:pt>
                <c:pt idx="15">
                  <c:v>18</c:v>
                </c:pt>
                <c:pt idx="16">
                  <c:v>17</c:v>
                </c:pt>
                <c:pt idx="17">
                  <c:v>15</c:v>
                </c:pt>
                <c:pt idx="18">
                  <c:v>14</c:v>
                </c:pt>
                <c:pt idx="19">
                  <c:v>12</c:v>
                </c:pt>
                <c:pt idx="20">
                  <c:v>11</c:v>
                </c:pt>
                <c:pt idx="21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F-4EBB-8CC9-47BCBF57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408552"/>
        <c:axId val="728409208"/>
      </c:scatterChart>
      <c:valAx>
        <c:axId val="72840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09208"/>
        <c:crosses val="autoZero"/>
        <c:crossBetween val="midCat"/>
      </c:valAx>
      <c:valAx>
        <c:axId val="728409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08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8ga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'8ga'!$D$3</c:f>
              <c:strCache>
                <c:ptCount val="1"/>
                <c:pt idx="0">
                  <c:v>Time (CS)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8.1067388700306262E-2"/>
                  <c:y val="-8.0297655100804704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'8ga'!$A$4:$A$24</c:f>
              <c:numCache>
                <c:formatCode>0</c:formatCode>
                <c:ptCount val="21"/>
                <c:pt idx="0">
                  <c:v>25</c:v>
                </c:pt>
                <c:pt idx="1">
                  <c:v>24</c:v>
                </c:pt>
                <c:pt idx="2">
                  <c:v>23</c:v>
                </c:pt>
                <c:pt idx="3">
                  <c:v>22</c:v>
                </c:pt>
                <c:pt idx="4">
                  <c:v>21</c:v>
                </c:pt>
                <c:pt idx="5">
                  <c:v>20</c:v>
                </c:pt>
                <c:pt idx="6">
                  <c:v>19</c:v>
                </c:pt>
                <c:pt idx="7">
                  <c:v>18</c:v>
                </c:pt>
                <c:pt idx="8">
                  <c:v>17</c:v>
                </c:pt>
                <c:pt idx="9">
                  <c:v>16</c:v>
                </c:pt>
                <c:pt idx="10">
                  <c:v>15</c:v>
                </c:pt>
                <c:pt idx="11">
                  <c:v>14</c:v>
                </c:pt>
                <c:pt idx="12">
                  <c:v>13</c:v>
                </c:pt>
                <c:pt idx="13">
                  <c:v>12</c:v>
                </c:pt>
                <c:pt idx="14">
                  <c:v>11</c:v>
                </c:pt>
                <c:pt idx="15">
                  <c:v>10</c:v>
                </c:pt>
                <c:pt idx="16">
                  <c:v>9</c:v>
                </c:pt>
                <c:pt idx="17">
                  <c:v>8</c:v>
                </c:pt>
                <c:pt idx="18">
                  <c:v>7</c:v>
                </c:pt>
                <c:pt idx="19">
                  <c:v>6</c:v>
                </c:pt>
                <c:pt idx="20">
                  <c:v>5</c:v>
                </c:pt>
              </c:numCache>
            </c:numRef>
          </c:xVal>
          <c:yVal>
            <c:numRef>
              <c:f>'8ga'!$D$4:$D$24</c:f>
              <c:numCache>
                <c:formatCode>General</c:formatCode>
                <c:ptCount val="21"/>
                <c:pt idx="0">
                  <c:v>54</c:v>
                </c:pt>
                <c:pt idx="1">
                  <c:v>53</c:v>
                </c:pt>
                <c:pt idx="2">
                  <c:v>51</c:v>
                </c:pt>
                <c:pt idx="3">
                  <c:v>49</c:v>
                </c:pt>
                <c:pt idx="4">
                  <c:v>44</c:v>
                </c:pt>
                <c:pt idx="5">
                  <c:v>44</c:v>
                </c:pt>
                <c:pt idx="6">
                  <c:v>42</c:v>
                </c:pt>
                <c:pt idx="7">
                  <c:v>41</c:v>
                </c:pt>
                <c:pt idx="8">
                  <c:v>38</c:v>
                </c:pt>
                <c:pt idx="9">
                  <c:v>37</c:v>
                </c:pt>
                <c:pt idx="10">
                  <c:v>35</c:v>
                </c:pt>
                <c:pt idx="11">
                  <c:v>33</c:v>
                </c:pt>
                <c:pt idx="12">
                  <c:v>30</c:v>
                </c:pt>
                <c:pt idx="13">
                  <c:v>29</c:v>
                </c:pt>
                <c:pt idx="14">
                  <c:v>27</c:v>
                </c:pt>
                <c:pt idx="15">
                  <c:v>25</c:v>
                </c:pt>
                <c:pt idx="16">
                  <c:v>23</c:v>
                </c:pt>
                <c:pt idx="17">
                  <c:v>21</c:v>
                </c:pt>
                <c:pt idx="18">
                  <c:v>18</c:v>
                </c:pt>
                <c:pt idx="19">
                  <c:v>16</c:v>
                </c:pt>
                <c:pt idx="20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A7-4618-A4C5-417BFD29F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445616"/>
        <c:axId val="728446928"/>
      </c:scatterChart>
      <c:valAx>
        <c:axId val="728445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46928"/>
        <c:crosses val="autoZero"/>
        <c:crossBetween val="midCat"/>
      </c:valAx>
      <c:valAx>
        <c:axId val="72844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45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3-16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'316'!$D$3</c:f>
              <c:strCache>
                <c:ptCount val="1"/>
                <c:pt idx="0">
                  <c:v>Time (CS)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3.5052788345277065E-2"/>
                  <c:y val="6.211382113821137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'316'!$A$4:$A$23</c:f>
              <c:numCache>
                <c:formatCode>0</c:formatCode>
                <c:ptCount val="20"/>
                <c:pt idx="0">
                  <c:v>25</c:v>
                </c:pt>
                <c:pt idx="1">
                  <c:v>24</c:v>
                </c:pt>
                <c:pt idx="2">
                  <c:v>23</c:v>
                </c:pt>
                <c:pt idx="3">
                  <c:v>22</c:v>
                </c:pt>
                <c:pt idx="4">
                  <c:v>21</c:v>
                </c:pt>
                <c:pt idx="5">
                  <c:v>20</c:v>
                </c:pt>
                <c:pt idx="6">
                  <c:v>19</c:v>
                </c:pt>
                <c:pt idx="7">
                  <c:v>18</c:v>
                </c:pt>
                <c:pt idx="8">
                  <c:v>17</c:v>
                </c:pt>
                <c:pt idx="9">
                  <c:v>16</c:v>
                </c:pt>
                <c:pt idx="10">
                  <c:v>15</c:v>
                </c:pt>
                <c:pt idx="11">
                  <c:v>14</c:v>
                </c:pt>
                <c:pt idx="12">
                  <c:v>13</c:v>
                </c:pt>
                <c:pt idx="13">
                  <c:v>12</c:v>
                </c:pt>
                <c:pt idx="14">
                  <c:v>11</c:v>
                </c:pt>
                <c:pt idx="15">
                  <c:v>10</c:v>
                </c:pt>
                <c:pt idx="16">
                  <c:v>9</c:v>
                </c:pt>
                <c:pt idx="17">
                  <c:v>8</c:v>
                </c:pt>
                <c:pt idx="18">
                  <c:v>7</c:v>
                </c:pt>
                <c:pt idx="19">
                  <c:v>6</c:v>
                </c:pt>
              </c:numCache>
            </c:numRef>
          </c:xVal>
          <c:yVal>
            <c:numRef>
              <c:f>'316'!$D$4:$D$23</c:f>
              <c:numCache>
                <c:formatCode>General</c:formatCode>
                <c:ptCount val="20"/>
                <c:pt idx="0">
                  <c:v>56</c:v>
                </c:pt>
                <c:pt idx="1">
                  <c:v>53</c:v>
                </c:pt>
                <c:pt idx="2">
                  <c:v>51</c:v>
                </c:pt>
                <c:pt idx="3">
                  <c:v>50</c:v>
                </c:pt>
                <c:pt idx="4">
                  <c:v>48</c:v>
                </c:pt>
                <c:pt idx="5">
                  <c:v>45</c:v>
                </c:pt>
                <c:pt idx="6">
                  <c:v>42</c:v>
                </c:pt>
                <c:pt idx="7">
                  <c:v>41</c:v>
                </c:pt>
                <c:pt idx="8">
                  <c:v>39</c:v>
                </c:pt>
                <c:pt idx="9">
                  <c:v>37</c:v>
                </c:pt>
                <c:pt idx="10">
                  <c:v>34</c:v>
                </c:pt>
                <c:pt idx="11">
                  <c:v>33</c:v>
                </c:pt>
                <c:pt idx="12">
                  <c:v>31</c:v>
                </c:pt>
                <c:pt idx="13">
                  <c:v>28</c:v>
                </c:pt>
                <c:pt idx="14">
                  <c:v>25</c:v>
                </c:pt>
                <c:pt idx="15">
                  <c:v>24</c:v>
                </c:pt>
                <c:pt idx="16">
                  <c:v>21</c:v>
                </c:pt>
                <c:pt idx="17">
                  <c:v>19</c:v>
                </c:pt>
                <c:pt idx="18">
                  <c:v>17</c:v>
                </c:pt>
                <c:pt idx="19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3-4660-B1F3-7E17CFA13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741448"/>
        <c:axId val="627740464"/>
      </c:scatterChart>
      <c:valAx>
        <c:axId val="627741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740464"/>
        <c:crosses val="autoZero"/>
        <c:crossBetween val="midCat"/>
      </c:valAx>
      <c:valAx>
        <c:axId val="62774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741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282588766104784E-2"/>
          <c:y val="3.0587414100162944E-2"/>
          <c:w val="0.93448662725667941"/>
          <c:h val="0.69635127400849262"/>
        </c:manualLayout>
      </c:layout>
      <c:lineChart>
        <c:grouping val="standard"/>
        <c:varyColors val="0"/>
        <c:ser>
          <c:idx val="0"/>
          <c:order val="0"/>
          <c:tx>
            <c:strRef>
              <c:f>'Combined Data'!$B$1</c:f>
              <c:strCache>
                <c:ptCount val="1"/>
                <c:pt idx="0">
                  <c:v>22Ga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'Combined Data'!$B$2:$B$25</c:f>
              <c:numCache>
                <c:formatCode>General</c:formatCode>
                <c:ptCount val="24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13</c:v>
                </c:pt>
                <c:pt idx="5">
                  <c:v>13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17</c:v>
                </c:pt>
                <c:pt idx="12">
                  <c:v>18</c:v>
                </c:pt>
                <c:pt idx="13">
                  <c:v>18</c:v>
                </c:pt>
                <c:pt idx="14">
                  <c:v>18</c:v>
                </c:pt>
                <c:pt idx="15">
                  <c:v>18</c:v>
                </c:pt>
                <c:pt idx="16">
                  <c:v>20</c:v>
                </c:pt>
                <c:pt idx="17">
                  <c:v>20</c:v>
                </c:pt>
                <c:pt idx="18">
                  <c:v>21</c:v>
                </c:pt>
                <c:pt idx="19">
                  <c:v>21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8A-4686-8E46-2CB72597514C}"/>
            </c:ext>
          </c:extLst>
        </c:ser>
        <c:ser>
          <c:idx val="1"/>
          <c:order val="1"/>
          <c:tx>
            <c:strRef>
              <c:f>'Combined Data'!$C$1</c:f>
              <c:strCache>
                <c:ptCount val="1"/>
                <c:pt idx="0">
                  <c:v>20Ga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'Combined Data'!$C$2:$C$25</c:f>
              <c:numCache>
                <c:formatCode>General</c:formatCode>
                <c:ptCount val="24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13</c:v>
                </c:pt>
                <c:pt idx="5">
                  <c:v>13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17</c:v>
                </c:pt>
                <c:pt idx="12">
                  <c:v>18</c:v>
                </c:pt>
                <c:pt idx="13">
                  <c:v>18</c:v>
                </c:pt>
                <c:pt idx="14">
                  <c:v>18</c:v>
                </c:pt>
                <c:pt idx="15">
                  <c:v>18</c:v>
                </c:pt>
                <c:pt idx="16">
                  <c:v>20</c:v>
                </c:pt>
                <c:pt idx="17">
                  <c:v>20</c:v>
                </c:pt>
                <c:pt idx="18">
                  <c:v>21</c:v>
                </c:pt>
                <c:pt idx="19">
                  <c:v>21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8A-4686-8E46-2CB72597514C}"/>
            </c:ext>
          </c:extLst>
        </c:ser>
        <c:ser>
          <c:idx val="2"/>
          <c:order val="2"/>
          <c:tx>
            <c:strRef>
              <c:f>'Combined Data'!$D$1</c:f>
              <c:strCache>
                <c:ptCount val="1"/>
                <c:pt idx="0">
                  <c:v>18Ga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val>
            <c:numRef>
              <c:f>'Combined Data'!$D$2:$D$25</c:f>
              <c:numCache>
                <c:formatCode>General</c:formatCode>
                <c:ptCount val="24"/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14.5</c:v>
                </c:pt>
                <c:pt idx="7">
                  <c:v>15</c:v>
                </c:pt>
                <c:pt idx="8">
                  <c:v>15</c:v>
                </c:pt>
                <c:pt idx="9">
                  <c:v>15.5</c:v>
                </c:pt>
                <c:pt idx="10">
                  <c:v>16.5</c:v>
                </c:pt>
                <c:pt idx="11">
                  <c:v>16.5</c:v>
                </c:pt>
                <c:pt idx="12">
                  <c:v>17.5</c:v>
                </c:pt>
                <c:pt idx="13">
                  <c:v>18</c:v>
                </c:pt>
                <c:pt idx="14">
                  <c:v>18.5</c:v>
                </c:pt>
                <c:pt idx="15">
                  <c:v>19</c:v>
                </c:pt>
                <c:pt idx="16">
                  <c:v>20.5</c:v>
                </c:pt>
                <c:pt idx="17">
                  <c:v>21</c:v>
                </c:pt>
                <c:pt idx="18">
                  <c:v>22</c:v>
                </c:pt>
                <c:pt idx="19">
                  <c:v>22</c:v>
                </c:pt>
                <c:pt idx="20">
                  <c:v>21.5</c:v>
                </c:pt>
                <c:pt idx="21">
                  <c:v>22.5</c:v>
                </c:pt>
                <c:pt idx="22">
                  <c:v>24</c:v>
                </c:pt>
                <c:pt idx="23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8A-4686-8E46-2CB72597514C}"/>
            </c:ext>
          </c:extLst>
        </c:ser>
        <c:ser>
          <c:idx val="3"/>
          <c:order val="3"/>
          <c:tx>
            <c:strRef>
              <c:f>'Combined Data'!$E$1</c:f>
              <c:strCache>
                <c:ptCount val="1"/>
                <c:pt idx="0">
                  <c:v>16Ga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'Combined Data'!$E$2:$E$25</c:f>
              <c:numCache>
                <c:formatCode>General</c:formatCode>
                <c:ptCount val="24"/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11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16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23</c:v>
                </c:pt>
                <c:pt idx="20">
                  <c:v>23</c:v>
                </c:pt>
                <c:pt idx="21">
                  <c:v>24</c:v>
                </c:pt>
                <c:pt idx="22">
                  <c:v>26</c:v>
                </c:pt>
                <c:pt idx="23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8A-4686-8E46-2CB72597514C}"/>
            </c:ext>
          </c:extLst>
        </c:ser>
        <c:ser>
          <c:idx val="4"/>
          <c:order val="4"/>
          <c:tx>
            <c:strRef>
              <c:f>'Combined Data'!$F$1</c:f>
              <c:strCache>
                <c:ptCount val="1"/>
                <c:pt idx="0">
                  <c:v>14Ga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4388572974978151"/>
                  <c:y val="-0.1846448553808669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'Combined Data'!$F$2:$F$25</c:f>
              <c:numCache>
                <c:formatCode>General</c:formatCode>
                <c:ptCount val="24"/>
                <c:pt idx="2">
                  <c:v>9.5</c:v>
                </c:pt>
                <c:pt idx="3">
                  <c:v>11</c:v>
                </c:pt>
                <c:pt idx="4">
                  <c:v>11.5</c:v>
                </c:pt>
                <c:pt idx="5">
                  <c:v>13.5</c:v>
                </c:pt>
                <c:pt idx="6">
                  <c:v>14.5</c:v>
                </c:pt>
                <c:pt idx="7">
                  <c:v>16</c:v>
                </c:pt>
                <c:pt idx="8">
                  <c:v>16.5</c:v>
                </c:pt>
                <c:pt idx="9">
                  <c:v>17</c:v>
                </c:pt>
                <c:pt idx="10">
                  <c:v>18.5</c:v>
                </c:pt>
                <c:pt idx="11">
                  <c:v>19</c:v>
                </c:pt>
                <c:pt idx="12">
                  <c:v>20.5</c:v>
                </c:pt>
                <c:pt idx="13">
                  <c:v>21.5</c:v>
                </c:pt>
                <c:pt idx="14">
                  <c:v>23</c:v>
                </c:pt>
                <c:pt idx="15">
                  <c:v>23.5</c:v>
                </c:pt>
                <c:pt idx="16">
                  <c:v>25.5</c:v>
                </c:pt>
                <c:pt idx="17">
                  <c:v>26.5</c:v>
                </c:pt>
                <c:pt idx="18">
                  <c:v>27.5</c:v>
                </c:pt>
                <c:pt idx="19">
                  <c:v>28.5</c:v>
                </c:pt>
                <c:pt idx="20">
                  <c:v>29</c:v>
                </c:pt>
                <c:pt idx="21">
                  <c:v>30</c:v>
                </c:pt>
                <c:pt idx="22">
                  <c:v>32</c:v>
                </c:pt>
                <c:pt idx="23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8A-4686-8E46-2CB72597514C}"/>
            </c:ext>
          </c:extLst>
        </c:ser>
        <c:ser>
          <c:idx val="5"/>
          <c:order val="5"/>
          <c:tx>
            <c:strRef>
              <c:f>'Combined Data'!$G$1</c:f>
              <c:strCache>
                <c:ptCount val="1"/>
                <c:pt idx="0">
                  <c:v>12Ga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'Combined Data'!$G$2:$G$25</c:f>
              <c:numCache>
                <c:formatCode>General</c:formatCode>
                <c:ptCount val="24"/>
                <c:pt idx="2">
                  <c:v>9</c:v>
                </c:pt>
                <c:pt idx="3">
                  <c:v>11</c:v>
                </c:pt>
                <c:pt idx="4">
                  <c:v>12</c:v>
                </c:pt>
                <c:pt idx="5">
                  <c:v>14</c:v>
                </c:pt>
                <c:pt idx="6">
                  <c:v>15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21</c:v>
                </c:pt>
                <c:pt idx="11">
                  <c:v>22</c:v>
                </c:pt>
                <c:pt idx="12">
                  <c:v>24</c:v>
                </c:pt>
                <c:pt idx="13">
                  <c:v>25</c:v>
                </c:pt>
                <c:pt idx="14">
                  <c:v>27</c:v>
                </c:pt>
                <c:pt idx="15">
                  <c:v>27</c:v>
                </c:pt>
                <c:pt idx="16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38</c:v>
                </c:pt>
                <c:pt idx="23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8A-4686-8E46-2CB72597514C}"/>
            </c:ext>
          </c:extLst>
        </c:ser>
        <c:ser>
          <c:idx val="6"/>
          <c:order val="6"/>
          <c:tx>
            <c:strRef>
              <c:f>'Combined Data'!$H$1</c:f>
              <c:strCache>
                <c:ptCount val="1"/>
                <c:pt idx="0">
                  <c:v>11ga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'Combined Data'!$H$2:$H$25</c:f>
              <c:numCache>
                <c:formatCode>General</c:formatCode>
                <c:ptCount val="24"/>
                <c:pt idx="3">
                  <c:v>12.5</c:v>
                </c:pt>
                <c:pt idx="4">
                  <c:v>14</c:v>
                </c:pt>
                <c:pt idx="5">
                  <c:v>16</c:v>
                </c:pt>
                <c:pt idx="6">
                  <c:v>18</c:v>
                </c:pt>
                <c:pt idx="7">
                  <c:v>20</c:v>
                </c:pt>
                <c:pt idx="8">
                  <c:v>21.5</c:v>
                </c:pt>
                <c:pt idx="9">
                  <c:v>23</c:v>
                </c:pt>
                <c:pt idx="10">
                  <c:v>25</c:v>
                </c:pt>
                <c:pt idx="11">
                  <c:v>26</c:v>
                </c:pt>
                <c:pt idx="12">
                  <c:v>28.5</c:v>
                </c:pt>
                <c:pt idx="13">
                  <c:v>30</c:v>
                </c:pt>
                <c:pt idx="14">
                  <c:v>32</c:v>
                </c:pt>
                <c:pt idx="15">
                  <c:v>32.5</c:v>
                </c:pt>
                <c:pt idx="16">
                  <c:v>35.5</c:v>
                </c:pt>
                <c:pt idx="17">
                  <c:v>36.5</c:v>
                </c:pt>
                <c:pt idx="18">
                  <c:v>38</c:v>
                </c:pt>
                <c:pt idx="19">
                  <c:v>39</c:v>
                </c:pt>
                <c:pt idx="20">
                  <c:v>42</c:v>
                </c:pt>
                <c:pt idx="21">
                  <c:v>43.5</c:v>
                </c:pt>
                <c:pt idx="22">
                  <c:v>45.5</c:v>
                </c:pt>
                <c:pt idx="23">
                  <c:v>46.5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8A-4686-8E46-2CB72597514C}"/>
            </c:ext>
          </c:extLst>
        </c:ser>
        <c:ser>
          <c:idx val="7"/>
          <c:order val="7"/>
          <c:tx>
            <c:strRef>
              <c:f>'Combined Data'!$I$1</c:f>
              <c:strCache>
                <c:ptCount val="1"/>
                <c:pt idx="0">
                  <c:v>8Ga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'Combined Data'!$I$2:$I$25</c:f>
              <c:numCache>
                <c:formatCode>General</c:formatCode>
                <c:ptCount val="24"/>
                <c:pt idx="3">
                  <c:v>14</c:v>
                </c:pt>
                <c:pt idx="4">
                  <c:v>16</c:v>
                </c:pt>
                <c:pt idx="5">
                  <c:v>18</c:v>
                </c:pt>
                <c:pt idx="6">
                  <c:v>21</c:v>
                </c:pt>
                <c:pt idx="7">
                  <c:v>23</c:v>
                </c:pt>
                <c:pt idx="8">
                  <c:v>25</c:v>
                </c:pt>
                <c:pt idx="9">
                  <c:v>27</c:v>
                </c:pt>
                <c:pt idx="10">
                  <c:v>29</c:v>
                </c:pt>
                <c:pt idx="11">
                  <c:v>30</c:v>
                </c:pt>
                <c:pt idx="12">
                  <c:v>33</c:v>
                </c:pt>
                <c:pt idx="13">
                  <c:v>35</c:v>
                </c:pt>
                <c:pt idx="14">
                  <c:v>37</c:v>
                </c:pt>
                <c:pt idx="15">
                  <c:v>38</c:v>
                </c:pt>
                <c:pt idx="16">
                  <c:v>41</c:v>
                </c:pt>
                <c:pt idx="17">
                  <c:v>42</c:v>
                </c:pt>
                <c:pt idx="18">
                  <c:v>44</c:v>
                </c:pt>
                <c:pt idx="19">
                  <c:v>44</c:v>
                </c:pt>
                <c:pt idx="20">
                  <c:v>49</c:v>
                </c:pt>
                <c:pt idx="21">
                  <c:v>51</c:v>
                </c:pt>
                <c:pt idx="22">
                  <c:v>53</c:v>
                </c:pt>
                <c:pt idx="23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8A-4686-8E46-2CB72597514C}"/>
            </c:ext>
          </c:extLst>
        </c:ser>
        <c:ser>
          <c:idx val="8"/>
          <c:order val="8"/>
          <c:tx>
            <c:strRef>
              <c:f>'Combined Data'!$J$1</c:f>
              <c:strCache>
                <c:ptCount val="1"/>
                <c:pt idx="0">
                  <c:v>3-16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'Combined Data'!$J$2:$J$25</c:f>
              <c:numCache>
                <c:formatCode>General</c:formatCode>
                <c:ptCount val="24"/>
                <c:pt idx="4">
                  <c:v>15</c:v>
                </c:pt>
                <c:pt idx="5">
                  <c:v>17</c:v>
                </c:pt>
                <c:pt idx="6">
                  <c:v>19</c:v>
                </c:pt>
                <c:pt idx="7">
                  <c:v>21</c:v>
                </c:pt>
                <c:pt idx="8">
                  <c:v>24</c:v>
                </c:pt>
                <c:pt idx="9">
                  <c:v>25</c:v>
                </c:pt>
                <c:pt idx="10">
                  <c:v>28</c:v>
                </c:pt>
                <c:pt idx="11">
                  <c:v>31</c:v>
                </c:pt>
                <c:pt idx="12">
                  <c:v>33</c:v>
                </c:pt>
                <c:pt idx="13">
                  <c:v>34</c:v>
                </c:pt>
                <c:pt idx="14">
                  <c:v>37</c:v>
                </c:pt>
                <c:pt idx="15">
                  <c:v>39</c:v>
                </c:pt>
                <c:pt idx="16">
                  <c:v>41</c:v>
                </c:pt>
                <c:pt idx="17">
                  <c:v>42</c:v>
                </c:pt>
                <c:pt idx="18">
                  <c:v>45</c:v>
                </c:pt>
                <c:pt idx="19">
                  <c:v>48</c:v>
                </c:pt>
                <c:pt idx="20">
                  <c:v>50</c:v>
                </c:pt>
                <c:pt idx="21">
                  <c:v>51</c:v>
                </c:pt>
                <c:pt idx="22">
                  <c:v>53</c:v>
                </c:pt>
                <c:pt idx="23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78A-4686-8E46-2CB72597514C}"/>
            </c:ext>
          </c:extLst>
        </c:ser>
        <c:ser>
          <c:idx val="9"/>
          <c:order val="9"/>
          <c:tx>
            <c:strRef>
              <c:f>'Combined Data'!$K$1</c:f>
              <c:strCache>
                <c:ptCount val="1"/>
                <c:pt idx="0">
                  <c:v>1-4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'Combined Data'!$K$2:$K$25</c:f>
              <c:numCache>
                <c:formatCode>General</c:formatCode>
                <c:ptCount val="24"/>
                <c:pt idx="5">
                  <c:v>17</c:v>
                </c:pt>
                <c:pt idx="6">
                  <c:v>21.375</c:v>
                </c:pt>
                <c:pt idx="7">
                  <c:v>23.625</c:v>
                </c:pt>
                <c:pt idx="8">
                  <c:v>27</c:v>
                </c:pt>
                <c:pt idx="9">
                  <c:v>28.125</c:v>
                </c:pt>
                <c:pt idx="10">
                  <c:v>31.5</c:v>
                </c:pt>
                <c:pt idx="11">
                  <c:v>34.875</c:v>
                </c:pt>
                <c:pt idx="12">
                  <c:v>37.125</c:v>
                </c:pt>
                <c:pt idx="13">
                  <c:v>46.75</c:v>
                </c:pt>
                <c:pt idx="14">
                  <c:v>49.75</c:v>
                </c:pt>
                <c:pt idx="15">
                  <c:v>52.5</c:v>
                </c:pt>
                <c:pt idx="16">
                  <c:v>55</c:v>
                </c:pt>
                <c:pt idx="17">
                  <c:v>56.75</c:v>
                </c:pt>
                <c:pt idx="18">
                  <c:v>60</c:v>
                </c:pt>
                <c:pt idx="19">
                  <c:v>63.25</c:v>
                </c:pt>
                <c:pt idx="20">
                  <c:v>65.75</c:v>
                </c:pt>
                <c:pt idx="21">
                  <c:v>67.25</c:v>
                </c:pt>
                <c:pt idx="22">
                  <c:v>69.25</c:v>
                </c:pt>
                <c:pt idx="23">
                  <c:v>72.75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78A-4686-8E46-2CB72597514C}"/>
            </c:ext>
          </c:extLst>
        </c:ser>
        <c:ser>
          <c:idx val="10"/>
          <c:order val="10"/>
          <c:tx>
            <c:strRef>
              <c:f>'Combined Data'!$L$1</c:f>
              <c:strCache>
                <c:ptCount val="1"/>
                <c:pt idx="0">
                  <c:v>5-16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'Combined Data'!$L$2:$L$25</c:f>
              <c:numCache>
                <c:formatCode>General</c:formatCode>
                <c:ptCount val="24"/>
                <c:pt idx="6">
                  <c:v>23.75</c:v>
                </c:pt>
                <c:pt idx="7">
                  <c:v>26.25</c:v>
                </c:pt>
                <c:pt idx="8">
                  <c:v>30</c:v>
                </c:pt>
                <c:pt idx="9">
                  <c:v>31.25</c:v>
                </c:pt>
                <c:pt idx="10">
                  <c:v>35</c:v>
                </c:pt>
                <c:pt idx="11">
                  <c:v>38.75</c:v>
                </c:pt>
                <c:pt idx="12">
                  <c:v>41.25</c:v>
                </c:pt>
                <c:pt idx="13">
                  <c:v>59.5</c:v>
                </c:pt>
                <c:pt idx="14">
                  <c:v>62.5</c:v>
                </c:pt>
                <c:pt idx="15">
                  <c:v>66</c:v>
                </c:pt>
                <c:pt idx="16">
                  <c:v>69</c:v>
                </c:pt>
                <c:pt idx="17">
                  <c:v>71.5</c:v>
                </c:pt>
                <c:pt idx="18">
                  <c:v>75</c:v>
                </c:pt>
                <c:pt idx="19">
                  <c:v>78.5</c:v>
                </c:pt>
                <c:pt idx="20">
                  <c:v>81.5</c:v>
                </c:pt>
                <c:pt idx="21">
                  <c:v>83.5</c:v>
                </c:pt>
                <c:pt idx="22">
                  <c:v>85.5</c:v>
                </c:pt>
                <c:pt idx="23">
                  <c:v>89.5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78A-4686-8E46-2CB72597514C}"/>
            </c:ext>
          </c:extLst>
        </c:ser>
        <c:ser>
          <c:idx val="11"/>
          <c:order val="11"/>
          <c:tx>
            <c:strRef>
              <c:f>'Combined Data'!$M$1</c:f>
              <c:strCache>
                <c:ptCount val="1"/>
                <c:pt idx="0">
                  <c:v>1-2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'Combined Data'!$M$2:$M$25</c:f>
              <c:numCache>
                <c:formatCode>General</c:formatCode>
                <c:ptCount val="24"/>
                <c:pt idx="13">
                  <c:v>85</c:v>
                </c:pt>
                <c:pt idx="14">
                  <c:v>88</c:v>
                </c:pt>
                <c:pt idx="15">
                  <c:v>93</c:v>
                </c:pt>
                <c:pt idx="16">
                  <c:v>97</c:v>
                </c:pt>
                <c:pt idx="17">
                  <c:v>101</c:v>
                </c:pt>
                <c:pt idx="18">
                  <c:v>105</c:v>
                </c:pt>
                <c:pt idx="19">
                  <c:v>109</c:v>
                </c:pt>
                <c:pt idx="20">
                  <c:v>113</c:v>
                </c:pt>
                <c:pt idx="21">
                  <c:v>116</c:v>
                </c:pt>
                <c:pt idx="22">
                  <c:v>118</c:v>
                </c:pt>
                <c:pt idx="23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78A-4686-8E46-2CB72597514C}"/>
            </c:ext>
          </c:extLst>
        </c:ser>
        <c:ser>
          <c:idx val="12"/>
          <c:order val="12"/>
          <c:tx>
            <c:strRef>
              <c:f>'Combined Data'!$N$1</c:f>
              <c:strCache>
                <c:ptCount val="1"/>
                <c:pt idx="0">
                  <c:v>5-8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'Combined Data'!$N$2:$N$25</c:f>
              <c:numCache>
                <c:formatCode>General</c:formatCode>
                <c:ptCount val="24"/>
                <c:pt idx="13">
                  <c:v>89.25</c:v>
                </c:pt>
                <c:pt idx="14">
                  <c:v>92.4</c:v>
                </c:pt>
                <c:pt idx="15">
                  <c:v>97.65</c:v>
                </c:pt>
                <c:pt idx="16">
                  <c:v>101.85</c:v>
                </c:pt>
                <c:pt idx="17">
                  <c:v>106.05</c:v>
                </c:pt>
                <c:pt idx="18">
                  <c:v>110.25</c:v>
                </c:pt>
                <c:pt idx="19">
                  <c:v>114.45</c:v>
                </c:pt>
                <c:pt idx="20">
                  <c:v>118.65</c:v>
                </c:pt>
                <c:pt idx="21">
                  <c:v>121.8</c:v>
                </c:pt>
                <c:pt idx="22">
                  <c:v>123.9</c:v>
                </c:pt>
                <c:pt idx="23">
                  <c:v>129.15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78A-4686-8E46-2CB7259751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1216512"/>
        <c:axId val="731221760"/>
      </c:lineChart>
      <c:catAx>
        <c:axId val="73121651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221760"/>
        <c:crosses val="autoZero"/>
        <c:auto val="1"/>
        <c:lblAlgn val="ctr"/>
        <c:lblOffset val="100"/>
        <c:noMultiLvlLbl val="0"/>
      </c:catAx>
      <c:valAx>
        <c:axId val="73122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216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40437157756832E-2"/>
          <c:y val="0.76641944212235058"/>
          <c:w val="0.97684847034326461"/>
          <c:h val="0.21689651382301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'Pierce Time'!$H$1</c:f>
              <c:strCache>
                <c:ptCount val="1"/>
                <c:pt idx="0">
                  <c:v>Time (cs)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8.5455818022747154E-2"/>
                  <c:y val="-0.499151356080489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'Pierce Time'!$F$2:$F$7</c:f>
              <c:strCache>
                <c:ptCount val="6"/>
                <c:pt idx="0">
                  <c:v>1/2</c:v>
                </c:pt>
                <c:pt idx="1">
                  <c:v>3/16</c:v>
                </c:pt>
                <c:pt idx="2">
                  <c:v>8ga</c:v>
                </c:pt>
                <c:pt idx="3">
                  <c:v>12ga</c:v>
                </c:pt>
                <c:pt idx="4">
                  <c:v>16ga</c:v>
                </c:pt>
                <c:pt idx="5">
                  <c:v>20ga</c:v>
                </c:pt>
              </c:strCache>
            </c:strRef>
          </c:cat>
          <c:val>
            <c:numRef>
              <c:f>'Pierce Time'!$H$2:$H$7</c:f>
              <c:numCache>
                <c:formatCode>General</c:formatCode>
                <c:ptCount val="6"/>
                <c:pt idx="0">
                  <c:v>90</c:v>
                </c:pt>
                <c:pt idx="1">
                  <c:v>24</c:v>
                </c:pt>
                <c:pt idx="2">
                  <c:v>9</c:v>
                </c:pt>
                <c:pt idx="3">
                  <c:v>8</c:v>
                </c:pt>
                <c:pt idx="4">
                  <c:v>8</c:v>
                </c:pt>
                <c:pt idx="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E9-4730-A1D4-E23DA4955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1506056"/>
        <c:axId val="781502448"/>
      </c:lineChart>
      <c:catAx>
        <c:axId val="781506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502448"/>
        <c:crosses val="autoZero"/>
        <c:auto val="1"/>
        <c:lblAlgn val="ctr"/>
        <c:lblOffset val="100"/>
        <c:noMultiLvlLbl val="0"/>
      </c:catAx>
      <c:valAx>
        <c:axId val="78150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506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'Pierce Time'!$C$1</c:f>
              <c:strCache>
                <c:ptCount val="1"/>
                <c:pt idx="0">
                  <c:v>Time (cs)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539847404160495"/>
                  <c:y val="0.2685346173007057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'Pierce Time'!$A$2:$A$14</c:f>
              <c:strCache>
                <c:ptCount val="13"/>
                <c:pt idx="0">
                  <c:v>22ga</c:v>
                </c:pt>
                <c:pt idx="1">
                  <c:v>20ga</c:v>
                </c:pt>
                <c:pt idx="2">
                  <c:v>18ga</c:v>
                </c:pt>
                <c:pt idx="3">
                  <c:v>16ga</c:v>
                </c:pt>
                <c:pt idx="4">
                  <c:v>14ga</c:v>
                </c:pt>
                <c:pt idx="5">
                  <c:v>12ga</c:v>
                </c:pt>
                <c:pt idx="6">
                  <c:v>11ga</c:v>
                </c:pt>
                <c:pt idx="7">
                  <c:v>8ga</c:v>
                </c:pt>
                <c:pt idx="8">
                  <c:v>3/16</c:v>
                </c:pt>
                <c:pt idx="9">
                  <c:v>1/4</c:v>
                </c:pt>
                <c:pt idx="10">
                  <c:v>5/16</c:v>
                </c:pt>
                <c:pt idx="11">
                  <c:v>1/2</c:v>
                </c:pt>
                <c:pt idx="12">
                  <c:v>5/8</c:v>
                </c:pt>
              </c:strCache>
            </c:strRef>
          </c:cat>
          <c:val>
            <c:numRef>
              <c:f>'Pierce Time'!$C$2:$C$14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9</c:v>
                </c:pt>
                <c:pt idx="8">
                  <c:v>24</c:v>
                </c:pt>
                <c:pt idx="9">
                  <c:v>30</c:v>
                </c:pt>
                <c:pt idx="10">
                  <c:v>60</c:v>
                </c:pt>
                <c:pt idx="11">
                  <c:v>90</c:v>
                </c:pt>
                <c:pt idx="1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BE-47F0-80B1-5ABCAF1B9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6705984"/>
        <c:axId val="346327032"/>
      </c:lineChart>
      <c:catAx>
        <c:axId val="456705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327032"/>
        <c:crosses val="autoZero"/>
        <c:auto val="1"/>
        <c:lblAlgn val="ctr"/>
        <c:lblOffset val="100"/>
        <c:noMultiLvlLbl val="0"/>
      </c:catAx>
      <c:valAx>
        <c:axId val="346327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70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'Pierce Time'!$C$1</c:f>
              <c:strCache>
                <c:ptCount val="1"/>
                <c:pt idx="0">
                  <c:v>Time (cs)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'Pierce Time'!$B$2:$B$14</c:f>
              <c:numCache>
                <c:formatCode>General</c:formatCode>
                <c:ptCount val="13"/>
                <c:pt idx="0">
                  <c:v>0.76</c:v>
                </c:pt>
                <c:pt idx="1">
                  <c:v>0.91</c:v>
                </c:pt>
                <c:pt idx="2">
                  <c:v>1.21</c:v>
                </c:pt>
                <c:pt idx="3">
                  <c:v>1.52</c:v>
                </c:pt>
                <c:pt idx="4">
                  <c:v>1.9</c:v>
                </c:pt>
                <c:pt idx="5">
                  <c:v>2.66</c:v>
                </c:pt>
                <c:pt idx="6">
                  <c:v>3.04</c:v>
                </c:pt>
                <c:pt idx="7">
                  <c:v>4.18</c:v>
                </c:pt>
                <c:pt idx="8">
                  <c:v>4.76</c:v>
                </c:pt>
                <c:pt idx="9">
                  <c:v>6.35</c:v>
                </c:pt>
                <c:pt idx="10">
                  <c:v>7.94</c:v>
                </c:pt>
                <c:pt idx="11">
                  <c:v>12.7</c:v>
                </c:pt>
                <c:pt idx="12">
                  <c:v>15.88</c:v>
                </c:pt>
              </c:numCache>
            </c:numRef>
          </c:xVal>
          <c:yVal>
            <c:numRef>
              <c:f>'Pierce Time'!$C$2:$C$14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9</c:v>
                </c:pt>
                <c:pt idx="8">
                  <c:v>24</c:v>
                </c:pt>
                <c:pt idx="9">
                  <c:v>30</c:v>
                </c:pt>
                <c:pt idx="10">
                  <c:v>60</c:v>
                </c:pt>
                <c:pt idx="11">
                  <c:v>90</c:v>
                </c:pt>
                <c:pt idx="1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0A-4414-A8FF-5F05F5403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098800"/>
        <c:axId val="470098472"/>
      </c:scatterChart>
      <c:valAx>
        <c:axId val="470098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098472"/>
        <c:crosses val="autoZero"/>
        <c:crossBetween val="midCat"/>
      </c:valAx>
      <c:valAx>
        <c:axId val="470098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098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76199</xdr:colOff>
      <xdr:row>0</xdr:row>
      <xdr:rowOff>109537</xdr:rowOff>
    </xdr:from>
    <xdr:to>
      <xdr:col>18</xdr:col>
      <xdr:colOff>0</xdr:colOff>
      <xdr:row>16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C0DC52-0B37-40A8-8F35-064D4D1FE5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95249</xdr:colOff>
      <xdr:row>18</xdr:row>
      <xdr:rowOff>52387</xdr:rowOff>
    </xdr:from>
    <xdr:to>
      <xdr:col>24</xdr:col>
      <xdr:colOff>123824</xdr:colOff>
      <xdr:row>43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49E1B2F-19C6-409E-B496-EA8CDCAA6D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33337</xdr:colOff>
      <xdr:row>0</xdr:row>
      <xdr:rowOff>42862</xdr:rowOff>
    </xdr:from>
    <xdr:to>
      <xdr:col>17</xdr:col>
      <xdr:colOff>338137</xdr:colOff>
      <xdr:row>14</xdr:row>
      <xdr:rowOff>119062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A6BAD06-D4AC-434C-9706-3AAB30E567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266700</xdr:colOff>
      <xdr:row>1</xdr:row>
      <xdr:rowOff>47625</xdr:rowOff>
    </xdr:from>
    <xdr:to>
      <xdr:col>18</xdr:col>
      <xdr:colOff>571500</xdr:colOff>
      <xdr:row>15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677A2A2-9F15-439A-953E-304009C265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252412</xdr:colOff>
      <xdr:row>20</xdr:row>
      <xdr:rowOff>166687</xdr:rowOff>
    </xdr:from>
    <xdr:to>
      <xdr:col>18</xdr:col>
      <xdr:colOff>557212</xdr:colOff>
      <xdr:row>35</xdr:row>
      <xdr:rowOff>52387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77635F0-BFDA-42B6-B428-5FE3A2CB97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590550</xdr:colOff>
      <xdr:row>2</xdr:row>
      <xdr:rowOff>109537</xdr:rowOff>
    </xdr:from>
    <xdr:to>
      <xdr:col>22</xdr:col>
      <xdr:colOff>266700</xdr:colOff>
      <xdr:row>20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7EBBEB-3FAE-4895-849E-97EDD78937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519112</xdr:colOff>
      <xdr:row>21</xdr:row>
      <xdr:rowOff>23812</xdr:rowOff>
    </xdr:from>
    <xdr:to>
      <xdr:col>16</xdr:col>
      <xdr:colOff>423862</xdr:colOff>
      <xdr:row>35</xdr:row>
      <xdr:rowOff>100012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3D39E54-34C5-44BC-AE45-5C81F13E6D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300037</xdr:colOff>
      <xdr:row>1</xdr:row>
      <xdr:rowOff>157162</xdr:rowOff>
    </xdr:from>
    <xdr:to>
      <xdr:col>17</xdr:col>
      <xdr:colOff>604837</xdr:colOff>
      <xdr:row>16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3E5D9C-20D1-4A00-9756-C84FFD5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4761</xdr:colOff>
      <xdr:row>19</xdr:row>
      <xdr:rowOff>4761</xdr:rowOff>
    </xdr:from>
    <xdr:to>
      <xdr:col>21</xdr:col>
      <xdr:colOff>485774</xdr:colOff>
      <xdr:row>38</xdr:row>
      <xdr:rowOff>9524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2A3A7E8-D246-4E5E-ACC1-CE12CD9399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404812</xdr:colOff>
      <xdr:row>2</xdr:row>
      <xdr:rowOff>14287</xdr:rowOff>
    </xdr:from>
    <xdr:to>
      <xdr:col>19</xdr:col>
      <xdr:colOff>100012</xdr:colOff>
      <xdr:row>16</xdr:row>
      <xdr:rowOff>90487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88E73DB-4DCA-4115-93B3-B48120B356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604837</xdr:colOff>
      <xdr:row>18</xdr:row>
      <xdr:rowOff>119062</xdr:rowOff>
    </xdr:from>
    <xdr:to>
      <xdr:col>16</xdr:col>
      <xdr:colOff>509587</xdr:colOff>
      <xdr:row>33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AF71402-37BB-4C65-BAA3-53B3C6229B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414337</xdr:colOff>
      <xdr:row>1</xdr:row>
      <xdr:rowOff>42862</xdr:rowOff>
    </xdr:from>
    <xdr:to>
      <xdr:col>18</xdr:col>
      <xdr:colOff>109537</xdr:colOff>
      <xdr:row>15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9609D4-2F80-4499-AEE7-FE3E0CC98D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4761</xdr:colOff>
      <xdr:row>19</xdr:row>
      <xdr:rowOff>4761</xdr:rowOff>
    </xdr:from>
    <xdr:to>
      <xdr:col>21</xdr:col>
      <xdr:colOff>485774</xdr:colOff>
      <xdr:row>38</xdr:row>
      <xdr:rowOff>9524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F0ABAE-B0B3-4F7E-AF0E-18F1097B2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404812</xdr:colOff>
      <xdr:row>2</xdr:row>
      <xdr:rowOff>14287</xdr:rowOff>
    </xdr:from>
    <xdr:to>
      <xdr:col>19</xdr:col>
      <xdr:colOff>100012</xdr:colOff>
      <xdr:row>16</xdr:row>
      <xdr:rowOff>90487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7A2FD5D-0B7B-4DE7-8CC6-3A3785735A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4761</xdr:colOff>
      <xdr:row>19</xdr:row>
      <xdr:rowOff>4761</xdr:rowOff>
    </xdr:from>
    <xdr:to>
      <xdr:col>21</xdr:col>
      <xdr:colOff>485774</xdr:colOff>
      <xdr:row>38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A42837-876E-4273-84F0-114E1B4EF0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404812</xdr:colOff>
      <xdr:row>2</xdr:row>
      <xdr:rowOff>14287</xdr:rowOff>
    </xdr:from>
    <xdr:to>
      <xdr:col>19</xdr:col>
      <xdr:colOff>100012</xdr:colOff>
      <xdr:row>16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19858E-20CA-4EFF-9EEB-450F8A71EE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85725</xdr:colOff>
      <xdr:row>20</xdr:row>
      <xdr:rowOff>80963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4F3BE1A-601F-4A07-A8E5-0E1E34A77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114300</xdr:colOff>
      <xdr:row>0</xdr:row>
      <xdr:rowOff>0</xdr:rowOff>
    </xdr:from>
    <xdr:to>
      <xdr:col>23</xdr:col>
      <xdr:colOff>333375</xdr:colOff>
      <xdr:row>20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5535ADB-6407-4944-A59B-2B3F55CAB1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95249</xdr:rowOff>
    </xdr:from>
    <xdr:to>
      <xdr:col>11</xdr:col>
      <xdr:colOff>85724</xdr:colOff>
      <xdr:row>43</xdr:row>
      <xdr:rowOff>85724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1400B72-4425-4F66-905D-3D2713A634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104774</xdr:colOff>
      <xdr:row>20</xdr:row>
      <xdr:rowOff>114299</xdr:rowOff>
    </xdr:from>
    <xdr:to>
      <xdr:col>23</xdr:col>
      <xdr:colOff>323849</xdr:colOff>
      <xdr:row>43</xdr:row>
      <xdr:rowOff>66674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4909996-E5BA-4E38-8E35-2ECFA59EF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43</xdr:row>
      <xdr:rowOff>114300</xdr:rowOff>
    </xdr:from>
    <xdr:to>
      <xdr:col>11</xdr:col>
      <xdr:colOff>76200</xdr:colOff>
      <xdr:row>64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645ED42-7EA3-450B-9EF8-71AD474693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42861</xdr:colOff>
      <xdr:row>1</xdr:row>
      <xdr:rowOff>33337</xdr:rowOff>
    </xdr:from>
    <xdr:to>
      <xdr:col>26</xdr:col>
      <xdr:colOff>390524</xdr:colOff>
      <xdr:row>25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F1B3B1-A3BF-412D-93A0-F6C28B93D1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523875</xdr:colOff>
      <xdr:row>1</xdr:row>
      <xdr:rowOff>33337</xdr:rowOff>
    </xdr:from>
    <xdr:to>
      <xdr:col>17</xdr:col>
      <xdr:colOff>219075</xdr:colOff>
      <xdr:row>15</xdr:row>
      <xdr:rowOff>109537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BF6C293-2F15-496B-B1AE-A9800FDF59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80962</xdr:colOff>
      <xdr:row>16</xdr:row>
      <xdr:rowOff>52386</xdr:rowOff>
    </xdr:from>
    <xdr:to>
      <xdr:col>11</xdr:col>
      <xdr:colOff>47625</xdr:colOff>
      <xdr:row>35</xdr:row>
      <xdr:rowOff>152399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0185675-A9F1-4A07-9384-CB6A419AF5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20</xdr:row>
      <xdr:rowOff>34738</xdr:rowOff>
    </xdr:from>
    <xdr:to>
      <xdr:col>20</xdr:col>
      <xdr:colOff>336176</xdr:colOff>
      <xdr:row>34</xdr:row>
      <xdr:rowOff>110938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C2D16A9-284C-4772-8359-882AF7B667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FE932-57CC-487E-B2EB-135070BABFE0}">
  <sheetPr codeName="Sheet1"/>
  <dimension ref="A1:L38"/>
  <sheetViews>
    <sheetView zoomScaleNormal="100" workbookViewId="0">
      <selection activeCell="H16" sqref="H16"/>
    </sheetView>
  </sheetViews>
  <sheetFormatPr defaultRowHeight="15" x14ac:dyDescent="0.25"/>
  <cols>
    <col min="1" max="1" width="10.140625" bestFit="1" customWidth="1"/>
    <col min="3" max="4" width="10" bestFit="1" customWidth="1"/>
    <col min="5" max="5" width="12.85546875" bestFit="1" customWidth="1"/>
    <col min="6" max="6" width="12" bestFit="1" customWidth="1"/>
    <col min="7" max="7" width="15.85546875" bestFit="1" customWidth="1"/>
    <col min="8" max="8" width="31.42578125" bestFit="1" customWidth="1"/>
    <col min="9" max="9" width="2" bestFit="1" customWidth="1"/>
    <col min="10" max="10" width="15.140625" bestFit="1" customWidth="1"/>
  </cols>
  <sheetData>
    <row r="1" spans="1:10" x14ac:dyDescent="0.25">
      <c r="A1" t="s">
        <v>7</v>
      </c>
      <c r="B1" t="s">
        <v>2</v>
      </c>
      <c r="C1" s="1" t="s">
        <v>8</v>
      </c>
      <c r="D1">
        <v>0.9</v>
      </c>
      <c r="E1" s="1" t="s">
        <v>16</v>
      </c>
      <c r="F1">
        <v>4</v>
      </c>
      <c r="H1" t="s">
        <v>58</v>
      </c>
    </row>
    <row r="2" spans="1:10" x14ac:dyDescent="0.25">
      <c r="H2" t="s">
        <v>17</v>
      </c>
      <c r="I2" t="s">
        <v>18</v>
      </c>
      <c r="J2" t="s">
        <v>19</v>
      </c>
    </row>
    <row r="3" spans="1:10" x14ac:dyDescent="0.25">
      <c r="A3" s="2" t="s">
        <v>0</v>
      </c>
      <c r="B3" s="2" t="s">
        <v>1</v>
      </c>
      <c r="C3" s="2" t="s">
        <v>9</v>
      </c>
      <c r="D3" s="2" t="s">
        <v>10</v>
      </c>
      <c r="E3" s="2" t="s">
        <v>25</v>
      </c>
      <c r="F3" s="7" t="s">
        <v>51</v>
      </c>
      <c r="G3" s="7"/>
      <c r="H3" s="7"/>
    </row>
    <row r="4" spans="1:10" x14ac:dyDescent="0.25">
      <c r="A4" s="3">
        <v>25</v>
      </c>
      <c r="B4" s="4">
        <f>A4*PI()</f>
        <v>78.539816339744831</v>
      </c>
      <c r="C4" s="4">
        <f>B4+$D$1</f>
        <v>79.439816339744837</v>
      </c>
      <c r="D4" s="2">
        <v>23</v>
      </c>
      <c r="E4" s="2">
        <f>ROUNDUP(D4/30,2)</f>
        <v>0.77</v>
      </c>
      <c r="F4" s="6">
        <f>E4/C4</f>
        <v>9.692872358955322E-3</v>
      </c>
      <c r="G4" s="19"/>
      <c r="H4" s="19"/>
      <c r="J4" t="s">
        <v>20</v>
      </c>
    </row>
    <row r="5" spans="1:10" x14ac:dyDescent="0.25">
      <c r="A5" s="3">
        <v>24</v>
      </c>
      <c r="B5" s="4">
        <f t="shared" ref="B5:B27" si="0">A5*PI()</f>
        <v>75.398223686155035</v>
      </c>
      <c r="C5" s="4">
        <f t="shared" ref="C5:C30" si="1">B5+$D$1</f>
        <v>76.29822368615504</v>
      </c>
      <c r="D5" s="2">
        <v>22</v>
      </c>
      <c r="E5" s="2">
        <f t="shared" ref="E5:E30" si="2">ROUNDUP(D5/30,2)</f>
        <v>0.74</v>
      </c>
      <c r="F5" s="6">
        <f t="shared" ref="F5:F31" si="3">E5/C5</f>
        <v>9.6987841164417471E-3</v>
      </c>
      <c r="G5" s="19"/>
      <c r="H5" s="19"/>
      <c r="J5" s="8" t="s">
        <v>21</v>
      </c>
    </row>
    <row r="6" spans="1:10" x14ac:dyDescent="0.25">
      <c r="A6" s="3">
        <v>23</v>
      </c>
      <c r="B6" s="4">
        <f t="shared" si="0"/>
        <v>72.256631032565238</v>
      </c>
      <c r="C6" s="4">
        <f t="shared" si="1"/>
        <v>73.156631032565244</v>
      </c>
      <c r="D6" s="2">
        <v>21</v>
      </c>
      <c r="E6" s="2">
        <f t="shared" si="2"/>
        <v>0.7</v>
      </c>
      <c r="F6" s="6">
        <f t="shared" si="3"/>
        <v>9.5685106068976716E-3</v>
      </c>
      <c r="G6" s="19"/>
      <c r="H6" s="19"/>
    </row>
    <row r="7" spans="1:10" x14ac:dyDescent="0.25">
      <c r="A7" s="3">
        <v>22</v>
      </c>
      <c r="B7" s="4">
        <f t="shared" si="0"/>
        <v>69.115038378975441</v>
      </c>
      <c r="C7" s="4">
        <f t="shared" si="1"/>
        <v>70.015038378975447</v>
      </c>
      <c r="D7" s="2">
        <v>20</v>
      </c>
      <c r="E7" s="2">
        <f t="shared" si="2"/>
        <v>0.67</v>
      </c>
      <c r="F7" s="6">
        <f t="shared" si="3"/>
        <v>9.5693727449443471E-3</v>
      </c>
      <c r="G7" s="19"/>
      <c r="H7" s="19"/>
    </row>
    <row r="8" spans="1:10" x14ac:dyDescent="0.25">
      <c r="A8" s="3">
        <v>21</v>
      </c>
      <c r="B8" s="4">
        <f t="shared" si="0"/>
        <v>65.973445725385659</v>
      </c>
      <c r="C8" s="4">
        <f t="shared" si="1"/>
        <v>66.873445725385665</v>
      </c>
      <c r="D8" s="2">
        <v>21</v>
      </c>
      <c r="E8" s="2">
        <f t="shared" si="2"/>
        <v>0.7</v>
      </c>
      <c r="F8" s="6">
        <f t="shared" si="3"/>
        <v>1.0467533000685123E-2</v>
      </c>
      <c r="G8" s="19"/>
      <c r="H8" s="19"/>
    </row>
    <row r="9" spans="1:10" x14ac:dyDescent="0.25">
      <c r="A9" s="3">
        <v>20</v>
      </c>
      <c r="B9" s="4">
        <f t="shared" si="0"/>
        <v>62.831853071795862</v>
      </c>
      <c r="C9" s="4">
        <f t="shared" si="1"/>
        <v>63.731853071795861</v>
      </c>
      <c r="D9" s="2">
        <v>21</v>
      </c>
      <c r="E9" s="2">
        <f t="shared" si="2"/>
        <v>0.7</v>
      </c>
      <c r="F9" s="6">
        <f t="shared" si="3"/>
        <v>1.0983518700004358E-2</v>
      </c>
      <c r="G9" s="19"/>
      <c r="H9" s="19"/>
    </row>
    <row r="10" spans="1:10" x14ac:dyDescent="0.25">
      <c r="A10" s="3">
        <v>19</v>
      </c>
      <c r="B10" s="4">
        <f t="shared" si="0"/>
        <v>59.690260418206066</v>
      </c>
      <c r="C10" s="4">
        <f t="shared" si="1"/>
        <v>60.590260418206064</v>
      </c>
      <c r="D10" s="2">
        <v>20</v>
      </c>
      <c r="E10" s="2">
        <f t="shared" si="2"/>
        <v>0.67</v>
      </c>
      <c r="F10" s="6">
        <f t="shared" si="3"/>
        <v>1.1057882824327316E-2</v>
      </c>
      <c r="G10" s="19"/>
      <c r="H10" s="19"/>
    </row>
    <row r="11" spans="1:10" x14ac:dyDescent="0.25">
      <c r="A11" s="3">
        <v>18</v>
      </c>
      <c r="B11" s="4">
        <f t="shared" si="0"/>
        <v>56.548667764616276</v>
      </c>
      <c r="C11" s="4">
        <f t="shared" si="1"/>
        <v>57.448667764616275</v>
      </c>
      <c r="D11" s="2">
        <v>20</v>
      </c>
      <c r="E11" s="2">
        <f t="shared" si="2"/>
        <v>0.67</v>
      </c>
      <c r="F11" s="6">
        <f t="shared" si="3"/>
        <v>1.1662585505815084E-2</v>
      </c>
      <c r="G11" s="27"/>
    </row>
    <row r="12" spans="1:10" x14ac:dyDescent="0.25">
      <c r="A12" s="3">
        <v>17</v>
      </c>
      <c r="B12" s="4">
        <f t="shared" si="0"/>
        <v>53.407075111026487</v>
      </c>
      <c r="C12" s="4">
        <f t="shared" si="1"/>
        <v>54.307075111026485</v>
      </c>
      <c r="D12" s="2">
        <v>18</v>
      </c>
      <c r="E12" s="2">
        <f t="shared" si="2"/>
        <v>0.6</v>
      </c>
      <c r="F12" s="6">
        <f t="shared" si="3"/>
        <v>1.1048284201889861E-2</v>
      </c>
      <c r="G12" s="28"/>
    </row>
    <row r="13" spans="1:10" x14ac:dyDescent="0.25">
      <c r="A13" s="3">
        <v>16</v>
      </c>
      <c r="B13" s="4">
        <f t="shared" si="0"/>
        <v>50.26548245743669</v>
      </c>
      <c r="C13" s="4">
        <f t="shared" si="1"/>
        <v>51.165482457436688</v>
      </c>
      <c r="D13" s="2">
        <v>18</v>
      </c>
      <c r="E13" s="2">
        <f t="shared" si="2"/>
        <v>0.6</v>
      </c>
      <c r="F13" s="6">
        <f t="shared" si="3"/>
        <v>1.1726655768351746E-2</v>
      </c>
      <c r="G13" s="28"/>
    </row>
    <row r="14" spans="1:10" x14ac:dyDescent="0.25">
      <c r="A14" s="3">
        <v>15</v>
      </c>
      <c r="B14" s="4">
        <f t="shared" si="0"/>
        <v>47.123889803846893</v>
      </c>
      <c r="C14" s="4">
        <f t="shared" si="1"/>
        <v>48.023889803846892</v>
      </c>
      <c r="D14" s="2">
        <v>18</v>
      </c>
      <c r="E14" s="2">
        <f t="shared" si="2"/>
        <v>0.6</v>
      </c>
      <c r="F14" s="6">
        <f t="shared" si="3"/>
        <v>1.2493781791743529E-2</v>
      </c>
      <c r="G14" s="28"/>
    </row>
    <row r="15" spans="1:10" x14ac:dyDescent="0.25">
      <c r="A15" s="3">
        <v>14</v>
      </c>
      <c r="B15" s="4">
        <f t="shared" si="0"/>
        <v>43.982297150257104</v>
      </c>
      <c r="C15" s="4">
        <f t="shared" si="1"/>
        <v>44.882297150257102</v>
      </c>
      <c r="D15" s="2">
        <v>18</v>
      </c>
      <c r="E15" s="2">
        <f t="shared" si="2"/>
        <v>0.6</v>
      </c>
      <c r="F15" s="6">
        <f t="shared" si="3"/>
        <v>1.3368299710492046E-2</v>
      </c>
      <c r="G15" s="28"/>
    </row>
    <row r="16" spans="1:10" x14ac:dyDescent="0.25">
      <c r="A16" s="3">
        <v>13</v>
      </c>
      <c r="B16" s="4">
        <f t="shared" si="0"/>
        <v>40.840704496667314</v>
      </c>
      <c r="C16" s="4">
        <f t="shared" si="1"/>
        <v>41.740704496667313</v>
      </c>
      <c r="D16" s="2">
        <v>17</v>
      </c>
      <c r="E16" s="2">
        <f t="shared" si="2"/>
        <v>0.57000000000000006</v>
      </c>
      <c r="F16" s="6">
        <f t="shared" si="3"/>
        <v>1.3655735016295913E-2</v>
      </c>
      <c r="G16" s="28"/>
    </row>
    <row r="17" spans="1:12" x14ac:dyDescent="0.25">
      <c r="A17" s="3">
        <v>12</v>
      </c>
      <c r="B17" s="4">
        <f t="shared" si="0"/>
        <v>37.699111843077517</v>
      </c>
      <c r="C17" s="4">
        <f t="shared" si="1"/>
        <v>38.599111843077516</v>
      </c>
      <c r="D17" s="2">
        <v>17</v>
      </c>
      <c r="E17" s="2">
        <f t="shared" si="2"/>
        <v>0.57000000000000006</v>
      </c>
      <c r="F17" s="6">
        <f t="shared" si="3"/>
        <v>1.4767179159906645E-2</v>
      </c>
      <c r="G17" s="28"/>
    </row>
    <row r="18" spans="1:12" x14ac:dyDescent="0.25">
      <c r="A18" s="3">
        <v>11</v>
      </c>
      <c r="B18" s="4">
        <f t="shared" si="0"/>
        <v>34.557519189487721</v>
      </c>
      <c r="C18" s="4">
        <f t="shared" si="1"/>
        <v>35.457519189487719</v>
      </c>
      <c r="D18" s="2">
        <v>16</v>
      </c>
      <c r="E18" s="2">
        <f t="shared" si="2"/>
        <v>0.54</v>
      </c>
      <c r="F18" s="6">
        <f t="shared" si="3"/>
        <v>1.5229491863607218E-2</v>
      </c>
      <c r="G18" s="28"/>
    </row>
    <row r="19" spans="1:12" x14ac:dyDescent="0.25">
      <c r="A19" s="3">
        <v>10</v>
      </c>
      <c r="B19" s="4">
        <f t="shared" si="0"/>
        <v>31.415926535897931</v>
      </c>
      <c r="C19" s="4">
        <f t="shared" si="1"/>
        <v>32.31592653589793</v>
      </c>
      <c r="D19" s="2">
        <v>15</v>
      </c>
      <c r="E19" s="2">
        <f t="shared" si="2"/>
        <v>0.5</v>
      </c>
      <c r="F19" s="6">
        <f t="shared" si="3"/>
        <v>1.5472247080540251E-2</v>
      </c>
      <c r="G19" s="28"/>
    </row>
    <row r="20" spans="1:12" x14ac:dyDescent="0.25">
      <c r="A20" s="3">
        <v>9</v>
      </c>
      <c r="B20" s="4">
        <f t="shared" si="0"/>
        <v>28.274333882308138</v>
      </c>
      <c r="C20" s="4">
        <f t="shared" si="1"/>
        <v>29.174333882308137</v>
      </c>
      <c r="D20" s="2">
        <v>15</v>
      </c>
      <c r="E20" s="2">
        <f t="shared" si="2"/>
        <v>0.5</v>
      </c>
      <c r="F20" s="6">
        <f t="shared" si="3"/>
        <v>1.7138351882070198E-2</v>
      </c>
      <c r="G20" s="19"/>
      <c r="H20" s="19"/>
    </row>
    <row r="21" spans="1:12" x14ac:dyDescent="0.25">
      <c r="A21" s="3">
        <v>8</v>
      </c>
      <c r="B21" s="4">
        <f t="shared" si="0"/>
        <v>25.132741228718345</v>
      </c>
      <c r="C21" s="4">
        <f t="shared" si="1"/>
        <v>26.032741228718344</v>
      </c>
      <c r="D21" s="2">
        <v>15</v>
      </c>
      <c r="E21" s="2">
        <f t="shared" si="2"/>
        <v>0.5</v>
      </c>
      <c r="F21" s="6">
        <f t="shared" si="3"/>
        <v>1.9206582803059508E-2</v>
      </c>
      <c r="G21" s="19"/>
      <c r="H21" s="19"/>
    </row>
    <row r="22" spans="1:12" x14ac:dyDescent="0.25">
      <c r="A22" s="3">
        <v>7</v>
      </c>
      <c r="B22" s="4">
        <f t="shared" si="0"/>
        <v>21.991148575128552</v>
      </c>
      <c r="C22" s="4">
        <f t="shared" si="1"/>
        <v>22.89114857512855</v>
      </c>
      <c r="D22" s="2">
        <v>13</v>
      </c>
      <c r="E22" s="2">
        <f t="shared" si="2"/>
        <v>0.44</v>
      </c>
      <c r="F22" s="6">
        <f t="shared" si="3"/>
        <v>1.9221403354048566E-2</v>
      </c>
      <c r="G22" s="19"/>
      <c r="H22" s="28"/>
    </row>
    <row r="23" spans="1:12" x14ac:dyDescent="0.25">
      <c r="A23" s="3">
        <v>6</v>
      </c>
      <c r="B23" s="4">
        <f t="shared" si="0"/>
        <v>18.849555921538759</v>
      </c>
      <c r="C23" s="4">
        <f t="shared" si="1"/>
        <v>19.749555921538757</v>
      </c>
      <c r="D23" s="2">
        <v>13</v>
      </c>
      <c r="E23" s="2">
        <f t="shared" si="2"/>
        <v>0.44</v>
      </c>
      <c r="F23" s="6">
        <f t="shared" si="3"/>
        <v>2.227898195524176E-2</v>
      </c>
      <c r="G23" s="19"/>
      <c r="H23" s="26"/>
    </row>
    <row r="24" spans="1:12" x14ac:dyDescent="0.25">
      <c r="A24" s="3">
        <v>5</v>
      </c>
      <c r="B24" s="4">
        <f t="shared" si="0"/>
        <v>15.707963267948966</v>
      </c>
      <c r="C24" s="4">
        <f t="shared" si="1"/>
        <v>16.607963267948964</v>
      </c>
      <c r="D24" s="2">
        <v>11</v>
      </c>
      <c r="E24" s="2">
        <f t="shared" si="2"/>
        <v>0.37</v>
      </c>
      <c r="F24" s="6">
        <f t="shared" si="3"/>
        <v>2.2278469312010583E-2</v>
      </c>
      <c r="G24" s="19"/>
      <c r="H24" s="19"/>
    </row>
    <row r="25" spans="1:12" x14ac:dyDescent="0.25">
      <c r="A25" s="3">
        <v>4</v>
      </c>
      <c r="B25" s="4">
        <f t="shared" si="0"/>
        <v>12.566370614359172</v>
      </c>
      <c r="C25" s="4">
        <f t="shared" si="1"/>
        <v>13.466370614359173</v>
      </c>
      <c r="D25" s="2">
        <v>10</v>
      </c>
      <c r="E25" s="2">
        <f t="shared" si="2"/>
        <v>0.34</v>
      </c>
      <c r="F25" s="6">
        <f t="shared" si="3"/>
        <v>2.524807980833815E-2</v>
      </c>
      <c r="G25" s="19"/>
      <c r="H25" s="19"/>
    </row>
    <row r="26" spans="1:12" x14ac:dyDescent="0.25">
      <c r="A26" s="3">
        <v>3</v>
      </c>
      <c r="B26" s="4">
        <f t="shared" si="0"/>
        <v>9.4247779607693793</v>
      </c>
      <c r="C26" s="4">
        <f t="shared" si="1"/>
        <v>10.32477796076938</v>
      </c>
      <c r="D26" s="2">
        <v>9</v>
      </c>
      <c r="E26" s="2">
        <f t="shared" si="2"/>
        <v>0.3</v>
      </c>
      <c r="F26" s="6">
        <f t="shared" si="3"/>
        <v>2.9056314928989007E-2</v>
      </c>
      <c r="G26" s="19"/>
      <c r="H26" s="19"/>
    </row>
    <row r="27" spans="1:12" ht="15.75" x14ac:dyDescent="0.25">
      <c r="A27" s="3">
        <v>2</v>
      </c>
      <c r="B27" s="4">
        <f t="shared" si="0"/>
        <v>6.2831853071795862</v>
      </c>
      <c r="C27" s="4">
        <f t="shared" si="1"/>
        <v>7.1831853071795866</v>
      </c>
      <c r="D27" s="2">
        <v>7</v>
      </c>
      <c r="E27" s="2">
        <f t="shared" si="2"/>
        <v>0.24000000000000002</v>
      </c>
      <c r="F27" s="6">
        <f t="shared" si="3"/>
        <v>3.3411361358048251E-2</v>
      </c>
      <c r="G27" s="19"/>
      <c r="H27" s="19"/>
      <c r="J27" s="29"/>
    </row>
    <row r="28" spans="1:12" x14ac:dyDescent="0.25">
      <c r="A28" s="5" t="s">
        <v>11</v>
      </c>
      <c r="B28" s="5">
        <v>86.6</v>
      </c>
      <c r="C28" s="4">
        <f t="shared" si="1"/>
        <v>87.5</v>
      </c>
      <c r="D28" s="2">
        <v>29</v>
      </c>
      <c r="E28" s="2">
        <f t="shared" si="2"/>
        <v>0.97</v>
      </c>
      <c r="F28" s="6">
        <f t="shared" si="3"/>
        <v>1.1085714285714286E-2</v>
      </c>
      <c r="G28" s="42">
        <f>SUM(E28:E31)</f>
        <v>9.1499999999999986</v>
      </c>
      <c r="H28" s="42">
        <f>AVERAGE(F28:F31)</f>
        <v>1.089656730960971E-2</v>
      </c>
    </row>
    <row r="29" spans="1:12" x14ac:dyDescent="0.25">
      <c r="A29" s="5" t="s">
        <v>12</v>
      </c>
      <c r="B29" s="5">
        <v>75</v>
      </c>
      <c r="C29" s="4">
        <f t="shared" si="1"/>
        <v>75.900000000000006</v>
      </c>
      <c r="D29" s="2">
        <v>31</v>
      </c>
      <c r="E29" s="2">
        <f t="shared" si="2"/>
        <v>1.04</v>
      </c>
      <c r="F29" s="6">
        <f t="shared" si="3"/>
        <v>1.370223978919631E-2</v>
      </c>
      <c r="G29" s="42"/>
      <c r="H29" s="42"/>
    </row>
    <row r="30" spans="1:12" x14ac:dyDescent="0.25">
      <c r="A30" s="5" t="s">
        <v>13</v>
      </c>
      <c r="B30" s="5">
        <v>100</v>
      </c>
      <c r="C30" s="4">
        <f t="shared" si="1"/>
        <v>100.9</v>
      </c>
      <c r="D30" s="2">
        <v>34</v>
      </c>
      <c r="E30" s="2">
        <f t="shared" si="2"/>
        <v>1.1399999999999999</v>
      </c>
      <c r="F30" s="6">
        <f t="shared" si="3"/>
        <v>1.1298315163528245E-2</v>
      </c>
      <c r="G30" s="42"/>
      <c r="H30" s="42"/>
    </row>
    <row r="31" spans="1:12" x14ac:dyDescent="0.25">
      <c r="A31" s="5" t="s">
        <v>14</v>
      </c>
      <c r="B31" s="5">
        <v>800</v>
      </c>
      <c r="C31" s="4">
        <v>800</v>
      </c>
      <c r="D31" s="2">
        <v>210</v>
      </c>
      <c r="E31" s="2">
        <v>6</v>
      </c>
      <c r="F31" s="6">
        <f t="shared" si="3"/>
        <v>7.4999999999999997E-3</v>
      </c>
      <c r="G31" s="42"/>
      <c r="H31" s="42"/>
    </row>
    <row r="32" spans="1:12" x14ac:dyDescent="0.25">
      <c r="D32" t="s">
        <v>55</v>
      </c>
      <c r="E32" s="7">
        <f>SUM(E4:E31)</f>
        <v>22.48</v>
      </c>
      <c r="F32" s="30" t="s">
        <v>57</v>
      </c>
      <c r="G32">
        <f>SUM(E4:E27)</f>
        <v>13.329999999999998</v>
      </c>
      <c r="H32" s="19"/>
      <c r="L32" s="17"/>
    </row>
    <row r="33" spans="1:10" ht="45" x14ac:dyDescent="0.25">
      <c r="A33" s="31" t="s">
        <v>54</v>
      </c>
      <c r="B33" s="25">
        <v>36</v>
      </c>
      <c r="D33" t="s">
        <v>56</v>
      </c>
      <c r="E33">
        <f>0.43*27</f>
        <v>11.61</v>
      </c>
      <c r="F33" s="32">
        <f>E34/B33</f>
        <v>1.0575000000000001</v>
      </c>
      <c r="J33" s="18"/>
    </row>
    <row r="34" spans="1:10" x14ac:dyDescent="0.25">
      <c r="E34">
        <v>38.07</v>
      </c>
    </row>
    <row r="35" spans="1:10" x14ac:dyDescent="0.25">
      <c r="H35" s="43">
        <v>6.9999999999999999E-6</v>
      </c>
    </row>
    <row r="36" spans="1:10" x14ac:dyDescent="0.25">
      <c r="H36" s="43"/>
    </row>
    <row r="37" spans="1:10" x14ac:dyDescent="0.25">
      <c r="H37" s="43"/>
    </row>
    <row r="38" spans="1:10" x14ac:dyDescent="0.25">
      <c r="H38" s="43"/>
    </row>
  </sheetData>
  <mergeCells count="3">
    <mergeCell ref="H28:H31"/>
    <mergeCell ref="H35:H38"/>
    <mergeCell ref="G28:G3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14B55-574D-4FF7-BA4D-4D5BC6565F09}">
  <sheetPr codeName="Sheet2"/>
  <dimension ref="A1:J32"/>
  <sheetViews>
    <sheetView workbookViewId="0">
      <selection activeCell="N29" sqref="N29"/>
    </sheetView>
  </sheetViews>
  <sheetFormatPr defaultRowHeight="15" x14ac:dyDescent="0.25"/>
  <cols>
    <col min="1" max="1" width="16.42578125" bestFit="1" customWidth="1"/>
    <col min="3" max="4" width="10" bestFit="1" customWidth="1"/>
    <col min="5" max="5" width="12.85546875" bestFit="1" customWidth="1"/>
    <col min="6" max="6" width="14.7109375" bestFit="1" customWidth="1"/>
    <col min="10" max="10" width="15.140625" bestFit="1" customWidth="1"/>
  </cols>
  <sheetData>
    <row r="1" spans="1:10" x14ac:dyDescent="0.25">
      <c r="A1" t="s">
        <v>7</v>
      </c>
      <c r="B1" t="s">
        <v>6</v>
      </c>
      <c r="C1" s="1" t="s">
        <v>8</v>
      </c>
      <c r="D1">
        <v>1.5</v>
      </c>
      <c r="E1" s="1" t="s">
        <v>16</v>
      </c>
      <c r="F1">
        <v>8</v>
      </c>
      <c r="H1" t="s">
        <v>15</v>
      </c>
    </row>
    <row r="2" spans="1:10" x14ac:dyDescent="0.25">
      <c r="H2" t="s">
        <v>17</v>
      </c>
      <c r="I2" t="s">
        <v>18</v>
      </c>
      <c r="J2" t="s">
        <v>19</v>
      </c>
    </row>
    <row r="3" spans="1:10" x14ac:dyDescent="0.25">
      <c r="A3" s="2" t="s">
        <v>0</v>
      </c>
      <c r="B3" s="2" t="s">
        <v>1</v>
      </c>
      <c r="C3" s="2" t="s">
        <v>9</v>
      </c>
      <c r="D3" s="2" t="s">
        <v>10</v>
      </c>
      <c r="E3" s="2" t="s">
        <v>25</v>
      </c>
      <c r="F3" s="7" t="s">
        <v>51</v>
      </c>
      <c r="G3" s="7" t="s">
        <v>52</v>
      </c>
    </row>
    <row r="4" spans="1:10" x14ac:dyDescent="0.25">
      <c r="A4" s="16">
        <v>25</v>
      </c>
      <c r="B4" s="4">
        <f>A4*PI()</f>
        <v>78.539816339744831</v>
      </c>
      <c r="C4" s="4">
        <f>B4+$D$1</f>
        <v>80.039816339744831</v>
      </c>
      <c r="D4" s="2">
        <v>27</v>
      </c>
      <c r="E4" s="2">
        <f>ROUNDUP(D4/30,1)</f>
        <v>0.9</v>
      </c>
      <c r="F4" s="6">
        <f>E4/C4</f>
        <v>1.1244403612569174E-2</v>
      </c>
      <c r="G4" s="42">
        <f>AVERAGE(F4:F26,F28:F31)</f>
        <v>1.4822537938308964E-2</v>
      </c>
      <c r="J4" t="s">
        <v>20</v>
      </c>
    </row>
    <row r="5" spans="1:10" x14ac:dyDescent="0.25">
      <c r="A5" s="16">
        <v>24</v>
      </c>
      <c r="B5" s="4">
        <f t="shared" ref="B5:B27" si="0">A5*PI()</f>
        <v>75.398223686155035</v>
      </c>
      <c r="C5" s="4">
        <f t="shared" ref="C5:C30" si="1">B5+$D$1</f>
        <v>76.898223686155035</v>
      </c>
      <c r="D5" s="2">
        <v>26</v>
      </c>
      <c r="E5" s="2">
        <f t="shared" ref="E5:E30" si="2">ROUNDUP(D5/30,1)</f>
        <v>0.9</v>
      </c>
      <c r="F5" s="6">
        <f t="shared" ref="F5:F31" si="3">E5/C5</f>
        <v>1.1703781399075913E-2</v>
      </c>
      <c r="G5" s="42"/>
      <c r="J5" s="8" t="s">
        <v>21</v>
      </c>
    </row>
    <row r="6" spans="1:10" x14ac:dyDescent="0.25">
      <c r="A6" s="16">
        <v>23</v>
      </c>
      <c r="B6" s="4">
        <f t="shared" si="0"/>
        <v>72.256631032565238</v>
      </c>
      <c r="C6" s="4">
        <f t="shared" si="1"/>
        <v>73.756631032565238</v>
      </c>
      <c r="D6" s="2">
        <v>24</v>
      </c>
      <c r="E6" s="2">
        <f t="shared" si="2"/>
        <v>0.8</v>
      </c>
      <c r="F6" s="6">
        <f t="shared" si="3"/>
        <v>1.0846482394874866E-2</v>
      </c>
      <c r="G6" s="42"/>
    </row>
    <row r="7" spans="1:10" x14ac:dyDescent="0.25">
      <c r="A7" s="16">
        <v>22</v>
      </c>
      <c r="B7" s="4">
        <f t="shared" si="0"/>
        <v>69.115038378975441</v>
      </c>
      <c r="C7" s="4">
        <f t="shared" si="1"/>
        <v>70.615038378975441</v>
      </c>
      <c r="D7" s="2">
        <v>23</v>
      </c>
      <c r="E7" s="2">
        <f t="shared" si="2"/>
        <v>0.79999999999999993</v>
      </c>
      <c r="F7" s="6">
        <f t="shared" si="3"/>
        <v>1.1329031582572754E-2</v>
      </c>
      <c r="G7" s="42"/>
    </row>
    <row r="8" spans="1:10" x14ac:dyDescent="0.25">
      <c r="A8" s="16">
        <v>21</v>
      </c>
      <c r="B8" s="4">
        <f t="shared" si="0"/>
        <v>65.973445725385659</v>
      </c>
      <c r="C8" s="4">
        <f t="shared" si="1"/>
        <v>67.473445725385659</v>
      </c>
      <c r="D8" s="2">
        <v>23</v>
      </c>
      <c r="E8" s="2">
        <f t="shared" si="2"/>
        <v>0.79999999999999993</v>
      </c>
      <c r="F8" s="6">
        <f t="shared" si="3"/>
        <v>1.1856516165721984E-2</v>
      </c>
      <c r="G8" s="42"/>
    </row>
    <row r="9" spans="1:10" x14ac:dyDescent="0.25">
      <c r="A9" s="16">
        <v>20</v>
      </c>
      <c r="B9" s="4">
        <f t="shared" si="0"/>
        <v>62.831853071795862</v>
      </c>
      <c r="C9" s="4">
        <f t="shared" si="1"/>
        <v>64.331853071795862</v>
      </c>
      <c r="D9" s="2">
        <v>23</v>
      </c>
      <c r="E9" s="2">
        <f t="shared" si="2"/>
        <v>0.79999999999999993</v>
      </c>
      <c r="F9" s="6">
        <f t="shared" si="3"/>
        <v>1.2435519292552962E-2</v>
      </c>
      <c r="G9" s="42"/>
    </row>
    <row r="10" spans="1:10" x14ac:dyDescent="0.25">
      <c r="A10" s="16">
        <v>19</v>
      </c>
      <c r="B10" s="4">
        <f t="shared" si="0"/>
        <v>59.690260418206066</v>
      </c>
      <c r="C10" s="4">
        <f t="shared" si="1"/>
        <v>61.190260418206066</v>
      </c>
      <c r="D10" s="2">
        <v>22</v>
      </c>
      <c r="E10" s="2">
        <f t="shared" si="2"/>
        <v>0.79999999999999993</v>
      </c>
      <c r="F10" s="6">
        <f t="shared" si="3"/>
        <v>1.3073976063059446E-2</v>
      </c>
      <c r="G10" s="42"/>
    </row>
    <row r="11" spans="1:10" x14ac:dyDescent="0.25">
      <c r="A11" s="16">
        <v>18</v>
      </c>
      <c r="B11" s="4">
        <f t="shared" si="0"/>
        <v>56.548667764616276</v>
      </c>
      <c r="C11" s="4">
        <f t="shared" si="1"/>
        <v>58.048667764616276</v>
      </c>
      <c r="D11" s="2">
        <v>21</v>
      </c>
      <c r="E11" s="2">
        <f t="shared" si="2"/>
        <v>0.7</v>
      </c>
      <c r="F11" s="6">
        <f t="shared" si="3"/>
        <v>1.2058846946125556E-2</v>
      </c>
      <c r="G11" s="42"/>
    </row>
    <row r="12" spans="1:10" x14ac:dyDescent="0.25">
      <c r="A12" s="16">
        <v>17</v>
      </c>
      <c r="B12" s="4">
        <f t="shared" si="0"/>
        <v>53.407075111026487</v>
      </c>
      <c r="C12" s="4">
        <f t="shared" si="1"/>
        <v>54.907075111026487</v>
      </c>
      <c r="D12" s="2">
        <v>20</v>
      </c>
      <c r="E12" s="2">
        <f t="shared" si="2"/>
        <v>0.7</v>
      </c>
      <c r="F12" s="6">
        <f t="shared" si="3"/>
        <v>1.2748812399577725E-2</v>
      </c>
      <c r="G12" s="42"/>
    </row>
    <row r="13" spans="1:10" x14ac:dyDescent="0.25">
      <c r="A13" s="16">
        <v>16</v>
      </c>
      <c r="B13" s="4">
        <f t="shared" si="0"/>
        <v>50.26548245743669</v>
      </c>
      <c r="C13" s="4">
        <f t="shared" si="1"/>
        <v>51.76548245743669</v>
      </c>
      <c r="D13" s="2">
        <v>19</v>
      </c>
      <c r="E13" s="2">
        <f t="shared" si="2"/>
        <v>0.7</v>
      </c>
      <c r="F13" s="6">
        <f t="shared" si="3"/>
        <v>1.3522524407563734E-2</v>
      </c>
      <c r="G13" s="42"/>
    </row>
    <row r="14" spans="1:10" x14ac:dyDescent="0.25">
      <c r="A14" s="16">
        <v>15</v>
      </c>
      <c r="B14" s="4">
        <f t="shared" si="0"/>
        <v>47.123889803846893</v>
      </c>
      <c r="C14" s="4">
        <f t="shared" si="1"/>
        <v>48.623889803846893</v>
      </c>
      <c r="D14" s="2">
        <v>18</v>
      </c>
      <c r="E14" s="2">
        <f t="shared" si="2"/>
        <v>0.6</v>
      </c>
      <c r="F14" s="6">
        <f t="shared" si="3"/>
        <v>1.2339613355090543E-2</v>
      </c>
      <c r="G14" s="42"/>
    </row>
    <row r="15" spans="1:10" x14ac:dyDescent="0.25">
      <c r="A15" s="16">
        <v>14</v>
      </c>
      <c r="B15" s="4">
        <f t="shared" si="0"/>
        <v>43.982297150257104</v>
      </c>
      <c r="C15" s="4">
        <f t="shared" si="1"/>
        <v>45.482297150257104</v>
      </c>
      <c r="D15" s="2">
        <v>17</v>
      </c>
      <c r="E15" s="2">
        <f t="shared" si="2"/>
        <v>0.6</v>
      </c>
      <c r="F15" s="6">
        <f t="shared" si="3"/>
        <v>1.3191945824939677E-2</v>
      </c>
      <c r="G15" s="42"/>
    </row>
    <row r="16" spans="1:10" x14ac:dyDescent="0.25">
      <c r="A16" s="16">
        <v>13</v>
      </c>
      <c r="B16" s="4">
        <f t="shared" si="0"/>
        <v>40.840704496667314</v>
      </c>
      <c r="C16" s="4">
        <f t="shared" si="1"/>
        <v>42.340704496667314</v>
      </c>
      <c r="D16" s="2">
        <v>16</v>
      </c>
      <c r="E16" s="2">
        <f t="shared" si="2"/>
        <v>0.6</v>
      </c>
      <c r="F16" s="6">
        <f t="shared" si="3"/>
        <v>1.4170760905672382E-2</v>
      </c>
      <c r="G16" s="42"/>
    </row>
    <row r="17" spans="1:7" x14ac:dyDescent="0.25">
      <c r="A17" s="16">
        <v>12</v>
      </c>
      <c r="B17" s="4">
        <f t="shared" si="0"/>
        <v>37.699111843077517</v>
      </c>
      <c r="C17" s="4">
        <f t="shared" si="1"/>
        <v>39.199111843077517</v>
      </c>
      <c r="D17" s="2">
        <v>16</v>
      </c>
      <c r="E17" s="2">
        <f t="shared" si="2"/>
        <v>0.6</v>
      </c>
      <c r="F17" s="6">
        <f t="shared" si="3"/>
        <v>1.5306469248638314E-2</v>
      </c>
      <c r="G17" s="42"/>
    </row>
    <row r="18" spans="1:7" x14ac:dyDescent="0.25">
      <c r="A18" s="16">
        <v>11</v>
      </c>
      <c r="B18" s="4">
        <f t="shared" si="0"/>
        <v>34.557519189487721</v>
      </c>
      <c r="C18" s="4">
        <f t="shared" si="1"/>
        <v>36.057519189487721</v>
      </c>
      <c r="D18" s="2">
        <v>15</v>
      </c>
      <c r="E18" s="2">
        <f t="shared" si="2"/>
        <v>0.5</v>
      </c>
      <c r="F18" s="6">
        <f t="shared" si="3"/>
        <v>1.3866733242861893E-2</v>
      </c>
      <c r="G18" s="42"/>
    </row>
    <row r="19" spans="1:7" x14ac:dyDescent="0.25">
      <c r="A19" s="16">
        <v>10</v>
      </c>
      <c r="B19" s="4">
        <f t="shared" si="0"/>
        <v>31.415926535897931</v>
      </c>
      <c r="C19" s="4">
        <f t="shared" si="1"/>
        <v>32.915926535897931</v>
      </c>
      <c r="D19" s="2">
        <v>15</v>
      </c>
      <c r="E19" s="2">
        <f t="shared" si="2"/>
        <v>0.5</v>
      </c>
      <c r="F19" s="6">
        <f t="shared" si="3"/>
        <v>1.5190214969483017E-2</v>
      </c>
      <c r="G19" s="42"/>
    </row>
    <row r="20" spans="1:7" x14ac:dyDescent="0.25">
      <c r="A20" s="16">
        <v>9</v>
      </c>
      <c r="B20" s="4">
        <f t="shared" si="0"/>
        <v>28.274333882308138</v>
      </c>
      <c r="C20" s="4">
        <f t="shared" si="1"/>
        <v>29.774333882308138</v>
      </c>
      <c r="D20" s="2">
        <v>15</v>
      </c>
      <c r="E20" s="2">
        <f t="shared" si="2"/>
        <v>0.5</v>
      </c>
      <c r="F20" s="6">
        <f t="shared" si="3"/>
        <v>1.6792986938898379E-2</v>
      </c>
      <c r="G20" s="42"/>
    </row>
    <row r="21" spans="1:7" x14ac:dyDescent="0.25">
      <c r="A21" s="16">
        <v>8</v>
      </c>
      <c r="B21" s="4">
        <f t="shared" si="0"/>
        <v>25.132741228718345</v>
      </c>
      <c r="C21" s="4">
        <f t="shared" si="1"/>
        <v>26.632741228718345</v>
      </c>
      <c r="D21" s="2">
        <v>14</v>
      </c>
      <c r="E21" s="2">
        <f t="shared" si="2"/>
        <v>0.5</v>
      </c>
      <c r="F21" s="6">
        <f t="shared" si="3"/>
        <v>1.8773884209141983E-2</v>
      </c>
      <c r="G21" s="42"/>
    </row>
    <row r="22" spans="1:7" x14ac:dyDescent="0.25">
      <c r="A22" s="16">
        <v>7</v>
      </c>
      <c r="B22" s="4">
        <f t="shared" si="0"/>
        <v>21.991148575128552</v>
      </c>
      <c r="C22" s="4">
        <f t="shared" si="1"/>
        <v>23.491148575128552</v>
      </c>
      <c r="D22" s="2">
        <v>13</v>
      </c>
      <c r="E22" s="2">
        <f t="shared" si="2"/>
        <v>0.5</v>
      </c>
      <c r="F22" s="6">
        <f t="shared" si="3"/>
        <v>2.128461272980833E-2</v>
      </c>
      <c r="G22" s="42"/>
    </row>
    <row r="23" spans="1:7" x14ac:dyDescent="0.25">
      <c r="A23" s="16">
        <v>6</v>
      </c>
      <c r="B23" s="4">
        <f t="shared" si="0"/>
        <v>18.849555921538759</v>
      </c>
      <c r="C23" s="4">
        <f t="shared" si="1"/>
        <v>20.349555921538759</v>
      </c>
      <c r="D23" s="2">
        <v>11</v>
      </c>
      <c r="E23" s="2">
        <f t="shared" si="2"/>
        <v>0.4</v>
      </c>
      <c r="F23" s="6">
        <f t="shared" si="3"/>
        <v>1.9656448599776298E-2</v>
      </c>
      <c r="G23" s="42"/>
    </row>
    <row r="24" spans="1:7" x14ac:dyDescent="0.25">
      <c r="A24" s="16">
        <v>5</v>
      </c>
      <c r="B24" s="4">
        <f t="shared" si="0"/>
        <v>15.707963267948966</v>
      </c>
      <c r="C24" s="4">
        <f t="shared" si="1"/>
        <v>17.207963267948966</v>
      </c>
      <c r="D24" s="2">
        <v>11</v>
      </c>
      <c r="E24" s="2">
        <f t="shared" si="2"/>
        <v>0.4</v>
      </c>
      <c r="F24" s="6">
        <f t="shared" si="3"/>
        <v>2.3245051943191208E-2</v>
      </c>
      <c r="G24" s="42"/>
    </row>
    <row r="25" spans="1:7" x14ac:dyDescent="0.25">
      <c r="A25" s="16">
        <v>4</v>
      </c>
      <c r="B25" s="4">
        <f t="shared" si="0"/>
        <v>12.566370614359172</v>
      </c>
      <c r="C25" s="4">
        <f t="shared" si="1"/>
        <v>14.066370614359172</v>
      </c>
      <c r="D25" s="2">
        <v>10</v>
      </c>
      <c r="E25" s="2">
        <f t="shared" si="2"/>
        <v>0.4</v>
      </c>
      <c r="F25" s="6">
        <f t="shared" si="3"/>
        <v>2.8436617444991371E-2</v>
      </c>
      <c r="G25" s="42"/>
    </row>
    <row r="26" spans="1:7" x14ac:dyDescent="0.25">
      <c r="A26" s="16">
        <v>3</v>
      </c>
      <c r="B26" s="4">
        <f t="shared" si="0"/>
        <v>9.4247779607693793</v>
      </c>
      <c r="C26" s="4">
        <f t="shared" si="1"/>
        <v>10.924777960769379</v>
      </c>
      <c r="D26" s="2">
        <v>9</v>
      </c>
      <c r="E26" s="2">
        <f t="shared" si="2"/>
        <v>0.3</v>
      </c>
      <c r="F26" s="6">
        <f t="shared" si="3"/>
        <v>2.7460512339682594E-2</v>
      </c>
      <c r="G26" s="42"/>
    </row>
    <row r="27" spans="1:7" x14ac:dyDescent="0.25">
      <c r="A27" s="16">
        <v>2</v>
      </c>
      <c r="B27" s="4">
        <f t="shared" si="0"/>
        <v>6.2831853071795862</v>
      </c>
      <c r="C27" s="4">
        <f t="shared" si="1"/>
        <v>7.7831853071795862</v>
      </c>
      <c r="D27" s="9">
        <v>24</v>
      </c>
      <c r="E27" s="2">
        <f t="shared" si="2"/>
        <v>0.8</v>
      </c>
      <c r="F27" s="6">
        <f t="shared" si="3"/>
        <v>0.10278568072406569</v>
      </c>
      <c r="G27" s="19">
        <f>F27</f>
        <v>0.10278568072406569</v>
      </c>
    </row>
    <row r="28" spans="1:7" x14ac:dyDescent="0.25">
      <c r="A28" s="5" t="s">
        <v>11</v>
      </c>
      <c r="B28" s="5">
        <v>86.6</v>
      </c>
      <c r="C28" s="4">
        <f t="shared" si="1"/>
        <v>88.1</v>
      </c>
      <c r="D28" s="2">
        <v>33</v>
      </c>
      <c r="E28" s="2">
        <f t="shared" si="2"/>
        <v>1.1000000000000001</v>
      </c>
      <c r="F28" s="6">
        <f t="shared" si="3"/>
        <v>1.2485811577752555E-2</v>
      </c>
      <c r="G28" s="42">
        <f>G4</f>
        <v>1.4822537938308964E-2</v>
      </c>
    </row>
    <row r="29" spans="1:7" x14ac:dyDescent="0.25">
      <c r="A29" s="5" t="s">
        <v>12</v>
      </c>
      <c r="B29" s="5">
        <v>75</v>
      </c>
      <c r="C29" s="4">
        <f t="shared" si="1"/>
        <v>76.5</v>
      </c>
      <c r="D29" s="2">
        <v>32</v>
      </c>
      <c r="E29" s="2">
        <f t="shared" si="2"/>
        <v>1.1000000000000001</v>
      </c>
      <c r="F29" s="6">
        <f t="shared" si="3"/>
        <v>1.4379084967320262E-2</v>
      </c>
      <c r="G29" s="42"/>
    </row>
    <row r="30" spans="1:7" x14ac:dyDescent="0.25">
      <c r="A30" s="5" t="s">
        <v>13</v>
      </c>
      <c r="B30" s="5">
        <v>100</v>
      </c>
      <c r="C30" s="4">
        <f t="shared" si="1"/>
        <v>101.5</v>
      </c>
      <c r="D30" s="2">
        <v>38</v>
      </c>
      <c r="E30" s="2">
        <f t="shared" si="2"/>
        <v>1.3</v>
      </c>
      <c r="F30" s="6">
        <f t="shared" si="3"/>
        <v>1.2807881773399015E-2</v>
      </c>
      <c r="G30" s="42"/>
    </row>
    <row r="31" spans="1:7" x14ac:dyDescent="0.25">
      <c r="A31" s="5" t="s">
        <v>14</v>
      </c>
      <c r="B31" s="5">
        <v>800</v>
      </c>
      <c r="C31" s="4">
        <v>800</v>
      </c>
      <c r="D31" s="2"/>
      <c r="E31" s="2"/>
      <c r="F31" s="6">
        <f t="shared" si="3"/>
        <v>0</v>
      </c>
      <c r="G31" s="42"/>
    </row>
    <row r="32" spans="1:7" x14ac:dyDescent="0.25">
      <c r="A32" s="14" t="s">
        <v>26</v>
      </c>
      <c r="B32" s="15">
        <f>SUM(B4:B30)</f>
        <v>1279.4760197630928</v>
      </c>
      <c r="C32" s="15">
        <f>SUM(C4:C30)</f>
        <v>1319.9760197630928</v>
      </c>
      <c r="E32" s="7">
        <f>SUM(E4:E30)</f>
        <v>18.600000000000005</v>
      </c>
    </row>
  </sheetData>
  <mergeCells count="2">
    <mergeCell ref="G28:G31"/>
    <mergeCell ref="G4:G26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C54F-D0CD-4D23-8809-2EAEA1443313}">
  <sheetPr codeName="Sheet14"/>
  <dimension ref="A1:J31"/>
  <sheetViews>
    <sheetView workbookViewId="0">
      <selection activeCell="H3" sqref="H3"/>
    </sheetView>
  </sheetViews>
  <sheetFormatPr defaultRowHeight="15" x14ac:dyDescent="0.25"/>
  <cols>
    <col min="1" max="1" width="10.140625" bestFit="1" customWidth="1"/>
    <col min="2" max="2" width="7.140625" bestFit="1" customWidth="1"/>
    <col min="3" max="3" width="7" bestFit="1" customWidth="1"/>
    <col min="4" max="4" width="9.42578125" bestFit="1" customWidth="1"/>
    <col min="5" max="5" width="10.28515625" bestFit="1" customWidth="1"/>
    <col min="6" max="6" width="12" bestFit="1" customWidth="1"/>
    <col min="7" max="7" width="14.140625" bestFit="1" customWidth="1"/>
    <col min="8" max="8" width="31.42578125" bestFit="1" customWidth="1"/>
    <col min="9" max="9" width="2" bestFit="1" customWidth="1"/>
    <col min="10" max="10" width="15.140625" bestFit="1" customWidth="1"/>
  </cols>
  <sheetData>
    <row r="1" spans="1:10" x14ac:dyDescent="0.25">
      <c r="A1" t="s">
        <v>7</v>
      </c>
      <c r="B1" t="s">
        <v>5</v>
      </c>
      <c r="C1" s="1" t="s">
        <v>8</v>
      </c>
      <c r="D1">
        <v>1.9</v>
      </c>
      <c r="E1" s="1" t="s">
        <v>16</v>
      </c>
      <c r="F1">
        <v>8</v>
      </c>
      <c r="H1" t="s">
        <v>15</v>
      </c>
    </row>
    <row r="2" spans="1:10" x14ac:dyDescent="0.25">
      <c r="H2" t="s">
        <v>17</v>
      </c>
      <c r="I2" t="s">
        <v>18</v>
      </c>
      <c r="J2" t="s">
        <v>19</v>
      </c>
    </row>
    <row r="3" spans="1:10" x14ac:dyDescent="0.25">
      <c r="A3" s="2" t="s">
        <v>0</v>
      </c>
      <c r="B3" s="2" t="s">
        <v>1</v>
      </c>
      <c r="C3" s="2" t="s">
        <v>9</v>
      </c>
      <c r="D3" s="2" t="s">
        <v>10</v>
      </c>
      <c r="E3" s="2" t="s">
        <v>25</v>
      </c>
      <c r="F3" s="7" t="s">
        <v>51</v>
      </c>
      <c r="G3" s="7" t="s">
        <v>52</v>
      </c>
    </row>
    <row r="4" spans="1:10" x14ac:dyDescent="0.25">
      <c r="A4" s="3">
        <v>25</v>
      </c>
      <c r="B4" s="4">
        <f>A4*PI()</f>
        <v>78.539816339744831</v>
      </c>
      <c r="C4" s="4">
        <f>B4+$D$1</f>
        <v>80.439816339744837</v>
      </c>
      <c r="D4" s="2">
        <v>39</v>
      </c>
      <c r="E4" s="2">
        <f>ROUNDUP(D4/30,1)</f>
        <v>1.3</v>
      </c>
      <c r="F4" s="6">
        <f>E4/C4</f>
        <v>1.6161150772763234E-2</v>
      </c>
      <c r="G4" s="42">
        <f>AVERAGE(F4:F25,F28:F31)</f>
        <v>1.7404006228728428E-2</v>
      </c>
      <c r="J4" t="s">
        <v>20</v>
      </c>
    </row>
    <row r="5" spans="1:10" x14ac:dyDescent="0.25">
      <c r="A5" s="3">
        <v>24</v>
      </c>
      <c r="B5" s="4">
        <f t="shared" ref="B5:B27" si="0">A5*PI()</f>
        <v>75.398223686155035</v>
      </c>
      <c r="C5" s="4">
        <f t="shared" ref="C5:C30" si="1">B5+$D$1</f>
        <v>77.29822368615504</v>
      </c>
      <c r="D5" s="2">
        <v>38</v>
      </c>
      <c r="E5" s="2">
        <f t="shared" ref="E5:E31" si="2">ROUNDUP(D5/30,1)</f>
        <v>1.3</v>
      </c>
      <c r="F5" s="6">
        <f t="shared" ref="F5:F31" si="3">E5/C5</f>
        <v>1.6817980258876819E-2</v>
      </c>
      <c r="G5" s="42"/>
      <c r="J5" s="8" t="s">
        <v>21</v>
      </c>
    </row>
    <row r="6" spans="1:10" x14ac:dyDescent="0.25">
      <c r="A6" s="3">
        <v>23</v>
      </c>
      <c r="B6" s="4">
        <f t="shared" si="0"/>
        <v>72.256631032565238</v>
      </c>
      <c r="C6" s="4">
        <f t="shared" si="1"/>
        <v>74.156631032565244</v>
      </c>
      <c r="D6" s="2">
        <v>36</v>
      </c>
      <c r="E6" s="2">
        <f t="shared" si="2"/>
        <v>1.2</v>
      </c>
      <c r="F6" s="6">
        <f t="shared" si="3"/>
        <v>1.6181964893645592E-2</v>
      </c>
      <c r="G6" s="42"/>
    </row>
    <row r="7" spans="1:10" x14ac:dyDescent="0.25">
      <c r="A7" s="3">
        <v>22</v>
      </c>
      <c r="B7" s="4">
        <f t="shared" si="0"/>
        <v>69.115038378975441</v>
      </c>
      <c r="C7" s="4">
        <f t="shared" si="1"/>
        <v>71.015038378975447</v>
      </c>
      <c r="D7" s="2">
        <v>35</v>
      </c>
      <c r="E7" s="2">
        <f t="shared" si="2"/>
        <v>1.2000000000000002</v>
      </c>
      <c r="F7" s="6">
        <f t="shared" si="3"/>
        <v>1.689782935265257E-2</v>
      </c>
      <c r="G7" s="42"/>
    </row>
    <row r="8" spans="1:10" x14ac:dyDescent="0.25">
      <c r="A8" s="3">
        <v>21</v>
      </c>
      <c r="B8" s="4">
        <f t="shared" si="0"/>
        <v>65.973445725385659</v>
      </c>
      <c r="C8" s="4">
        <f t="shared" si="1"/>
        <v>67.873445725385665</v>
      </c>
      <c r="D8" s="2">
        <v>34</v>
      </c>
      <c r="E8" s="2">
        <f t="shared" si="2"/>
        <v>1.2000000000000002</v>
      </c>
      <c r="F8" s="6">
        <f t="shared" si="3"/>
        <v>1.7679962865819004E-2</v>
      </c>
      <c r="G8" s="42"/>
    </row>
    <row r="9" spans="1:10" x14ac:dyDescent="0.25">
      <c r="A9" s="3">
        <v>20</v>
      </c>
      <c r="B9" s="4">
        <f t="shared" si="0"/>
        <v>62.831853071795862</v>
      </c>
      <c r="C9" s="4">
        <f t="shared" si="1"/>
        <v>64.731853071795868</v>
      </c>
      <c r="D9" s="2">
        <v>32</v>
      </c>
      <c r="E9" s="2">
        <f t="shared" si="2"/>
        <v>1.1000000000000001</v>
      </c>
      <c r="F9" s="6">
        <f t="shared" si="3"/>
        <v>1.6993179521370413E-2</v>
      </c>
      <c r="G9" s="42"/>
    </row>
    <row r="10" spans="1:10" x14ac:dyDescent="0.25">
      <c r="A10" s="3">
        <v>19</v>
      </c>
      <c r="B10" s="4">
        <f t="shared" si="0"/>
        <v>59.690260418206066</v>
      </c>
      <c r="C10" s="4">
        <f t="shared" si="1"/>
        <v>61.590260418206064</v>
      </c>
      <c r="D10" s="2">
        <v>31</v>
      </c>
      <c r="E10" s="2">
        <f t="shared" si="2"/>
        <v>1.1000000000000001</v>
      </c>
      <c r="F10" s="6">
        <f t="shared" si="3"/>
        <v>1.7859966698157367E-2</v>
      </c>
      <c r="G10" s="42"/>
    </row>
    <row r="11" spans="1:10" x14ac:dyDescent="0.25">
      <c r="A11" s="3">
        <v>18</v>
      </c>
      <c r="B11" s="4">
        <f t="shared" si="0"/>
        <v>56.548667764616276</v>
      </c>
      <c r="C11" s="4">
        <f t="shared" si="1"/>
        <v>58.448667764616275</v>
      </c>
      <c r="D11" s="2">
        <v>30</v>
      </c>
      <c r="E11" s="2">
        <f t="shared" si="2"/>
        <v>1</v>
      </c>
      <c r="F11" s="6">
        <f t="shared" si="3"/>
        <v>1.7109029824720508E-2</v>
      </c>
      <c r="G11" s="42"/>
    </row>
    <row r="12" spans="1:10" x14ac:dyDescent="0.25">
      <c r="A12" s="3">
        <v>17</v>
      </c>
      <c r="B12" s="4">
        <f t="shared" si="0"/>
        <v>53.407075111026487</v>
      </c>
      <c r="C12" s="4">
        <f t="shared" si="1"/>
        <v>55.307075111026485</v>
      </c>
      <c r="D12" s="2">
        <v>27</v>
      </c>
      <c r="E12" s="2">
        <f t="shared" si="2"/>
        <v>0.9</v>
      </c>
      <c r="F12" s="6">
        <f t="shared" si="3"/>
        <v>1.6272782427804944E-2</v>
      </c>
      <c r="G12" s="42"/>
    </row>
    <row r="13" spans="1:10" x14ac:dyDescent="0.25">
      <c r="A13" s="3">
        <v>16</v>
      </c>
      <c r="B13" s="4">
        <f t="shared" si="0"/>
        <v>50.26548245743669</v>
      </c>
      <c r="C13" s="4">
        <f t="shared" si="1"/>
        <v>52.165482457436688</v>
      </c>
      <c r="D13" s="2">
        <v>27</v>
      </c>
      <c r="E13" s="2">
        <f t="shared" si="2"/>
        <v>0.9</v>
      </c>
      <c r="F13" s="6">
        <f t="shared" si="3"/>
        <v>1.7252787812982191E-2</v>
      </c>
      <c r="G13" s="42"/>
    </row>
    <row r="14" spans="1:10" x14ac:dyDescent="0.25">
      <c r="A14" s="3">
        <v>15</v>
      </c>
      <c r="B14" s="4">
        <f t="shared" si="0"/>
        <v>47.123889803846893</v>
      </c>
      <c r="C14" s="4">
        <f t="shared" si="1"/>
        <v>49.023889803846892</v>
      </c>
      <c r="D14" s="2">
        <v>25</v>
      </c>
      <c r="E14" s="2">
        <f t="shared" si="2"/>
        <v>0.9</v>
      </c>
      <c r="F14" s="6">
        <f t="shared" si="3"/>
        <v>1.8358396357389357E-2</v>
      </c>
      <c r="G14" s="42"/>
    </row>
    <row r="15" spans="1:10" x14ac:dyDescent="0.25">
      <c r="A15" s="3">
        <v>14</v>
      </c>
      <c r="B15" s="4">
        <f t="shared" si="0"/>
        <v>43.982297150257104</v>
      </c>
      <c r="C15" s="4">
        <f t="shared" si="1"/>
        <v>45.882297150257102</v>
      </c>
      <c r="D15" s="2">
        <v>24</v>
      </c>
      <c r="E15" s="2">
        <f t="shared" si="2"/>
        <v>0.8</v>
      </c>
      <c r="F15" s="6">
        <f t="shared" si="3"/>
        <v>1.7435918637206185E-2</v>
      </c>
      <c r="G15" s="42"/>
    </row>
    <row r="16" spans="1:10" x14ac:dyDescent="0.25">
      <c r="A16" s="3">
        <v>13</v>
      </c>
      <c r="B16" s="4">
        <f t="shared" si="0"/>
        <v>40.840704496667314</v>
      </c>
      <c r="C16" s="4">
        <f t="shared" si="1"/>
        <v>42.740704496667313</v>
      </c>
      <c r="D16" s="2">
        <v>22</v>
      </c>
      <c r="E16" s="2">
        <f t="shared" si="2"/>
        <v>0.79999999999999993</v>
      </c>
      <c r="F16" s="6">
        <f t="shared" si="3"/>
        <v>1.8717520205180044E-2</v>
      </c>
      <c r="G16" s="42"/>
    </row>
    <row r="17" spans="1:7" x14ac:dyDescent="0.25">
      <c r="A17" s="3">
        <v>12</v>
      </c>
      <c r="B17" s="4">
        <f t="shared" si="0"/>
        <v>37.699111843077517</v>
      </c>
      <c r="C17" s="4">
        <f t="shared" si="1"/>
        <v>39.599111843077516</v>
      </c>
      <c r="D17" s="2">
        <v>21</v>
      </c>
      <c r="E17" s="2">
        <f t="shared" si="2"/>
        <v>0.7</v>
      </c>
      <c r="F17" s="6">
        <f t="shared" si="3"/>
        <v>1.7677164143830915E-2</v>
      </c>
      <c r="G17" s="42"/>
    </row>
    <row r="18" spans="1:7" x14ac:dyDescent="0.25">
      <c r="A18" s="3">
        <v>11</v>
      </c>
      <c r="B18" s="4">
        <f t="shared" si="0"/>
        <v>34.557519189487721</v>
      </c>
      <c r="C18" s="4">
        <f t="shared" si="1"/>
        <v>36.457519189487719</v>
      </c>
      <c r="D18" s="2">
        <v>19</v>
      </c>
      <c r="E18" s="2">
        <f t="shared" si="2"/>
        <v>0.7</v>
      </c>
      <c r="F18" s="6">
        <f t="shared" si="3"/>
        <v>1.920042876098493E-2</v>
      </c>
      <c r="G18" s="42"/>
    </row>
    <row r="19" spans="1:7" x14ac:dyDescent="0.25">
      <c r="A19" s="3">
        <v>10</v>
      </c>
      <c r="B19" s="4">
        <f t="shared" si="0"/>
        <v>31.415926535897931</v>
      </c>
      <c r="C19" s="4">
        <f t="shared" si="1"/>
        <v>33.31592653589793</v>
      </c>
      <c r="D19" s="2">
        <v>18</v>
      </c>
      <c r="E19" s="2">
        <f t="shared" si="2"/>
        <v>0.6</v>
      </c>
      <c r="F19" s="6">
        <f t="shared" si="3"/>
        <v>1.8009404581724588E-2</v>
      </c>
      <c r="G19" s="42"/>
    </row>
    <row r="20" spans="1:7" x14ac:dyDescent="0.25">
      <c r="A20" s="3">
        <v>9</v>
      </c>
      <c r="B20" s="4">
        <f t="shared" si="0"/>
        <v>28.274333882308138</v>
      </c>
      <c r="C20" s="4">
        <f t="shared" si="1"/>
        <v>30.174333882308137</v>
      </c>
      <c r="D20" s="2">
        <v>17</v>
      </c>
      <c r="E20" s="2">
        <f t="shared" si="2"/>
        <v>0.6</v>
      </c>
      <c r="F20" s="6">
        <f t="shared" si="3"/>
        <v>1.9884448894223739E-2</v>
      </c>
      <c r="G20" s="42"/>
    </row>
    <row r="21" spans="1:7" x14ac:dyDescent="0.25">
      <c r="A21" s="3">
        <v>8</v>
      </c>
      <c r="B21" s="4">
        <f t="shared" si="0"/>
        <v>25.132741228718345</v>
      </c>
      <c r="C21" s="4">
        <f t="shared" si="1"/>
        <v>27.032741228718344</v>
      </c>
      <c r="D21" s="2">
        <v>15</v>
      </c>
      <c r="E21" s="2">
        <f t="shared" si="2"/>
        <v>0.5</v>
      </c>
      <c r="F21" s="6">
        <f t="shared" si="3"/>
        <v>1.8496089455730925E-2</v>
      </c>
      <c r="G21" s="42"/>
    </row>
    <row r="22" spans="1:7" x14ac:dyDescent="0.25">
      <c r="A22" s="3">
        <v>7</v>
      </c>
      <c r="B22" s="4">
        <f t="shared" si="0"/>
        <v>21.991148575128552</v>
      </c>
      <c r="C22" s="4">
        <f t="shared" si="1"/>
        <v>23.89114857512855</v>
      </c>
      <c r="D22" s="2">
        <v>14</v>
      </c>
      <c r="E22" s="2">
        <f t="shared" si="2"/>
        <v>0.5</v>
      </c>
      <c r="F22" s="6">
        <f t="shared" si="3"/>
        <v>2.0928252922947203E-2</v>
      </c>
      <c r="G22" s="42"/>
    </row>
    <row r="23" spans="1:7" x14ac:dyDescent="0.25">
      <c r="A23" s="3">
        <v>6</v>
      </c>
      <c r="B23" s="4">
        <f t="shared" si="0"/>
        <v>18.849555921538759</v>
      </c>
      <c r="C23" s="4">
        <f t="shared" si="1"/>
        <v>20.749555921538757</v>
      </c>
      <c r="D23" s="2">
        <v>12</v>
      </c>
      <c r="E23" s="2">
        <f t="shared" si="2"/>
        <v>0.4</v>
      </c>
      <c r="F23" s="6">
        <f t="shared" si="3"/>
        <v>1.9277520999125875E-2</v>
      </c>
      <c r="G23" s="42"/>
    </row>
    <row r="24" spans="1:7" x14ac:dyDescent="0.25">
      <c r="A24" s="3">
        <v>5</v>
      </c>
      <c r="B24" s="4">
        <f t="shared" si="0"/>
        <v>15.707963267948966</v>
      </c>
      <c r="C24" s="4">
        <f t="shared" si="1"/>
        <v>17.607963267948964</v>
      </c>
      <c r="D24" s="2">
        <v>11</v>
      </c>
      <c r="E24" s="2">
        <f t="shared" si="2"/>
        <v>0.4</v>
      </c>
      <c r="F24" s="6">
        <f t="shared" si="3"/>
        <v>2.2716994232268941E-2</v>
      </c>
      <c r="G24" s="42"/>
    </row>
    <row r="25" spans="1:7" x14ac:dyDescent="0.25">
      <c r="A25" s="3">
        <v>4</v>
      </c>
      <c r="B25" s="4">
        <f t="shared" si="0"/>
        <v>12.566370614359172</v>
      </c>
      <c r="C25" s="4">
        <f t="shared" si="1"/>
        <v>14.466370614359173</v>
      </c>
      <c r="D25" s="2">
        <v>9</v>
      </c>
      <c r="E25" s="2">
        <f t="shared" si="2"/>
        <v>0.3</v>
      </c>
      <c r="F25" s="6">
        <f t="shared" si="3"/>
        <v>2.0737751575521164E-2</v>
      </c>
      <c r="G25" s="42"/>
    </row>
    <row r="26" spans="1:7" x14ac:dyDescent="0.25">
      <c r="A26" s="3">
        <v>3</v>
      </c>
      <c r="B26" s="4">
        <f t="shared" si="0"/>
        <v>9.4247779607693793</v>
      </c>
      <c r="C26" s="4">
        <f t="shared" si="1"/>
        <v>11.32477796076938</v>
      </c>
      <c r="D26" s="9">
        <v>53</v>
      </c>
      <c r="E26" s="2">
        <f t="shared" si="2"/>
        <v>1.8</v>
      </c>
      <c r="F26" s="6">
        <f t="shared" si="3"/>
        <v>0.1589435136154945</v>
      </c>
      <c r="G26" s="42">
        <f>AVERAGE(F26:F27)</f>
        <v>0.15279283869423282</v>
      </c>
    </row>
    <row r="27" spans="1:7" x14ac:dyDescent="0.25">
      <c r="A27" s="3">
        <v>2</v>
      </c>
      <c r="B27" s="4">
        <f t="shared" si="0"/>
        <v>6.2831853071795862</v>
      </c>
      <c r="C27" s="4">
        <f t="shared" si="1"/>
        <v>8.1831853071795866</v>
      </c>
      <c r="D27" s="9">
        <v>34</v>
      </c>
      <c r="E27" s="2">
        <f t="shared" si="2"/>
        <v>1.2000000000000002</v>
      </c>
      <c r="F27" s="6">
        <f t="shared" si="3"/>
        <v>0.14664216377297115</v>
      </c>
      <c r="G27" s="42"/>
    </row>
    <row r="28" spans="1:7" x14ac:dyDescent="0.25">
      <c r="A28" s="5" t="s">
        <v>11</v>
      </c>
      <c r="B28" s="5">
        <v>86.6</v>
      </c>
      <c r="C28" s="4">
        <f t="shared" si="1"/>
        <v>88.5</v>
      </c>
      <c r="D28" s="2">
        <v>45</v>
      </c>
      <c r="E28" s="2">
        <f t="shared" si="2"/>
        <v>1.5</v>
      </c>
      <c r="F28" s="6">
        <f t="shared" si="3"/>
        <v>1.6949152542372881E-2</v>
      </c>
      <c r="G28" s="42">
        <f>G4</f>
        <v>1.7404006228728428E-2</v>
      </c>
    </row>
    <row r="29" spans="1:7" x14ac:dyDescent="0.25">
      <c r="A29" s="5" t="s">
        <v>12</v>
      </c>
      <c r="B29" s="5">
        <v>75</v>
      </c>
      <c r="C29" s="4">
        <f t="shared" si="1"/>
        <v>76.900000000000006</v>
      </c>
      <c r="D29" s="2">
        <v>41</v>
      </c>
      <c r="E29" s="2">
        <f t="shared" si="2"/>
        <v>1.4000000000000001</v>
      </c>
      <c r="F29" s="6">
        <f t="shared" si="3"/>
        <v>1.8205461638491547E-2</v>
      </c>
      <c r="G29" s="42"/>
    </row>
    <row r="30" spans="1:7" x14ac:dyDescent="0.25">
      <c r="A30" s="5" t="s">
        <v>13</v>
      </c>
      <c r="B30" s="5">
        <v>100</v>
      </c>
      <c r="C30" s="4">
        <f t="shared" si="1"/>
        <v>101.9</v>
      </c>
      <c r="D30" s="2">
        <v>51</v>
      </c>
      <c r="E30" s="2">
        <f t="shared" si="2"/>
        <v>1.7</v>
      </c>
      <c r="F30" s="6">
        <f t="shared" si="3"/>
        <v>1.6683022571148183E-2</v>
      </c>
      <c r="G30" s="42"/>
    </row>
    <row r="31" spans="1:7" x14ac:dyDescent="0.25">
      <c r="A31" s="5" t="s">
        <v>14</v>
      </c>
      <c r="B31" s="5">
        <v>800</v>
      </c>
      <c r="C31" s="4">
        <v>800</v>
      </c>
      <c r="D31" s="2"/>
      <c r="E31" s="2">
        <f t="shared" si="2"/>
        <v>0</v>
      </c>
      <c r="F31" s="6">
        <f t="shared" si="3"/>
        <v>0</v>
      </c>
      <c r="G31" s="42"/>
    </row>
  </sheetData>
  <mergeCells count="3">
    <mergeCell ref="G4:G25"/>
    <mergeCell ref="G26:G27"/>
    <mergeCell ref="G28:G3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4DE02-F868-419D-A6C5-C92C29B548D2}">
  <sheetPr codeName="Sheet3"/>
  <dimension ref="A1:J31"/>
  <sheetViews>
    <sheetView workbookViewId="0">
      <selection activeCell="E35" sqref="E35"/>
    </sheetView>
  </sheetViews>
  <sheetFormatPr defaultRowHeight="15" x14ac:dyDescent="0.25"/>
  <cols>
    <col min="1" max="1" width="10.140625" bestFit="1" customWidth="1"/>
    <col min="3" max="4" width="10" bestFit="1" customWidth="1"/>
    <col min="5" max="5" width="12.85546875" bestFit="1" customWidth="1"/>
    <col min="6" max="6" width="12.7109375" bestFit="1" customWidth="1"/>
    <col min="10" max="10" width="15.140625" bestFit="1" customWidth="1"/>
  </cols>
  <sheetData>
    <row r="1" spans="1:10" x14ac:dyDescent="0.25">
      <c r="A1" t="s">
        <v>7</v>
      </c>
      <c r="B1" t="s">
        <v>5</v>
      </c>
      <c r="C1" s="1" t="s">
        <v>8</v>
      </c>
      <c r="D1">
        <v>2.7</v>
      </c>
      <c r="E1" s="1" t="s">
        <v>16</v>
      </c>
      <c r="F1">
        <v>7</v>
      </c>
      <c r="H1" t="s">
        <v>15</v>
      </c>
    </row>
    <row r="2" spans="1:10" x14ac:dyDescent="0.25">
      <c r="H2" t="s">
        <v>17</v>
      </c>
      <c r="I2" t="s">
        <v>18</v>
      </c>
      <c r="J2" t="s">
        <v>19</v>
      </c>
    </row>
    <row r="3" spans="1:10" x14ac:dyDescent="0.25">
      <c r="A3" s="2" t="s">
        <v>0</v>
      </c>
      <c r="B3" s="2" t="s">
        <v>1</v>
      </c>
      <c r="C3" s="2" t="s">
        <v>9</v>
      </c>
      <c r="D3" s="2" t="s">
        <v>10</v>
      </c>
      <c r="E3" s="2" t="s">
        <v>25</v>
      </c>
      <c r="F3" s="7" t="s">
        <v>51</v>
      </c>
      <c r="G3" s="7" t="s">
        <v>52</v>
      </c>
    </row>
    <row r="4" spans="1:10" x14ac:dyDescent="0.25">
      <c r="A4" s="3">
        <v>25</v>
      </c>
      <c r="B4" s="4">
        <f>A4*PI()</f>
        <v>78.539816339744831</v>
      </c>
      <c r="C4" s="4">
        <f>B4+$D$1</f>
        <v>81.239816339744834</v>
      </c>
      <c r="D4" s="2">
        <v>39</v>
      </c>
      <c r="E4" s="2">
        <f>ROUNDUP(D4/30,1)</f>
        <v>1.3</v>
      </c>
      <c r="F4" s="6">
        <f>E4/C4</f>
        <v>1.6002005649094545E-2</v>
      </c>
      <c r="G4" s="42">
        <f>AVERAGE(F4:F25,F28:F31)</f>
        <v>1.7051594889620394E-2</v>
      </c>
      <c r="J4" t="s">
        <v>20</v>
      </c>
    </row>
    <row r="5" spans="1:10" x14ac:dyDescent="0.25">
      <c r="A5" s="3">
        <v>24</v>
      </c>
      <c r="B5" s="4">
        <f t="shared" ref="B5:B27" si="0">A5*PI()</f>
        <v>75.398223686155035</v>
      </c>
      <c r="C5" s="4">
        <f t="shared" ref="C5:C30" si="1">B5+$D$1</f>
        <v>78.098223686155038</v>
      </c>
      <c r="D5" s="2">
        <v>38</v>
      </c>
      <c r="E5" s="2">
        <f t="shared" ref="E5:E31" si="2">ROUNDUP(D5/30,1)</f>
        <v>1.3</v>
      </c>
      <c r="F5" s="6">
        <f t="shared" ref="F5:F31" si="3">E5/C5</f>
        <v>1.6645705095984908E-2</v>
      </c>
      <c r="G5" s="42"/>
      <c r="J5" s="8" t="s">
        <v>21</v>
      </c>
    </row>
    <row r="6" spans="1:10" x14ac:dyDescent="0.25">
      <c r="A6" s="3">
        <v>23</v>
      </c>
      <c r="B6" s="4">
        <f t="shared" si="0"/>
        <v>72.256631032565238</v>
      </c>
      <c r="C6" s="4">
        <f t="shared" si="1"/>
        <v>74.956631032565241</v>
      </c>
      <c r="D6" s="2">
        <v>36</v>
      </c>
      <c r="E6" s="2">
        <f t="shared" si="2"/>
        <v>1.2</v>
      </c>
      <c r="F6" s="6">
        <f t="shared" si="3"/>
        <v>1.6009257399504182E-2</v>
      </c>
      <c r="G6" s="42"/>
    </row>
    <row r="7" spans="1:10" x14ac:dyDescent="0.25">
      <c r="A7" s="3">
        <v>22</v>
      </c>
      <c r="B7" s="4">
        <f t="shared" si="0"/>
        <v>69.115038378975441</v>
      </c>
      <c r="C7" s="4">
        <f t="shared" si="1"/>
        <v>71.815038378975444</v>
      </c>
      <c r="D7" s="2">
        <v>35</v>
      </c>
      <c r="E7" s="2">
        <f t="shared" si="2"/>
        <v>1.2000000000000002</v>
      </c>
      <c r="F7" s="6">
        <f t="shared" si="3"/>
        <v>1.6709592128426848E-2</v>
      </c>
      <c r="G7" s="42"/>
    </row>
    <row r="8" spans="1:10" x14ac:dyDescent="0.25">
      <c r="A8" s="3">
        <v>21</v>
      </c>
      <c r="B8" s="4">
        <f t="shared" si="0"/>
        <v>65.973445725385659</v>
      </c>
      <c r="C8" s="4">
        <f t="shared" si="1"/>
        <v>68.673445725385662</v>
      </c>
      <c r="D8" s="2">
        <v>34</v>
      </c>
      <c r="E8" s="2">
        <f t="shared" si="2"/>
        <v>1.2000000000000002</v>
      </c>
      <c r="F8" s="6">
        <f t="shared" si="3"/>
        <v>1.7474003049135062E-2</v>
      </c>
      <c r="G8" s="42"/>
    </row>
    <row r="9" spans="1:10" x14ac:dyDescent="0.25">
      <c r="A9" s="3">
        <v>20</v>
      </c>
      <c r="B9" s="4">
        <f t="shared" si="0"/>
        <v>62.831853071795862</v>
      </c>
      <c r="C9" s="4">
        <f t="shared" si="1"/>
        <v>65.531853071795865</v>
      </c>
      <c r="D9" s="2">
        <v>32</v>
      </c>
      <c r="E9" s="2">
        <f t="shared" si="2"/>
        <v>1.1000000000000001</v>
      </c>
      <c r="F9" s="6">
        <f t="shared" si="3"/>
        <v>1.6785730121119176E-2</v>
      </c>
      <c r="G9" s="42"/>
    </row>
    <row r="10" spans="1:10" x14ac:dyDescent="0.25">
      <c r="A10" s="3">
        <v>19</v>
      </c>
      <c r="B10" s="4">
        <f t="shared" si="0"/>
        <v>59.690260418206066</v>
      </c>
      <c r="C10" s="4">
        <f t="shared" si="1"/>
        <v>62.390260418206068</v>
      </c>
      <c r="D10" s="2">
        <v>31</v>
      </c>
      <c r="E10" s="2">
        <f t="shared" si="2"/>
        <v>1.1000000000000001</v>
      </c>
      <c r="F10" s="6">
        <f t="shared" si="3"/>
        <v>1.763095702160284E-2</v>
      </c>
      <c r="G10" s="42"/>
    </row>
    <row r="11" spans="1:10" x14ac:dyDescent="0.25">
      <c r="A11" s="3">
        <v>18</v>
      </c>
      <c r="B11" s="4">
        <f t="shared" si="0"/>
        <v>56.548667764616276</v>
      </c>
      <c r="C11" s="4">
        <f t="shared" si="1"/>
        <v>59.248667764616279</v>
      </c>
      <c r="D11" s="2">
        <v>30</v>
      </c>
      <c r="E11" s="2">
        <f t="shared" si="2"/>
        <v>1</v>
      </c>
      <c r="F11" s="6">
        <f t="shared" si="3"/>
        <v>1.6878016632758907E-2</v>
      </c>
      <c r="G11" s="42"/>
    </row>
    <row r="12" spans="1:10" x14ac:dyDescent="0.25">
      <c r="A12" s="3">
        <v>17</v>
      </c>
      <c r="B12" s="4">
        <f t="shared" si="0"/>
        <v>53.407075111026487</v>
      </c>
      <c r="C12" s="4">
        <f t="shared" si="1"/>
        <v>56.107075111026489</v>
      </c>
      <c r="D12" s="2">
        <v>27</v>
      </c>
      <c r="E12" s="2">
        <f t="shared" si="2"/>
        <v>0.9</v>
      </c>
      <c r="F12" s="6">
        <f t="shared" si="3"/>
        <v>1.6040757751478774E-2</v>
      </c>
      <c r="G12" s="42"/>
    </row>
    <row r="13" spans="1:10" x14ac:dyDescent="0.25">
      <c r="A13" s="3">
        <v>16</v>
      </c>
      <c r="B13" s="4">
        <f t="shared" si="0"/>
        <v>50.26548245743669</v>
      </c>
      <c r="C13" s="4">
        <f t="shared" si="1"/>
        <v>52.965482457436693</v>
      </c>
      <c r="D13" s="2">
        <v>27</v>
      </c>
      <c r="E13" s="2">
        <f t="shared" si="2"/>
        <v>0.9</v>
      </c>
      <c r="F13" s="6">
        <f t="shared" si="3"/>
        <v>1.6992198659254058E-2</v>
      </c>
      <c r="G13" s="42"/>
    </row>
    <row r="14" spans="1:10" x14ac:dyDescent="0.25">
      <c r="A14" s="3">
        <v>15</v>
      </c>
      <c r="B14" s="4">
        <f t="shared" si="0"/>
        <v>47.123889803846893</v>
      </c>
      <c r="C14" s="4">
        <f t="shared" si="1"/>
        <v>49.823889803846896</v>
      </c>
      <c r="D14" s="2">
        <v>25</v>
      </c>
      <c r="E14" s="2">
        <f t="shared" si="2"/>
        <v>0.9</v>
      </c>
      <c r="F14" s="6">
        <f t="shared" si="3"/>
        <v>1.8063623766495066E-2</v>
      </c>
      <c r="G14" s="42"/>
    </row>
    <row r="15" spans="1:10" x14ac:dyDescent="0.25">
      <c r="A15" s="3">
        <v>14</v>
      </c>
      <c r="B15" s="4">
        <f t="shared" si="0"/>
        <v>43.982297150257104</v>
      </c>
      <c r="C15" s="4">
        <f t="shared" si="1"/>
        <v>46.682297150257106</v>
      </c>
      <c r="D15" s="2">
        <v>24</v>
      </c>
      <c r="E15" s="2">
        <f t="shared" si="2"/>
        <v>0.8</v>
      </c>
      <c r="F15" s="6">
        <f t="shared" si="3"/>
        <v>1.713711725507051E-2</v>
      </c>
      <c r="G15" s="42"/>
    </row>
    <row r="16" spans="1:10" x14ac:dyDescent="0.25">
      <c r="A16" s="3">
        <v>13</v>
      </c>
      <c r="B16" s="4">
        <f t="shared" si="0"/>
        <v>40.840704496667314</v>
      </c>
      <c r="C16" s="4">
        <f t="shared" si="1"/>
        <v>43.540704496667317</v>
      </c>
      <c r="D16" s="2">
        <v>22</v>
      </c>
      <c r="E16" s="2">
        <f t="shared" si="2"/>
        <v>0.79999999999999993</v>
      </c>
      <c r="F16" s="6">
        <f t="shared" si="3"/>
        <v>1.8373611755896906E-2</v>
      </c>
      <c r="G16" s="42"/>
    </row>
    <row r="17" spans="1:7" x14ac:dyDescent="0.25">
      <c r="A17" s="3">
        <v>12</v>
      </c>
      <c r="B17" s="4">
        <f t="shared" si="0"/>
        <v>37.699111843077517</v>
      </c>
      <c r="C17" s="4">
        <f t="shared" si="1"/>
        <v>40.39911184307752</v>
      </c>
      <c r="D17" s="2">
        <v>21</v>
      </c>
      <c r="E17" s="2">
        <f t="shared" si="2"/>
        <v>0.7</v>
      </c>
      <c r="F17" s="6">
        <f t="shared" si="3"/>
        <v>1.7327113593957551E-2</v>
      </c>
      <c r="G17" s="42"/>
    </row>
    <row r="18" spans="1:7" x14ac:dyDescent="0.25">
      <c r="A18" s="3">
        <v>11</v>
      </c>
      <c r="B18" s="4">
        <f t="shared" si="0"/>
        <v>34.557519189487721</v>
      </c>
      <c r="C18" s="4">
        <f t="shared" si="1"/>
        <v>37.257519189487724</v>
      </c>
      <c r="D18" s="2">
        <v>19</v>
      </c>
      <c r="E18" s="2">
        <f t="shared" si="2"/>
        <v>0.7</v>
      </c>
      <c r="F18" s="6">
        <f t="shared" si="3"/>
        <v>1.8788153780177244E-2</v>
      </c>
      <c r="G18" s="42"/>
    </row>
    <row r="19" spans="1:7" x14ac:dyDescent="0.25">
      <c r="A19" s="3">
        <v>10</v>
      </c>
      <c r="B19" s="4">
        <f t="shared" si="0"/>
        <v>31.415926535897931</v>
      </c>
      <c r="C19" s="4">
        <f t="shared" si="1"/>
        <v>34.115926535897934</v>
      </c>
      <c r="D19" s="2">
        <v>18</v>
      </c>
      <c r="E19" s="2">
        <f t="shared" si="2"/>
        <v>0.6</v>
      </c>
      <c r="F19" s="6">
        <f t="shared" si="3"/>
        <v>1.7587093798219423E-2</v>
      </c>
      <c r="G19" s="42"/>
    </row>
    <row r="20" spans="1:7" x14ac:dyDescent="0.25">
      <c r="A20" s="3">
        <v>9</v>
      </c>
      <c r="B20" s="4">
        <f t="shared" si="0"/>
        <v>28.274333882308138</v>
      </c>
      <c r="C20" s="4">
        <f t="shared" si="1"/>
        <v>30.974333882308137</v>
      </c>
      <c r="D20" s="2">
        <v>17</v>
      </c>
      <c r="E20" s="2">
        <f t="shared" si="2"/>
        <v>0.6</v>
      </c>
      <c r="F20" s="6">
        <f t="shared" si="3"/>
        <v>1.9370876619326006E-2</v>
      </c>
      <c r="G20" s="42"/>
    </row>
    <row r="21" spans="1:7" x14ac:dyDescent="0.25">
      <c r="A21" s="3">
        <v>8</v>
      </c>
      <c r="B21" s="4">
        <f t="shared" si="0"/>
        <v>25.132741228718345</v>
      </c>
      <c r="C21" s="4">
        <f t="shared" si="1"/>
        <v>27.832741228718344</v>
      </c>
      <c r="D21" s="2">
        <v>15</v>
      </c>
      <c r="E21" s="2">
        <f t="shared" si="2"/>
        <v>0.5</v>
      </c>
      <c r="F21" s="6">
        <f t="shared" si="3"/>
        <v>1.7964454018064544E-2</v>
      </c>
      <c r="G21" s="42"/>
    </row>
    <row r="22" spans="1:7" x14ac:dyDescent="0.25">
      <c r="A22" s="3">
        <v>7</v>
      </c>
      <c r="B22" s="4">
        <f t="shared" si="0"/>
        <v>21.991148575128552</v>
      </c>
      <c r="C22" s="4">
        <f t="shared" si="1"/>
        <v>24.691148575128551</v>
      </c>
      <c r="D22" s="2">
        <v>14</v>
      </c>
      <c r="E22" s="2">
        <f t="shared" si="2"/>
        <v>0.5</v>
      </c>
      <c r="F22" s="6">
        <f t="shared" si="3"/>
        <v>2.0250171776279826E-2</v>
      </c>
      <c r="G22" s="42"/>
    </row>
    <row r="23" spans="1:7" x14ac:dyDescent="0.25">
      <c r="A23" s="3">
        <v>6</v>
      </c>
      <c r="B23" s="4">
        <f t="shared" si="0"/>
        <v>18.849555921538759</v>
      </c>
      <c r="C23" s="4">
        <f t="shared" si="1"/>
        <v>21.549555921538758</v>
      </c>
      <c r="D23" s="2">
        <v>12</v>
      </c>
      <c r="E23" s="2">
        <f t="shared" si="2"/>
        <v>0.4</v>
      </c>
      <c r="F23" s="6">
        <f t="shared" si="3"/>
        <v>1.8561867421137919E-2</v>
      </c>
      <c r="G23" s="42"/>
    </row>
    <row r="24" spans="1:7" x14ac:dyDescent="0.25">
      <c r="A24" s="3">
        <v>5</v>
      </c>
      <c r="B24" s="4">
        <f t="shared" si="0"/>
        <v>15.707963267948966</v>
      </c>
      <c r="C24" s="4">
        <f t="shared" si="1"/>
        <v>18.407963267948965</v>
      </c>
      <c r="D24" s="2">
        <v>11</v>
      </c>
      <c r="E24" s="2">
        <f t="shared" si="2"/>
        <v>0.4</v>
      </c>
      <c r="F24" s="6">
        <f t="shared" si="3"/>
        <v>2.1729726106986546E-2</v>
      </c>
      <c r="G24" s="42"/>
    </row>
    <row r="25" spans="1:7" x14ac:dyDescent="0.25">
      <c r="A25" s="3">
        <v>4</v>
      </c>
      <c r="B25" s="4">
        <f t="shared" si="0"/>
        <v>12.566370614359172</v>
      </c>
      <c r="C25" s="4">
        <f t="shared" si="1"/>
        <v>15.266370614359172</v>
      </c>
      <c r="D25" s="2">
        <v>9</v>
      </c>
      <c r="E25" s="2">
        <f t="shared" si="2"/>
        <v>0.3</v>
      </c>
      <c r="F25" s="6">
        <f t="shared" si="3"/>
        <v>1.965103609615159E-2</v>
      </c>
      <c r="G25" s="42"/>
    </row>
    <row r="26" spans="1:7" x14ac:dyDescent="0.25">
      <c r="A26" s="3">
        <v>3</v>
      </c>
      <c r="B26" s="4">
        <f t="shared" si="0"/>
        <v>9.4247779607693793</v>
      </c>
      <c r="C26" s="4">
        <f t="shared" si="1"/>
        <v>12.124777960769379</v>
      </c>
      <c r="D26" s="9">
        <v>53</v>
      </c>
      <c r="E26" s="2">
        <f t="shared" si="2"/>
        <v>1.8</v>
      </c>
      <c r="F26" s="6">
        <f t="shared" si="3"/>
        <v>0.14845632685596669</v>
      </c>
      <c r="G26" s="42">
        <f>AVERAGE(F26:F27)</f>
        <v>0.14101961651316741</v>
      </c>
    </row>
    <row r="27" spans="1:7" x14ac:dyDescent="0.25">
      <c r="A27" s="3">
        <v>2</v>
      </c>
      <c r="B27" s="4">
        <f t="shared" si="0"/>
        <v>6.2831853071795862</v>
      </c>
      <c r="C27" s="4">
        <f t="shared" si="1"/>
        <v>8.9831853071795855</v>
      </c>
      <c r="D27" s="9">
        <v>34</v>
      </c>
      <c r="E27" s="2">
        <f t="shared" si="2"/>
        <v>1.2000000000000002</v>
      </c>
      <c r="F27" s="6">
        <f t="shared" si="3"/>
        <v>0.13358290617036814</v>
      </c>
      <c r="G27" s="42"/>
    </row>
    <row r="28" spans="1:7" x14ac:dyDescent="0.25">
      <c r="A28" s="5" t="s">
        <v>11</v>
      </c>
      <c r="B28" s="5">
        <v>86.6</v>
      </c>
      <c r="C28" s="4">
        <f t="shared" si="1"/>
        <v>89.3</v>
      </c>
      <c r="D28" s="2">
        <v>45</v>
      </c>
      <c r="E28" s="2">
        <f t="shared" si="2"/>
        <v>1.5</v>
      </c>
      <c r="F28" s="6">
        <f t="shared" si="3"/>
        <v>1.6797312430011199E-2</v>
      </c>
      <c r="G28" s="42">
        <f>G4</f>
        <v>1.7051594889620394E-2</v>
      </c>
    </row>
    <row r="29" spans="1:7" x14ac:dyDescent="0.25">
      <c r="A29" s="5" t="s">
        <v>12</v>
      </c>
      <c r="B29" s="5">
        <v>75</v>
      </c>
      <c r="C29" s="4">
        <f t="shared" si="1"/>
        <v>77.7</v>
      </c>
      <c r="D29" s="2">
        <v>41</v>
      </c>
      <c r="E29" s="2">
        <f t="shared" si="2"/>
        <v>1.4000000000000001</v>
      </c>
      <c r="F29" s="6">
        <f t="shared" si="3"/>
        <v>1.8018018018018018E-2</v>
      </c>
      <c r="G29" s="42"/>
    </row>
    <row r="30" spans="1:7" x14ac:dyDescent="0.25">
      <c r="A30" s="5" t="s">
        <v>13</v>
      </c>
      <c r="B30" s="5">
        <v>100</v>
      </c>
      <c r="C30" s="4">
        <f t="shared" si="1"/>
        <v>102.7</v>
      </c>
      <c r="D30" s="2">
        <v>51</v>
      </c>
      <c r="E30" s="2">
        <f t="shared" si="2"/>
        <v>1.7</v>
      </c>
      <c r="F30" s="6">
        <f t="shared" si="3"/>
        <v>1.6553067185978577E-2</v>
      </c>
      <c r="G30" s="42"/>
    </row>
    <row r="31" spans="1:7" x14ac:dyDescent="0.25">
      <c r="A31" s="5" t="s">
        <v>14</v>
      </c>
      <c r="B31" s="5">
        <v>800</v>
      </c>
      <c r="C31" s="4">
        <v>800</v>
      </c>
      <c r="D31" s="2"/>
      <c r="E31" s="2">
        <f t="shared" si="2"/>
        <v>0</v>
      </c>
      <c r="F31" s="6">
        <f t="shared" si="3"/>
        <v>0</v>
      </c>
      <c r="G31" s="42"/>
    </row>
  </sheetData>
  <mergeCells count="3">
    <mergeCell ref="G28:G31"/>
    <mergeCell ref="G4:G25"/>
    <mergeCell ref="G26:G27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09A3A-8C1F-445B-80C3-6FF30197E327}">
  <sheetPr codeName="Sheet4"/>
  <dimension ref="A1:J31"/>
  <sheetViews>
    <sheetView workbookViewId="0">
      <selection activeCell="F1" sqref="F1"/>
    </sheetView>
  </sheetViews>
  <sheetFormatPr defaultRowHeight="15" x14ac:dyDescent="0.25"/>
  <cols>
    <col min="1" max="1" width="10.140625" bestFit="1" customWidth="1"/>
    <col min="3" max="4" width="10" bestFit="1" customWidth="1"/>
    <col min="5" max="5" width="12.85546875" bestFit="1" customWidth="1"/>
    <col min="6" max="6" width="12.7109375" bestFit="1" customWidth="1"/>
    <col min="10" max="10" width="15.140625" bestFit="1" customWidth="1"/>
  </cols>
  <sheetData>
    <row r="1" spans="1:10" x14ac:dyDescent="0.25">
      <c r="A1" t="s">
        <v>7</v>
      </c>
      <c r="B1" t="s">
        <v>4</v>
      </c>
      <c r="C1" s="1" t="s">
        <v>8</v>
      </c>
      <c r="D1">
        <v>4.2</v>
      </c>
      <c r="E1" s="1" t="s">
        <v>16</v>
      </c>
      <c r="F1">
        <v>9</v>
      </c>
      <c r="H1" t="s">
        <v>15</v>
      </c>
    </row>
    <row r="2" spans="1:10" x14ac:dyDescent="0.25">
      <c r="H2" t="s">
        <v>17</v>
      </c>
      <c r="I2" t="s">
        <v>18</v>
      </c>
      <c r="J2" t="s">
        <v>19</v>
      </c>
    </row>
    <row r="3" spans="1:10" x14ac:dyDescent="0.25">
      <c r="A3" s="2" t="s">
        <v>0</v>
      </c>
      <c r="B3" s="2" t="s">
        <v>1</v>
      </c>
      <c r="C3" s="2" t="s">
        <v>9</v>
      </c>
      <c r="D3" s="2" t="s">
        <v>10</v>
      </c>
      <c r="E3" s="2" t="s">
        <v>25</v>
      </c>
      <c r="F3" s="7" t="s">
        <v>53</v>
      </c>
      <c r="G3" s="7" t="s">
        <v>52</v>
      </c>
      <c r="H3" s="7"/>
    </row>
    <row r="4" spans="1:10" x14ac:dyDescent="0.25">
      <c r="A4" s="3">
        <v>25</v>
      </c>
      <c r="B4" s="4">
        <f>A4*PI()</f>
        <v>78.539816339744831</v>
      </c>
      <c r="C4" s="4">
        <f>B4+$D$1</f>
        <v>82.739816339744834</v>
      </c>
      <c r="D4" s="2">
        <v>54</v>
      </c>
      <c r="E4" s="2">
        <f>ROUNDUP(D4/30,1)</f>
        <v>1.8</v>
      </c>
      <c r="F4" s="6">
        <f>E4/C4</f>
        <v>2.1754943141387581E-2</v>
      </c>
      <c r="G4" s="42">
        <f>AVERAGE(F4:F24,F28:F31)</f>
        <v>2.2203545682231759E-2</v>
      </c>
      <c r="H4" s="19"/>
      <c r="J4" t="s">
        <v>20</v>
      </c>
    </row>
    <row r="5" spans="1:10" x14ac:dyDescent="0.25">
      <c r="A5" s="3">
        <v>24</v>
      </c>
      <c r="B5" s="4">
        <f t="shared" ref="B5:B27" si="0">A5*PI()</f>
        <v>75.398223686155035</v>
      </c>
      <c r="C5" s="4">
        <f t="shared" ref="C5:C30" si="1">B5+$D$1</f>
        <v>79.598223686155038</v>
      </c>
      <c r="D5" s="2">
        <v>53</v>
      </c>
      <c r="E5" s="2">
        <f t="shared" ref="E5:E31" si="2">ROUNDUP(D5/30,1)</f>
        <v>1.8</v>
      </c>
      <c r="F5" s="6">
        <f t="shared" ref="F5:F31" si="3">E5/C5</f>
        <v>2.2613569959766378E-2</v>
      </c>
      <c r="G5" s="42"/>
      <c r="H5" s="19"/>
      <c r="J5" s="8" t="s">
        <v>21</v>
      </c>
    </row>
    <row r="6" spans="1:10" x14ac:dyDescent="0.25">
      <c r="A6" s="3">
        <v>23</v>
      </c>
      <c r="B6" s="4">
        <f t="shared" si="0"/>
        <v>72.256631032565238</v>
      </c>
      <c r="C6" s="4">
        <f t="shared" si="1"/>
        <v>76.456631032565241</v>
      </c>
      <c r="D6" s="2">
        <v>51</v>
      </c>
      <c r="E6" s="2">
        <f t="shared" si="2"/>
        <v>1.7</v>
      </c>
      <c r="F6" s="6">
        <f t="shared" si="3"/>
        <v>2.223482747069927E-2</v>
      </c>
      <c r="G6" s="42"/>
      <c r="H6" s="19"/>
    </row>
    <row r="7" spans="1:10" x14ac:dyDescent="0.25">
      <c r="A7" s="3">
        <v>22</v>
      </c>
      <c r="B7" s="4">
        <f t="shared" si="0"/>
        <v>69.115038378975441</v>
      </c>
      <c r="C7" s="4">
        <f t="shared" si="1"/>
        <v>73.315038378975444</v>
      </c>
      <c r="D7" s="2">
        <v>49</v>
      </c>
      <c r="E7" s="2">
        <f t="shared" si="2"/>
        <v>1.7000000000000002</v>
      </c>
      <c r="F7" s="6">
        <f t="shared" si="3"/>
        <v>2.3187602947330778E-2</v>
      </c>
      <c r="G7" s="42"/>
      <c r="H7" s="19"/>
    </row>
    <row r="8" spans="1:10" x14ac:dyDescent="0.25">
      <c r="A8" s="3">
        <v>21</v>
      </c>
      <c r="B8" s="4">
        <f t="shared" si="0"/>
        <v>65.973445725385659</v>
      </c>
      <c r="C8" s="4">
        <f t="shared" si="1"/>
        <v>70.173445725385662</v>
      </c>
      <c r="D8" s="2">
        <v>44</v>
      </c>
      <c r="E8" s="2">
        <f t="shared" si="2"/>
        <v>1.5</v>
      </c>
      <c r="F8" s="6">
        <f t="shared" si="3"/>
        <v>2.1375607033322093E-2</v>
      </c>
      <c r="G8" s="42"/>
      <c r="H8" s="19"/>
    </row>
    <row r="9" spans="1:10" x14ac:dyDescent="0.25">
      <c r="A9" s="3">
        <v>20</v>
      </c>
      <c r="B9" s="4">
        <f t="shared" si="0"/>
        <v>62.831853071795862</v>
      </c>
      <c r="C9" s="4">
        <f t="shared" si="1"/>
        <v>67.031853071795865</v>
      </c>
      <c r="D9" s="2">
        <v>44</v>
      </c>
      <c r="E9" s="2">
        <f t="shared" si="2"/>
        <v>1.5</v>
      </c>
      <c r="F9" s="6">
        <f t="shared" si="3"/>
        <v>2.2377421050756179E-2</v>
      </c>
      <c r="G9" s="42"/>
      <c r="H9" s="19"/>
    </row>
    <row r="10" spans="1:10" x14ac:dyDescent="0.25">
      <c r="A10" s="3">
        <v>19</v>
      </c>
      <c r="B10" s="4">
        <f t="shared" si="0"/>
        <v>59.690260418206066</v>
      </c>
      <c r="C10" s="4">
        <f t="shared" si="1"/>
        <v>63.890260418206068</v>
      </c>
      <c r="D10" s="2">
        <v>42</v>
      </c>
      <c r="E10" s="2">
        <f t="shared" si="2"/>
        <v>1.4</v>
      </c>
      <c r="F10" s="6">
        <f t="shared" si="3"/>
        <v>2.1912573071952265E-2</v>
      </c>
      <c r="G10" s="42"/>
      <c r="H10" s="19"/>
    </row>
    <row r="11" spans="1:10" x14ac:dyDescent="0.25">
      <c r="A11" s="3">
        <v>18</v>
      </c>
      <c r="B11" s="4">
        <f t="shared" si="0"/>
        <v>56.548667764616276</v>
      </c>
      <c r="C11" s="4">
        <f t="shared" si="1"/>
        <v>60.748667764616279</v>
      </c>
      <c r="D11" s="2">
        <v>41</v>
      </c>
      <c r="E11" s="2">
        <f t="shared" si="2"/>
        <v>1.4000000000000001</v>
      </c>
      <c r="F11" s="6">
        <f t="shared" si="3"/>
        <v>2.3045772878914808E-2</v>
      </c>
      <c r="G11" s="42"/>
      <c r="H11" s="19"/>
    </row>
    <row r="12" spans="1:10" x14ac:dyDescent="0.25">
      <c r="A12" s="3">
        <v>17</v>
      </c>
      <c r="B12" s="4">
        <f t="shared" si="0"/>
        <v>53.407075111026487</v>
      </c>
      <c r="C12" s="4">
        <f t="shared" si="1"/>
        <v>57.607075111026489</v>
      </c>
      <c r="D12" s="2">
        <v>38</v>
      </c>
      <c r="E12" s="2">
        <f t="shared" si="2"/>
        <v>1.3</v>
      </c>
      <c r="F12" s="6">
        <f t="shared" si="3"/>
        <v>2.2566672539692419E-2</v>
      </c>
      <c r="G12" s="42"/>
      <c r="H12" s="19"/>
    </row>
    <row r="13" spans="1:10" x14ac:dyDescent="0.25">
      <c r="A13" s="3">
        <v>16</v>
      </c>
      <c r="B13" s="4">
        <f t="shared" si="0"/>
        <v>50.26548245743669</v>
      </c>
      <c r="C13" s="4">
        <f t="shared" si="1"/>
        <v>54.465482457436693</v>
      </c>
      <c r="D13" s="2">
        <v>37</v>
      </c>
      <c r="E13" s="2">
        <f t="shared" si="2"/>
        <v>1.3</v>
      </c>
      <c r="F13" s="6">
        <f t="shared" si="3"/>
        <v>2.3868328000507755E-2</v>
      </c>
      <c r="G13" s="42"/>
      <c r="H13" s="19"/>
    </row>
    <row r="14" spans="1:10" x14ac:dyDescent="0.25">
      <c r="A14" s="3">
        <v>15</v>
      </c>
      <c r="B14" s="4">
        <f t="shared" si="0"/>
        <v>47.123889803846893</v>
      </c>
      <c r="C14" s="4">
        <f t="shared" si="1"/>
        <v>51.323889803846896</v>
      </c>
      <c r="D14" s="2">
        <v>35</v>
      </c>
      <c r="E14" s="2">
        <f t="shared" si="2"/>
        <v>1.2000000000000002</v>
      </c>
      <c r="F14" s="6">
        <f t="shared" si="3"/>
        <v>2.3380924645155329E-2</v>
      </c>
      <c r="G14" s="42"/>
      <c r="H14" s="19"/>
    </row>
    <row r="15" spans="1:10" x14ac:dyDescent="0.25">
      <c r="A15" s="3">
        <v>14</v>
      </c>
      <c r="B15" s="4">
        <f t="shared" si="0"/>
        <v>43.982297150257104</v>
      </c>
      <c r="C15" s="4">
        <f t="shared" si="1"/>
        <v>48.182297150257106</v>
      </c>
      <c r="D15" s="2">
        <v>33</v>
      </c>
      <c r="E15" s="2">
        <f t="shared" si="2"/>
        <v>1.1000000000000001</v>
      </c>
      <c r="F15" s="6">
        <f t="shared" si="3"/>
        <v>2.2829961729919936E-2</v>
      </c>
      <c r="G15" s="42"/>
      <c r="H15" s="19"/>
    </row>
    <row r="16" spans="1:10" x14ac:dyDescent="0.25">
      <c r="A16" s="3">
        <v>13</v>
      </c>
      <c r="B16" s="4">
        <f t="shared" si="0"/>
        <v>40.840704496667314</v>
      </c>
      <c r="C16" s="4">
        <f t="shared" si="1"/>
        <v>45.040704496667317</v>
      </c>
      <c r="D16" s="2">
        <v>30</v>
      </c>
      <c r="E16" s="2">
        <f t="shared" si="2"/>
        <v>1</v>
      </c>
      <c r="F16" s="6">
        <f t="shared" si="3"/>
        <v>2.2202139402015628E-2</v>
      </c>
      <c r="G16" s="42"/>
      <c r="H16" s="19"/>
    </row>
    <row r="17" spans="1:8" x14ac:dyDescent="0.25">
      <c r="A17" s="3">
        <v>12</v>
      </c>
      <c r="B17" s="4">
        <f t="shared" si="0"/>
        <v>37.699111843077517</v>
      </c>
      <c r="C17" s="4">
        <f t="shared" si="1"/>
        <v>41.89911184307752</v>
      </c>
      <c r="D17" s="2">
        <v>29</v>
      </c>
      <c r="E17" s="2">
        <f t="shared" si="2"/>
        <v>1</v>
      </c>
      <c r="F17" s="6">
        <f t="shared" si="3"/>
        <v>2.3866854355892936E-2</v>
      </c>
      <c r="G17" s="42"/>
      <c r="H17" s="19"/>
    </row>
    <row r="18" spans="1:8" x14ac:dyDescent="0.25">
      <c r="A18" s="3">
        <v>11</v>
      </c>
      <c r="B18" s="4">
        <f t="shared" si="0"/>
        <v>34.557519189487721</v>
      </c>
      <c r="C18" s="4">
        <f t="shared" si="1"/>
        <v>38.757519189487724</v>
      </c>
      <c r="D18" s="2">
        <v>27</v>
      </c>
      <c r="E18" s="2">
        <f t="shared" si="2"/>
        <v>0.9</v>
      </c>
      <c r="F18" s="6">
        <f t="shared" si="3"/>
        <v>2.3221300506873224E-2</v>
      </c>
      <c r="G18" s="42"/>
      <c r="H18" s="19"/>
    </row>
    <row r="19" spans="1:8" x14ac:dyDescent="0.25">
      <c r="A19" s="3">
        <v>10</v>
      </c>
      <c r="B19" s="4">
        <f t="shared" si="0"/>
        <v>31.415926535897931</v>
      </c>
      <c r="C19" s="4">
        <f t="shared" si="1"/>
        <v>35.615926535897934</v>
      </c>
      <c r="D19" s="2">
        <v>25</v>
      </c>
      <c r="E19" s="2">
        <f t="shared" si="2"/>
        <v>0.9</v>
      </c>
      <c r="F19" s="6">
        <f t="shared" si="3"/>
        <v>2.5269593901842587E-2</v>
      </c>
      <c r="G19" s="42"/>
      <c r="H19" s="19"/>
    </row>
    <row r="20" spans="1:8" x14ac:dyDescent="0.25">
      <c r="A20" s="3">
        <v>9</v>
      </c>
      <c r="B20" s="4">
        <f t="shared" si="0"/>
        <v>28.274333882308138</v>
      </c>
      <c r="C20" s="4">
        <f t="shared" si="1"/>
        <v>32.474333882308137</v>
      </c>
      <c r="D20" s="2">
        <v>23</v>
      </c>
      <c r="E20" s="2">
        <f t="shared" si="2"/>
        <v>0.79999999999999993</v>
      </c>
      <c r="F20" s="6">
        <f t="shared" si="3"/>
        <v>2.4634839405769493E-2</v>
      </c>
      <c r="G20" s="42"/>
      <c r="H20" s="19"/>
    </row>
    <row r="21" spans="1:8" x14ac:dyDescent="0.25">
      <c r="A21" s="3">
        <v>8</v>
      </c>
      <c r="B21" s="4">
        <f t="shared" si="0"/>
        <v>25.132741228718345</v>
      </c>
      <c r="C21" s="4">
        <f t="shared" si="1"/>
        <v>29.332741228718344</v>
      </c>
      <c r="D21" s="2">
        <v>21</v>
      </c>
      <c r="E21" s="2">
        <f t="shared" si="2"/>
        <v>0.7</v>
      </c>
      <c r="F21" s="6">
        <f t="shared" si="3"/>
        <v>2.3864118070037792E-2</v>
      </c>
      <c r="G21" s="42"/>
      <c r="H21" s="19"/>
    </row>
    <row r="22" spans="1:8" x14ac:dyDescent="0.25">
      <c r="A22" s="3">
        <v>7</v>
      </c>
      <c r="B22" s="4">
        <f t="shared" si="0"/>
        <v>21.991148575128552</v>
      </c>
      <c r="C22" s="4">
        <f t="shared" si="1"/>
        <v>26.191148575128551</v>
      </c>
      <c r="D22" s="2">
        <v>18</v>
      </c>
      <c r="E22" s="2">
        <f t="shared" si="2"/>
        <v>0.6</v>
      </c>
      <c r="F22" s="6">
        <f t="shared" si="3"/>
        <v>2.2908502782110429E-2</v>
      </c>
      <c r="G22" s="42"/>
      <c r="H22" s="19"/>
    </row>
    <row r="23" spans="1:8" x14ac:dyDescent="0.25">
      <c r="A23" s="3">
        <v>6</v>
      </c>
      <c r="B23" s="4">
        <f t="shared" si="0"/>
        <v>18.849555921538759</v>
      </c>
      <c r="C23" s="4">
        <f t="shared" si="1"/>
        <v>23.049555921538758</v>
      </c>
      <c r="D23" s="2">
        <v>16</v>
      </c>
      <c r="E23" s="2">
        <f t="shared" si="2"/>
        <v>0.6</v>
      </c>
      <c r="F23" s="6">
        <f t="shared" si="3"/>
        <v>2.6030870271098253E-2</v>
      </c>
      <c r="G23" s="42"/>
      <c r="H23" s="19"/>
    </row>
    <row r="24" spans="1:8" x14ac:dyDescent="0.25">
      <c r="A24" s="3">
        <v>5</v>
      </c>
      <c r="B24" s="4">
        <f t="shared" si="0"/>
        <v>15.707963267948966</v>
      </c>
      <c r="C24" s="4">
        <f t="shared" si="1"/>
        <v>19.907963267948965</v>
      </c>
      <c r="D24" s="2">
        <v>14</v>
      </c>
      <c r="E24" s="2">
        <f t="shared" si="2"/>
        <v>0.5</v>
      </c>
      <c r="F24" s="6">
        <f t="shared" si="3"/>
        <v>2.5115577785145921E-2</v>
      </c>
      <c r="G24" s="42"/>
      <c r="H24" s="19"/>
    </row>
    <row r="25" spans="1:8" x14ac:dyDescent="0.25">
      <c r="A25" s="3">
        <v>4</v>
      </c>
      <c r="B25" s="4">
        <f t="shared" si="0"/>
        <v>12.566370614359172</v>
      </c>
      <c r="C25" s="4">
        <f t="shared" si="1"/>
        <v>16.766370614359172</v>
      </c>
      <c r="D25" s="9">
        <v>82</v>
      </c>
      <c r="E25" s="2">
        <f t="shared" si="2"/>
        <v>2.8000000000000003</v>
      </c>
      <c r="F25" s="6">
        <f t="shared" si="3"/>
        <v>0.1670009606970041</v>
      </c>
      <c r="G25" s="42">
        <f>AVERAGE(F25:F27)</f>
        <v>0.18335665422010194</v>
      </c>
      <c r="H25" s="19"/>
    </row>
    <row r="26" spans="1:8" x14ac:dyDescent="0.25">
      <c r="A26" s="3">
        <v>3</v>
      </c>
      <c r="B26" s="4">
        <f t="shared" si="0"/>
        <v>9.4247779607693793</v>
      </c>
      <c r="C26" s="4">
        <f t="shared" si="1"/>
        <v>13.624777960769379</v>
      </c>
      <c r="D26" s="9">
        <v>62</v>
      </c>
      <c r="E26" s="2">
        <f t="shared" si="2"/>
        <v>2.1</v>
      </c>
      <c r="F26" s="6">
        <f t="shared" si="3"/>
        <v>0.15413095215545186</v>
      </c>
      <c r="G26" s="42"/>
      <c r="H26" s="19"/>
    </row>
    <row r="27" spans="1:8" x14ac:dyDescent="0.25">
      <c r="A27" s="3">
        <v>2</v>
      </c>
      <c r="B27" s="4">
        <f t="shared" si="0"/>
        <v>6.2831853071795862</v>
      </c>
      <c r="C27" s="4">
        <f t="shared" si="1"/>
        <v>10.483185307179586</v>
      </c>
      <c r="D27" s="9">
        <v>71</v>
      </c>
      <c r="E27" s="2">
        <f t="shared" si="2"/>
        <v>2.4</v>
      </c>
      <c r="F27" s="6">
        <f t="shared" si="3"/>
        <v>0.22893804980784987</v>
      </c>
      <c r="G27" s="42"/>
      <c r="H27" s="19"/>
    </row>
    <row r="28" spans="1:8" x14ac:dyDescent="0.25">
      <c r="A28" s="5" t="s">
        <v>11</v>
      </c>
      <c r="B28" s="5">
        <v>86.6</v>
      </c>
      <c r="C28" s="4">
        <f t="shared" si="1"/>
        <v>90.8</v>
      </c>
      <c r="D28" s="2">
        <v>60</v>
      </c>
      <c r="E28" s="2">
        <f t="shared" si="2"/>
        <v>2</v>
      </c>
      <c r="F28" s="6">
        <f t="shared" si="3"/>
        <v>2.2026431718061675E-2</v>
      </c>
      <c r="G28" s="42">
        <f>G4</f>
        <v>2.2203545682231759E-2</v>
      </c>
      <c r="H28" s="19"/>
    </row>
    <row r="29" spans="1:8" x14ac:dyDescent="0.25">
      <c r="A29" s="5" t="s">
        <v>12</v>
      </c>
      <c r="B29" s="5">
        <v>75</v>
      </c>
      <c r="C29" s="4">
        <f t="shared" si="1"/>
        <v>79.2</v>
      </c>
      <c r="D29" s="2">
        <v>54</v>
      </c>
      <c r="E29" s="2">
        <f t="shared" si="2"/>
        <v>1.8</v>
      </c>
      <c r="F29" s="6">
        <f t="shared" si="3"/>
        <v>2.2727272727272728E-2</v>
      </c>
      <c r="G29" s="42"/>
      <c r="H29" s="19"/>
    </row>
    <row r="30" spans="1:8" x14ac:dyDescent="0.25">
      <c r="A30" s="5" t="s">
        <v>13</v>
      </c>
      <c r="B30" s="5">
        <v>100</v>
      </c>
      <c r="C30" s="4">
        <f t="shared" si="1"/>
        <v>104.2</v>
      </c>
      <c r="D30" s="2">
        <v>69</v>
      </c>
      <c r="E30" s="2">
        <f t="shared" si="2"/>
        <v>2.2999999999999998</v>
      </c>
      <c r="F30" s="6">
        <f t="shared" si="3"/>
        <v>2.2072936660268713E-2</v>
      </c>
      <c r="G30" s="42"/>
      <c r="H30" s="19"/>
    </row>
    <row r="31" spans="1:8" x14ac:dyDescent="0.25">
      <c r="A31" s="5" t="s">
        <v>14</v>
      </c>
      <c r="B31" s="5">
        <v>800</v>
      </c>
      <c r="C31" s="4">
        <v>800</v>
      </c>
      <c r="D31" s="2"/>
      <c r="E31" s="2">
        <f t="shared" si="2"/>
        <v>0</v>
      </c>
      <c r="F31" s="6">
        <f t="shared" si="3"/>
        <v>0</v>
      </c>
      <c r="G31" s="42"/>
      <c r="H31" s="19"/>
    </row>
  </sheetData>
  <mergeCells count="3">
    <mergeCell ref="G28:G31"/>
    <mergeCell ref="G4:G24"/>
    <mergeCell ref="G25:G27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45CBB-AE9B-4C93-A106-DC7F98F640E3}">
  <sheetPr codeName="Sheet5"/>
  <dimension ref="A1:J34"/>
  <sheetViews>
    <sheetView workbookViewId="0">
      <selection activeCell="D34" sqref="D34"/>
    </sheetView>
  </sheetViews>
  <sheetFormatPr defaultRowHeight="15" x14ac:dyDescent="0.25"/>
  <cols>
    <col min="1" max="1" width="10.140625" bestFit="1" customWidth="1"/>
    <col min="3" max="4" width="10" bestFit="1" customWidth="1"/>
    <col min="5" max="5" width="12.85546875" bestFit="1" customWidth="1"/>
    <col min="6" max="6" width="12.7109375" bestFit="1" customWidth="1"/>
    <col min="10" max="10" width="15.140625" bestFit="1" customWidth="1"/>
  </cols>
  <sheetData>
    <row r="1" spans="1:10" x14ac:dyDescent="0.25">
      <c r="A1" t="s">
        <v>7</v>
      </c>
      <c r="B1" s="10" t="s">
        <v>4</v>
      </c>
      <c r="C1" s="1" t="s">
        <v>8</v>
      </c>
      <c r="D1">
        <v>4.18</v>
      </c>
      <c r="E1" s="1" t="s">
        <v>86</v>
      </c>
      <c r="F1">
        <v>9</v>
      </c>
    </row>
    <row r="3" spans="1:10" x14ac:dyDescent="0.25">
      <c r="A3" s="2" t="s">
        <v>0</v>
      </c>
      <c r="B3" s="2" t="s">
        <v>1</v>
      </c>
      <c r="C3" s="2" t="s">
        <v>9</v>
      </c>
      <c r="D3" s="2" t="s">
        <v>10</v>
      </c>
      <c r="E3" s="2" t="s">
        <v>25</v>
      </c>
      <c r="F3" s="7" t="s">
        <v>53</v>
      </c>
      <c r="G3" s="7" t="s">
        <v>52</v>
      </c>
      <c r="H3" s="7"/>
    </row>
    <row r="4" spans="1:10" x14ac:dyDescent="0.25">
      <c r="A4" s="3">
        <v>25</v>
      </c>
      <c r="B4" s="4">
        <f>A4*PI()</f>
        <v>78.539816339744831</v>
      </c>
      <c r="C4" s="4">
        <f>B4+$D$1</f>
        <v>82.719816339744824</v>
      </c>
      <c r="D4" s="34" t="s">
        <v>89</v>
      </c>
      <c r="E4" s="33">
        <f>((LEFT(D4,SEARCH(":",D4)-1))+((RIGHT(D4,2))/30))</f>
        <v>1.8</v>
      </c>
      <c r="F4" s="6">
        <f>E4/C4</f>
        <v>2.1760203052278111E-2</v>
      </c>
      <c r="G4" s="42">
        <f>AVERAGE(F4:F24)</f>
        <v>2.2660589537672707E-2</v>
      </c>
      <c r="H4" s="19"/>
      <c r="J4" t="s">
        <v>20</v>
      </c>
    </row>
    <row r="5" spans="1:10" x14ac:dyDescent="0.25">
      <c r="A5" s="3">
        <v>24</v>
      </c>
      <c r="B5" s="4">
        <f t="shared" ref="B5:B27" si="0">A5*PI()</f>
        <v>75.398223686155035</v>
      </c>
      <c r="C5" s="4">
        <f t="shared" ref="C5:C30" si="1">B5+$D$1</f>
        <v>79.578223686155042</v>
      </c>
      <c r="D5" s="34" t="s">
        <v>92</v>
      </c>
      <c r="E5" s="33">
        <f t="shared" ref="E5:E31" si="2">((LEFT(D5,SEARCH(":",D5)-1))+((RIGHT(D5,2))/30))</f>
        <v>1.7666666666666666</v>
      </c>
      <c r="F5" s="6">
        <f t="shared" ref="F5:F31" si="3">E5/C5</f>
        <v>2.2200378254661018E-2</v>
      </c>
      <c r="G5" s="42"/>
      <c r="H5" s="19"/>
      <c r="J5" s="8" t="s">
        <v>21</v>
      </c>
    </row>
    <row r="6" spans="1:10" x14ac:dyDescent="0.25">
      <c r="A6" s="3">
        <v>23</v>
      </c>
      <c r="B6" s="4">
        <f t="shared" si="0"/>
        <v>72.256631032565238</v>
      </c>
      <c r="C6" s="4">
        <f t="shared" si="1"/>
        <v>76.436631032565231</v>
      </c>
      <c r="D6" s="34" t="s">
        <v>93</v>
      </c>
      <c r="E6" s="33">
        <f t="shared" si="2"/>
        <v>1.7</v>
      </c>
      <c r="F6" s="6">
        <f t="shared" si="3"/>
        <v>2.2240645316716382E-2</v>
      </c>
      <c r="G6" s="42"/>
      <c r="H6" s="19"/>
      <c r="J6" s="12" t="s">
        <v>23</v>
      </c>
    </row>
    <row r="7" spans="1:10" x14ac:dyDescent="0.25">
      <c r="A7" s="3">
        <v>22</v>
      </c>
      <c r="B7" s="4">
        <f t="shared" si="0"/>
        <v>69.115038378975441</v>
      </c>
      <c r="C7" s="4">
        <f t="shared" si="1"/>
        <v>73.295038378975448</v>
      </c>
      <c r="D7" s="34" t="s">
        <v>94</v>
      </c>
      <c r="E7" s="33">
        <f t="shared" si="2"/>
        <v>1.6333333333333333</v>
      </c>
      <c r="F7" s="6">
        <f t="shared" si="3"/>
        <v>2.2284364255164262E-2</v>
      </c>
      <c r="G7" s="42"/>
      <c r="H7" s="19"/>
    </row>
    <row r="8" spans="1:10" x14ac:dyDescent="0.25">
      <c r="A8" s="3">
        <v>21</v>
      </c>
      <c r="B8" s="4">
        <f t="shared" si="0"/>
        <v>65.973445725385659</v>
      </c>
      <c r="C8" s="4">
        <f t="shared" si="1"/>
        <v>70.153445725385666</v>
      </c>
      <c r="D8" s="34" t="s">
        <v>95</v>
      </c>
      <c r="E8" s="33">
        <f t="shared" si="2"/>
        <v>1.5333333333333332</v>
      </c>
      <c r="F8" s="6">
        <f t="shared" si="3"/>
        <v>2.1856849902078045E-2</v>
      </c>
      <c r="G8" s="42"/>
      <c r="H8" s="19"/>
      <c r="J8" s="15"/>
    </row>
    <row r="9" spans="1:10" x14ac:dyDescent="0.25">
      <c r="A9" s="3">
        <v>20</v>
      </c>
      <c r="B9" s="4">
        <f t="shared" si="0"/>
        <v>62.831853071795862</v>
      </c>
      <c r="C9" s="4">
        <f t="shared" si="1"/>
        <v>67.011853071795855</v>
      </c>
      <c r="D9" s="34" t="s">
        <v>96</v>
      </c>
      <c r="E9" s="33">
        <f t="shared" si="2"/>
        <v>1.4666666666666668</v>
      </c>
      <c r="F9" s="6">
        <f t="shared" si="3"/>
        <v>2.1886675258708251E-2</v>
      </c>
      <c r="G9" s="42"/>
      <c r="H9" s="19"/>
    </row>
    <row r="10" spans="1:10" x14ac:dyDescent="0.25">
      <c r="A10" s="3">
        <v>19</v>
      </c>
      <c r="B10" s="4">
        <f t="shared" si="0"/>
        <v>59.690260418206066</v>
      </c>
      <c r="C10" s="4">
        <f t="shared" si="1"/>
        <v>63.870260418206065</v>
      </c>
      <c r="D10" s="34" t="s">
        <v>97</v>
      </c>
      <c r="E10" s="33">
        <f t="shared" si="2"/>
        <v>1.4</v>
      </c>
      <c r="F10" s="6">
        <f t="shared" si="3"/>
        <v>2.1919434660719394E-2</v>
      </c>
      <c r="G10" s="42"/>
      <c r="H10" s="19"/>
      <c r="J10" s="15"/>
    </row>
    <row r="11" spans="1:10" x14ac:dyDescent="0.25">
      <c r="A11" s="3">
        <v>18</v>
      </c>
      <c r="B11" s="4">
        <f t="shared" si="0"/>
        <v>56.548667764616276</v>
      </c>
      <c r="C11" s="4">
        <f t="shared" si="1"/>
        <v>60.728667764616276</v>
      </c>
      <c r="D11" s="34" t="s">
        <v>98</v>
      </c>
      <c r="E11" s="33">
        <f t="shared" si="2"/>
        <v>1.3666666666666667</v>
      </c>
      <c r="F11" s="6">
        <f t="shared" si="3"/>
        <v>2.25044730433385E-2</v>
      </c>
      <c r="G11" s="42"/>
      <c r="H11" s="19"/>
    </row>
    <row r="12" spans="1:10" x14ac:dyDescent="0.25">
      <c r="A12" s="3">
        <v>17</v>
      </c>
      <c r="B12" s="4">
        <f t="shared" si="0"/>
        <v>53.407075111026487</v>
      </c>
      <c r="C12" s="4">
        <f t="shared" si="1"/>
        <v>57.587075111026486</v>
      </c>
      <c r="D12" s="34" t="s">
        <v>99</v>
      </c>
      <c r="E12" s="33">
        <f t="shared" si="2"/>
        <v>1.2666666666666666</v>
      </c>
      <c r="F12" s="6">
        <f t="shared" si="3"/>
        <v>2.1995676360095803E-2</v>
      </c>
      <c r="G12" s="42"/>
      <c r="H12" s="19"/>
    </row>
    <row r="13" spans="1:10" x14ac:dyDescent="0.25">
      <c r="A13" s="3">
        <v>16</v>
      </c>
      <c r="B13" s="4">
        <f t="shared" si="0"/>
        <v>50.26548245743669</v>
      </c>
      <c r="C13" s="4">
        <f t="shared" si="1"/>
        <v>54.44548245743669</v>
      </c>
      <c r="D13" s="34" t="s">
        <v>100</v>
      </c>
      <c r="E13" s="33">
        <f t="shared" si="2"/>
        <v>1.2333333333333334</v>
      </c>
      <c r="F13" s="6">
        <f t="shared" si="3"/>
        <v>2.2652629339771288E-2</v>
      </c>
      <c r="G13" s="42"/>
      <c r="H13" s="19"/>
    </row>
    <row r="14" spans="1:10" x14ac:dyDescent="0.25">
      <c r="A14" s="3">
        <v>15</v>
      </c>
      <c r="B14" s="4">
        <f t="shared" si="0"/>
        <v>47.123889803846893</v>
      </c>
      <c r="C14" s="4">
        <f t="shared" si="1"/>
        <v>51.303889803846893</v>
      </c>
      <c r="D14" s="34" t="s">
        <v>101</v>
      </c>
      <c r="E14" s="33">
        <f t="shared" si="2"/>
        <v>1.1666666666666667</v>
      </c>
      <c r="F14" s="6">
        <f t="shared" si="3"/>
        <v>2.2740316009707068E-2</v>
      </c>
      <c r="G14" s="42"/>
      <c r="H14" s="19"/>
    </row>
    <row r="15" spans="1:10" x14ac:dyDescent="0.25">
      <c r="A15" s="3">
        <v>14</v>
      </c>
      <c r="B15" s="4">
        <f t="shared" si="0"/>
        <v>43.982297150257104</v>
      </c>
      <c r="C15" s="4">
        <f t="shared" si="1"/>
        <v>48.162297150257103</v>
      </c>
      <c r="D15" s="38" t="s">
        <v>102</v>
      </c>
      <c r="E15" s="33">
        <f t="shared" si="2"/>
        <v>1.1000000000000001</v>
      </c>
      <c r="F15" s="6">
        <f t="shared" si="3"/>
        <v>2.2839442158836643E-2</v>
      </c>
      <c r="G15" s="42"/>
      <c r="H15" s="19"/>
    </row>
    <row r="16" spans="1:10" x14ac:dyDescent="0.25">
      <c r="A16" s="3">
        <v>13</v>
      </c>
      <c r="B16" s="4">
        <f t="shared" si="0"/>
        <v>40.840704496667314</v>
      </c>
      <c r="C16" s="4">
        <f t="shared" si="1"/>
        <v>45.020704496667314</v>
      </c>
      <c r="D16" s="38" t="s">
        <v>103</v>
      </c>
      <c r="E16" s="33">
        <f t="shared" si="2"/>
        <v>1</v>
      </c>
      <c r="F16" s="6">
        <f t="shared" si="3"/>
        <v>2.2212002481525488E-2</v>
      </c>
      <c r="G16" s="42"/>
      <c r="H16" s="19"/>
    </row>
    <row r="17" spans="1:10" x14ac:dyDescent="0.25">
      <c r="A17" s="3">
        <v>12</v>
      </c>
      <c r="B17" s="4">
        <f t="shared" si="0"/>
        <v>37.699111843077517</v>
      </c>
      <c r="C17" s="4">
        <f t="shared" si="1"/>
        <v>41.879111843077517</v>
      </c>
      <c r="D17" s="38" t="s">
        <v>104</v>
      </c>
      <c r="E17" s="33">
        <f t="shared" si="2"/>
        <v>0.96666666666666667</v>
      </c>
      <c r="F17" s="6">
        <f t="shared" si="3"/>
        <v>2.3082310586929354E-2</v>
      </c>
      <c r="G17" s="42"/>
      <c r="H17" s="19"/>
    </row>
    <row r="18" spans="1:10" x14ac:dyDescent="0.25">
      <c r="A18" s="3">
        <v>11</v>
      </c>
      <c r="B18" s="4">
        <f t="shared" si="0"/>
        <v>34.557519189487721</v>
      </c>
      <c r="C18" s="4">
        <f t="shared" si="1"/>
        <v>38.73751918948772</v>
      </c>
      <c r="D18" s="38" t="s">
        <v>105</v>
      </c>
      <c r="E18" s="33">
        <f t="shared" si="2"/>
        <v>0.9</v>
      </c>
      <c r="F18" s="6">
        <f t="shared" si="3"/>
        <v>2.3233289555729598E-2</v>
      </c>
      <c r="G18" s="42"/>
      <c r="H18" s="19"/>
    </row>
    <row r="19" spans="1:10" x14ac:dyDescent="0.25">
      <c r="A19" s="3">
        <v>10</v>
      </c>
      <c r="B19" s="4">
        <f t="shared" si="0"/>
        <v>31.415926535897931</v>
      </c>
      <c r="C19" s="4">
        <f t="shared" si="1"/>
        <v>35.595926535897931</v>
      </c>
      <c r="D19" s="38" t="s">
        <v>106</v>
      </c>
      <c r="E19" s="33">
        <f t="shared" si="2"/>
        <v>0.83333333333333337</v>
      </c>
      <c r="F19" s="6">
        <f t="shared" si="3"/>
        <v>2.3410918451383191E-2</v>
      </c>
      <c r="G19" s="42"/>
      <c r="H19" s="19"/>
    </row>
    <row r="20" spans="1:10" x14ac:dyDescent="0.25">
      <c r="A20" s="3">
        <v>9</v>
      </c>
      <c r="B20" s="4">
        <f t="shared" si="0"/>
        <v>28.274333882308138</v>
      </c>
      <c r="C20" s="4">
        <f t="shared" si="1"/>
        <v>32.454333882308134</v>
      </c>
      <c r="D20" s="38" t="s">
        <v>107</v>
      </c>
      <c r="E20" s="33">
        <f t="shared" si="2"/>
        <v>0.76666666666666672</v>
      </c>
      <c r="F20" s="6">
        <f t="shared" si="3"/>
        <v>2.362293644500282E-2</v>
      </c>
      <c r="G20" s="42"/>
      <c r="H20" s="19"/>
    </row>
    <row r="21" spans="1:10" x14ac:dyDescent="0.25">
      <c r="A21" s="3">
        <v>8</v>
      </c>
      <c r="B21" s="4">
        <f t="shared" si="0"/>
        <v>25.132741228718345</v>
      </c>
      <c r="C21" s="4">
        <f t="shared" si="1"/>
        <v>29.312741228718345</v>
      </c>
      <c r="D21" s="38" t="s">
        <v>108</v>
      </c>
      <c r="E21" s="33">
        <f t="shared" si="2"/>
        <v>0.7</v>
      </c>
      <c r="F21" s="6">
        <f t="shared" si="3"/>
        <v>2.3880400489947846E-2</v>
      </c>
      <c r="G21" s="42"/>
      <c r="H21" s="19"/>
    </row>
    <row r="22" spans="1:10" x14ac:dyDescent="0.25">
      <c r="A22" s="3">
        <v>7</v>
      </c>
      <c r="B22" s="4">
        <f t="shared" si="0"/>
        <v>21.991148575128552</v>
      </c>
      <c r="C22" s="4">
        <f t="shared" si="1"/>
        <v>26.171148575128552</v>
      </c>
      <c r="D22" s="38" t="s">
        <v>109</v>
      </c>
      <c r="E22" s="33">
        <f t="shared" si="2"/>
        <v>0.6</v>
      </c>
      <c r="F22" s="6">
        <f t="shared" si="3"/>
        <v>2.2926009467165803E-2</v>
      </c>
      <c r="G22" s="42"/>
      <c r="H22" s="19"/>
    </row>
    <row r="23" spans="1:10" x14ac:dyDescent="0.25">
      <c r="A23" s="3">
        <v>6</v>
      </c>
      <c r="B23" s="4">
        <f t="shared" si="0"/>
        <v>18.849555921538759</v>
      </c>
      <c r="C23" s="4">
        <f t="shared" si="1"/>
        <v>23.029555921538758</v>
      </c>
      <c r="D23" s="38" t="s">
        <v>110</v>
      </c>
      <c r="E23" s="33">
        <f t="shared" si="2"/>
        <v>0.53333333333333333</v>
      </c>
      <c r="F23" s="6">
        <f t="shared" si="3"/>
        <v>2.3158646009084561E-2</v>
      </c>
      <c r="G23" s="42"/>
      <c r="H23" s="19"/>
    </row>
    <row r="24" spans="1:10" x14ac:dyDescent="0.25">
      <c r="A24" s="3">
        <v>5</v>
      </c>
      <c r="B24" s="4">
        <f t="shared" si="0"/>
        <v>15.707963267948966</v>
      </c>
      <c r="C24" s="4">
        <f t="shared" si="1"/>
        <v>19.887963267948965</v>
      </c>
      <c r="D24" s="38" t="s">
        <v>111</v>
      </c>
      <c r="E24" s="33">
        <f t="shared" si="2"/>
        <v>0.46666666666666667</v>
      </c>
      <c r="F24" s="6">
        <f t="shared" si="3"/>
        <v>2.3464779192283462E-2</v>
      </c>
      <c r="G24" s="42"/>
      <c r="H24" s="19"/>
    </row>
    <row r="25" spans="1:10" x14ac:dyDescent="0.25">
      <c r="A25" s="3">
        <v>4</v>
      </c>
      <c r="B25" s="4">
        <f t="shared" si="0"/>
        <v>12.566370614359172</v>
      </c>
      <c r="C25" s="4">
        <f t="shared" si="1"/>
        <v>16.746370614359172</v>
      </c>
      <c r="D25" s="35" t="s">
        <v>112</v>
      </c>
      <c r="E25" s="33">
        <f t="shared" si="2"/>
        <v>2.7333333333333334</v>
      </c>
      <c r="F25" s="6">
        <f t="shared" si="3"/>
        <v>0.16321944594906057</v>
      </c>
      <c r="G25" s="42">
        <f>AVERAGE(F25:F27)</f>
        <v>0.14858118513171872</v>
      </c>
      <c r="H25" s="19"/>
    </row>
    <row r="26" spans="1:10" x14ac:dyDescent="0.25">
      <c r="A26" s="3">
        <v>3</v>
      </c>
      <c r="B26" s="4">
        <f t="shared" si="0"/>
        <v>9.4247779607693793</v>
      </c>
      <c r="C26" s="4">
        <f t="shared" si="1"/>
        <v>13.604777960769379</v>
      </c>
      <c r="D26" s="35" t="s">
        <v>113</v>
      </c>
      <c r="E26" s="33">
        <f t="shared" si="2"/>
        <v>2.0666666666666669</v>
      </c>
      <c r="F26" s="6">
        <f t="shared" si="3"/>
        <v>0.15190741610234942</v>
      </c>
      <c r="G26" s="42"/>
      <c r="H26" s="19"/>
    </row>
    <row r="27" spans="1:10" x14ac:dyDescent="0.25">
      <c r="A27" s="3">
        <v>2</v>
      </c>
      <c r="B27" s="4">
        <f t="shared" si="0"/>
        <v>6.2831853071795862</v>
      </c>
      <c r="C27" s="4">
        <f t="shared" si="1"/>
        <v>10.463185307179586</v>
      </c>
      <c r="D27" s="35" t="s">
        <v>98</v>
      </c>
      <c r="E27" s="33">
        <f t="shared" si="2"/>
        <v>1.3666666666666667</v>
      </c>
      <c r="F27" s="6">
        <f t="shared" si="3"/>
        <v>0.13061669334374618</v>
      </c>
      <c r="G27" s="42"/>
      <c r="H27" s="19"/>
    </row>
    <row r="28" spans="1:10" x14ac:dyDescent="0.25">
      <c r="A28" s="5" t="s">
        <v>11</v>
      </c>
      <c r="B28" s="5">
        <v>86.6</v>
      </c>
      <c r="C28" s="4">
        <f t="shared" si="1"/>
        <v>90.78</v>
      </c>
      <c r="D28" s="34" t="s">
        <v>88</v>
      </c>
      <c r="E28" s="33">
        <f t="shared" si="2"/>
        <v>2</v>
      </c>
      <c r="F28" s="6">
        <f t="shared" si="3"/>
        <v>2.203128442388191E-2</v>
      </c>
      <c r="G28" s="19"/>
      <c r="H28" s="19"/>
    </row>
    <row r="29" spans="1:10" x14ac:dyDescent="0.25">
      <c r="A29" s="5" t="s">
        <v>12</v>
      </c>
      <c r="B29" s="5">
        <v>75</v>
      </c>
      <c r="C29" s="4">
        <f t="shared" si="1"/>
        <v>79.180000000000007</v>
      </c>
      <c r="D29" s="34" t="s">
        <v>89</v>
      </c>
      <c r="E29" s="33">
        <f t="shared" si="2"/>
        <v>1.8</v>
      </c>
      <c r="F29" s="6">
        <f t="shared" si="3"/>
        <v>2.2733013387218993E-2</v>
      </c>
      <c r="G29" s="19"/>
      <c r="H29" s="19"/>
      <c r="J29" s="15"/>
    </row>
    <row r="30" spans="1:10" x14ac:dyDescent="0.25">
      <c r="A30" s="5" t="s">
        <v>13</v>
      </c>
      <c r="B30" s="5">
        <v>100</v>
      </c>
      <c r="C30" s="4">
        <f t="shared" si="1"/>
        <v>104.18</v>
      </c>
      <c r="D30" s="34" t="s">
        <v>90</v>
      </c>
      <c r="E30" s="33">
        <f t="shared" si="2"/>
        <v>2.2999999999999998</v>
      </c>
      <c r="F30" s="6">
        <f t="shared" si="3"/>
        <v>2.2077174121712416E-2</v>
      </c>
      <c r="G30" s="19"/>
      <c r="H30" s="19"/>
    </row>
    <row r="31" spans="1:10" x14ac:dyDescent="0.25">
      <c r="A31" s="5" t="s">
        <v>14</v>
      </c>
      <c r="B31" s="5">
        <v>800</v>
      </c>
      <c r="C31" s="4">
        <v>800</v>
      </c>
      <c r="D31" s="34" t="s">
        <v>87</v>
      </c>
      <c r="E31" s="33">
        <f t="shared" si="2"/>
        <v>16.733333333333334</v>
      </c>
      <c r="F31" s="6">
        <f t="shared" si="3"/>
        <v>2.0916666666666667E-2</v>
      </c>
      <c r="G31" s="19"/>
      <c r="H31" s="19"/>
    </row>
    <row r="32" spans="1:10" x14ac:dyDescent="0.25">
      <c r="A32" s="14" t="s">
        <v>91</v>
      </c>
      <c r="D32" s="37" t="s">
        <v>83</v>
      </c>
      <c r="E32" s="15">
        <f>SUM(E4:E24,E28:E31)</f>
        <v>47.033333333333331</v>
      </c>
      <c r="F32" s="30">
        <f>(E32+E33+E34)/60</f>
        <v>5.1845555555555558</v>
      </c>
    </row>
    <row r="33" spans="3:5" x14ac:dyDescent="0.25">
      <c r="C33" t="s">
        <v>84</v>
      </c>
      <c r="E33" s="30">
        <f>F1*D34</f>
        <v>252</v>
      </c>
    </row>
    <row r="34" spans="3:5" x14ac:dyDescent="0.25">
      <c r="C34" t="s">
        <v>85</v>
      </c>
      <c r="D34">
        <v>28</v>
      </c>
      <c r="E34">
        <f>D34*0.43</f>
        <v>12.04</v>
      </c>
    </row>
  </sheetData>
  <mergeCells count="2">
    <mergeCell ref="G4:G24"/>
    <mergeCell ref="G25:G27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F0F2B-CF8A-4901-99AC-A97B369AA6F2}">
  <sheetPr codeName="Sheet6"/>
  <dimension ref="A1:J31"/>
  <sheetViews>
    <sheetView workbookViewId="0">
      <selection activeCell="I30" sqref="I30"/>
    </sheetView>
  </sheetViews>
  <sheetFormatPr defaultRowHeight="15" x14ac:dyDescent="0.25"/>
  <cols>
    <col min="1" max="1" width="10.140625" bestFit="1" customWidth="1"/>
    <col min="3" max="4" width="10" bestFit="1" customWidth="1"/>
    <col min="5" max="5" width="12.85546875" bestFit="1" customWidth="1"/>
    <col min="6" max="6" width="12.7109375" bestFit="1" customWidth="1"/>
    <col min="10" max="10" width="15.140625" bestFit="1" customWidth="1"/>
  </cols>
  <sheetData>
    <row r="1" spans="1:10" x14ac:dyDescent="0.25">
      <c r="A1" t="s">
        <v>7</v>
      </c>
      <c r="B1" s="10" t="s">
        <v>22</v>
      </c>
      <c r="C1" s="1" t="s">
        <v>8</v>
      </c>
      <c r="D1">
        <v>4.8</v>
      </c>
      <c r="E1" s="1" t="s">
        <v>16</v>
      </c>
      <c r="F1">
        <v>5</v>
      </c>
      <c r="H1" t="s">
        <v>15</v>
      </c>
    </row>
    <row r="2" spans="1:10" x14ac:dyDescent="0.25">
      <c r="H2" t="s">
        <v>17</v>
      </c>
      <c r="I2" t="s">
        <v>18</v>
      </c>
      <c r="J2" t="s">
        <v>19</v>
      </c>
    </row>
    <row r="3" spans="1:10" x14ac:dyDescent="0.25">
      <c r="A3" s="2" t="s">
        <v>0</v>
      </c>
      <c r="B3" s="2" t="s">
        <v>1</v>
      </c>
      <c r="C3" s="2" t="s">
        <v>9</v>
      </c>
      <c r="D3" s="2" t="s">
        <v>10</v>
      </c>
      <c r="E3" s="2" t="s">
        <v>25</v>
      </c>
      <c r="F3" s="7" t="s">
        <v>53</v>
      </c>
      <c r="G3" s="7" t="s">
        <v>52</v>
      </c>
      <c r="H3" s="7"/>
    </row>
    <row r="4" spans="1:10" x14ac:dyDescent="0.25">
      <c r="A4" s="3">
        <v>25</v>
      </c>
      <c r="B4" s="4">
        <f>A4*PI()</f>
        <v>78.539816339744831</v>
      </c>
      <c r="C4" s="4">
        <f>B4+$D$1</f>
        <v>83.339816339744829</v>
      </c>
      <c r="D4" s="2">
        <v>56</v>
      </c>
      <c r="E4" s="2">
        <f>ROUNDUP(D4/30,1)</f>
        <v>1.9000000000000001</v>
      </c>
      <c r="F4" s="6">
        <f>E4/C4</f>
        <v>2.2798226387425916E-2</v>
      </c>
      <c r="G4" s="42">
        <f>AVERAGE(F4:F23,F28:F30)</f>
        <v>2.2629969795407129E-2</v>
      </c>
      <c r="H4" s="19"/>
      <c r="J4" t="s">
        <v>20</v>
      </c>
    </row>
    <row r="5" spans="1:10" x14ac:dyDescent="0.25">
      <c r="A5" s="3">
        <v>24</v>
      </c>
      <c r="B5" s="4">
        <f t="shared" ref="B5:B27" si="0">A5*PI()</f>
        <v>75.398223686155035</v>
      </c>
      <c r="C5" s="4">
        <f t="shared" ref="C5:C30" si="1">B5+$D$1</f>
        <v>80.198223686155032</v>
      </c>
      <c r="D5" s="2">
        <v>53</v>
      </c>
      <c r="E5" s="2">
        <f t="shared" ref="E5:E31" si="2">ROUNDUP(D5/30,1)</f>
        <v>1.8</v>
      </c>
      <c r="F5" s="6">
        <f t="shared" ref="F5:F31" si="3">E5/C5</f>
        <v>2.2444387384988201E-2</v>
      </c>
      <c r="G5" s="42"/>
      <c r="H5" s="19"/>
      <c r="J5" s="8" t="s">
        <v>21</v>
      </c>
    </row>
    <row r="6" spans="1:10" x14ac:dyDescent="0.25">
      <c r="A6" s="3">
        <v>23</v>
      </c>
      <c r="B6" s="4">
        <f t="shared" si="0"/>
        <v>72.256631032565238</v>
      </c>
      <c r="C6" s="4">
        <f t="shared" si="1"/>
        <v>77.056631032565235</v>
      </c>
      <c r="D6" s="2">
        <v>51</v>
      </c>
      <c r="E6" s="2">
        <f t="shared" si="2"/>
        <v>1.7</v>
      </c>
      <c r="F6" s="6">
        <f t="shared" si="3"/>
        <v>2.2061696407172999E-2</v>
      </c>
      <c r="G6" s="42"/>
      <c r="H6" s="19"/>
      <c r="J6" s="12" t="s">
        <v>23</v>
      </c>
    </row>
    <row r="7" spans="1:10" x14ac:dyDescent="0.25">
      <c r="A7" s="3">
        <v>22</v>
      </c>
      <c r="B7" s="4">
        <f t="shared" si="0"/>
        <v>69.115038378975441</v>
      </c>
      <c r="C7" s="4">
        <f t="shared" si="1"/>
        <v>73.915038378975439</v>
      </c>
      <c r="D7" s="2">
        <v>50</v>
      </c>
      <c r="E7" s="2">
        <f t="shared" si="2"/>
        <v>1.7000000000000002</v>
      </c>
      <c r="F7" s="6">
        <f t="shared" si="3"/>
        <v>2.2999379250590393E-2</v>
      </c>
      <c r="G7" s="42"/>
      <c r="H7" s="19"/>
    </row>
    <row r="8" spans="1:10" x14ac:dyDescent="0.25">
      <c r="A8" s="3">
        <v>21</v>
      </c>
      <c r="B8" s="4">
        <f t="shared" si="0"/>
        <v>65.973445725385659</v>
      </c>
      <c r="C8" s="4">
        <f t="shared" si="1"/>
        <v>70.773445725385656</v>
      </c>
      <c r="D8" s="2">
        <v>48</v>
      </c>
      <c r="E8" s="2">
        <f t="shared" si="2"/>
        <v>1.6</v>
      </c>
      <c r="F8" s="6">
        <f t="shared" si="3"/>
        <v>2.2607349177377944E-2</v>
      </c>
      <c r="G8" s="42"/>
      <c r="H8" s="19"/>
    </row>
    <row r="9" spans="1:10" x14ac:dyDescent="0.25">
      <c r="A9" s="3">
        <v>20</v>
      </c>
      <c r="B9" s="4">
        <f t="shared" si="0"/>
        <v>62.831853071795862</v>
      </c>
      <c r="C9" s="4">
        <f t="shared" si="1"/>
        <v>67.631853071795859</v>
      </c>
      <c r="D9" s="2">
        <v>45</v>
      </c>
      <c r="E9" s="2">
        <f t="shared" si="2"/>
        <v>1.5</v>
      </c>
      <c r="F9" s="6">
        <f t="shared" si="3"/>
        <v>2.2178898431300515E-2</v>
      </c>
      <c r="G9" s="42"/>
      <c r="H9" s="19"/>
    </row>
    <row r="10" spans="1:10" x14ac:dyDescent="0.25">
      <c r="A10" s="3">
        <v>19</v>
      </c>
      <c r="B10" s="4">
        <f t="shared" si="0"/>
        <v>59.690260418206066</v>
      </c>
      <c r="C10" s="4">
        <f t="shared" si="1"/>
        <v>64.490260418206063</v>
      </c>
      <c r="D10" s="2">
        <v>42</v>
      </c>
      <c r="E10" s="2">
        <f t="shared" si="2"/>
        <v>1.4</v>
      </c>
      <c r="F10" s="6">
        <f t="shared" si="3"/>
        <v>2.1708704398482624E-2</v>
      </c>
      <c r="G10" s="42"/>
      <c r="H10" s="19"/>
    </row>
    <row r="11" spans="1:10" x14ac:dyDescent="0.25">
      <c r="A11" s="3">
        <v>18</v>
      </c>
      <c r="B11" s="4">
        <f t="shared" si="0"/>
        <v>56.548667764616276</v>
      </c>
      <c r="C11" s="4">
        <f t="shared" si="1"/>
        <v>61.348667764616273</v>
      </c>
      <c r="D11" s="2">
        <v>41</v>
      </c>
      <c r="E11" s="2">
        <f t="shared" si="2"/>
        <v>1.4000000000000001</v>
      </c>
      <c r="F11" s="6">
        <f t="shared" si="3"/>
        <v>2.2820381452642893E-2</v>
      </c>
      <c r="G11" s="42"/>
      <c r="H11" s="19"/>
    </row>
    <row r="12" spans="1:10" x14ac:dyDescent="0.25">
      <c r="A12" s="3">
        <v>17</v>
      </c>
      <c r="B12" s="4">
        <f t="shared" si="0"/>
        <v>53.407075111026487</v>
      </c>
      <c r="C12" s="4">
        <f t="shared" si="1"/>
        <v>58.207075111026484</v>
      </c>
      <c r="D12" s="2">
        <v>39</v>
      </c>
      <c r="E12" s="2">
        <f t="shared" si="2"/>
        <v>1.3</v>
      </c>
      <c r="F12" s="6">
        <f t="shared" si="3"/>
        <v>2.2334054709334365E-2</v>
      </c>
      <c r="G12" s="42"/>
      <c r="H12" s="19"/>
    </row>
    <row r="13" spans="1:10" x14ac:dyDescent="0.25">
      <c r="A13" s="3">
        <v>16</v>
      </c>
      <c r="B13" s="4">
        <f t="shared" si="0"/>
        <v>50.26548245743669</v>
      </c>
      <c r="C13" s="4">
        <f t="shared" si="1"/>
        <v>55.065482457436687</v>
      </c>
      <c r="D13" s="2">
        <v>37</v>
      </c>
      <c r="E13" s="2">
        <f t="shared" si="2"/>
        <v>1.3</v>
      </c>
      <c r="F13" s="6">
        <f t="shared" si="3"/>
        <v>2.3608255879803572E-2</v>
      </c>
      <c r="G13" s="42"/>
      <c r="H13" s="19"/>
    </row>
    <row r="14" spans="1:10" x14ac:dyDescent="0.25">
      <c r="A14" s="3">
        <v>15</v>
      </c>
      <c r="B14" s="4">
        <f t="shared" si="0"/>
        <v>47.123889803846893</v>
      </c>
      <c r="C14" s="4">
        <f t="shared" si="1"/>
        <v>51.92388980384689</v>
      </c>
      <c r="D14" s="2">
        <v>34</v>
      </c>
      <c r="E14" s="2">
        <f t="shared" si="2"/>
        <v>1.2000000000000002</v>
      </c>
      <c r="F14" s="6">
        <f t="shared" si="3"/>
        <v>2.311074930120308E-2</v>
      </c>
      <c r="G14" s="42"/>
      <c r="H14" s="19"/>
    </row>
    <row r="15" spans="1:10" x14ac:dyDescent="0.25">
      <c r="A15" s="3">
        <v>14</v>
      </c>
      <c r="B15" s="4">
        <f t="shared" si="0"/>
        <v>43.982297150257104</v>
      </c>
      <c r="C15" s="4">
        <f t="shared" si="1"/>
        <v>48.782297150257101</v>
      </c>
      <c r="D15" s="11">
        <v>33</v>
      </c>
      <c r="E15" s="2">
        <f t="shared" si="2"/>
        <v>1.1000000000000001</v>
      </c>
      <c r="F15" s="6">
        <f t="shared" si="3"/>
        <v>2.2549163615887709E-2</v>
      </c>
      <c r="G15" s="42"/>
      <c r="H15" s="19"/>
    </row>
    <row r="16" spans="1:10" x14ac:dyDescent="0.25">
      <c r="A16" s="3">
        <v>13</v>
      </c>
      <c r="B16" s="4">
        <f t="shared" si="0"/>
        <v>40.840704496667314</v>
      </c>
      <c r="C16" s="4">
        <f t="shared" si="1"/>
        <v>45.640704496667311</v>
      </c>
      <c r="D16" s="11">
        <v>31</v>
      </c>
      <c r="E16" s="2">
        <f t="shared" si="2"/>
        <v>1.1000000000000001</v>
      </c>
      <c r="F16" s="6">
        <f t="shared" si="3"/>
        <v>2.410129317965112E-2</v>
      </c>
      <c r="G16" s="42"/>
      <c r="H16" s="19"/>
    </row>
    <row r="17" spans="1:8" x14ac:dyDescent="0.25">
      <c r="A17" s="3">
        <v>12</v>
      </c>
      <c r="B17" s="4">
        <f t="shared" si="0"/>
        <v>37.699111843077517</v>
      </c>
      <c r="C17" s="4">
        <f t="shared" si="1"/>
        <v>42.499111843077515</v>
      </c>
      <c r="D17" s="11">
        <v>28</v>
      </c>
      <c r="E17" s="2">
        <f t="shared" si="2"/>
        <v>1</v>
      </c>
      <c r="F17" s="6">
        <f t="shared" si="3"/>
        <v>2.3529903488156905E-2</v>
      </c>
      <c r="G17" s="42"/>
      <c r="H17" s="19"/>
    </row>
    <row r="18" spans="1:8" x14ac:dyDescent="0.25">
      <c r="A18" s="3">
        <v>11</v>
      </c>
      <c r="B18" s="4">
        <f t="shared" si="0"/>
        <v>34.557519189487721</v>
      </c>
      <c r="C18" s="4">
        <f t="shared" si="1"/>
        <v>39.357519189487718</v>
      </c>
      <c r="D18" s="11">
        <v>25</v>
      </c>
      <c r="E18" s="2">
        <f t="shared" si="2"/>
        <v>0.9</v>
      </c>
      <c r="F18" s="6">
        <f t="shared" si="3"/>
        <v>2.2867294954921534E-2</v>
      </c>
      <c r="G18" s="42"/>
      <c r="H18" s="19"/>
    </row>
    <row r="19" spans="1:8" x14ac:dyDescent="0.25">
      <c r="A19" s="3">
        <v>10</v>
      </c>
      <c r="B19" s="4">
        <f t="shared" si="0"/>
        <v>31.415926535897931</v>
      </c>
      <c r="C19" s="4">
        <f t="shared" si="1"/>
        <v>36.215926535897928</v>
      </c>
      <c r="D19" s="11">
        <v>24</v>
      </c>
      <c r="E19" s="2">
        <f t="shared" si="2"/>
        <v>0.8</v>
      </c>
      <c r="F19" s="6">
        <f t="shared" si="3"/>
        <v>2.2089728926499356E-2</v>
      </c>
      <c r="G19" s="42"/>
      <c r="H19" s="19"/>
    </row>
    <row r="20" spans="1:8" x14ac:dyDescent="0.25">
      <c r="A20" s="3">
        <v>9</v>
      </c>
      <c r="B20" s="4">
        <f t="shared" si="0"/>
        <v>28.274333882308138</v>
      </c>
      <c r="C20" s="4">
        <f t="shared" si="1"/>
        <v>33.074333882308139</v>
      </c>
      <c r="D20" s="11">
        <v>21</v>
      </c>
      <c r="E20" s="2">
        <f t="shared" si="2"/>
        <v>0.7</v>
      </c>
      <c r="F20" s="6">
        <f t="shared" si="3"/>
        <v>2.1164447407796123E-2</v>
      </c>
      <c r="G20" s="42"/>
      <c r="H20" s="19"/>
    </row>
    <row r="21" spans="1:8" x14ac:dyDescent="0.25">
      <c r="A21" s="3">
        <v>8</v>
      </c>
      <c r="B21" s="4">
        <f t="shared" si="0"/>
        <v>25.132741228718345</v>
      </c>
      <c r="C21" s="4">
        <f t="shared" si="1"/>
        <v>29.932741228718346</v>
      </c>
      <c r="D21" s="11">
        <v>19</v>
      </c>
      <c r="E21" s="2">
        <f t="shared" si="2"/>
        <v>0.7</v>
      </c>
      <c r="F21" s="6">
        <f t="shared" si="3"/>
        <v>2.3385763256737725E-2</v>
      </c>
      <c r="G21" s="42"/>
      <c r="H21" s="19"/>
    </row>
    <row r="22" spans="1:8" x14ac:dyDescent="0.25">
      <c r="A22" s="3">
        <v>7</v>
      </c>
      <c r="B22" s="4">
        <f t="shared" si="0"/>
        <v>21.991148575128552</v>
      </c>
      <c r="C22" s="4">
        <f t="shared" si="1"/>
        <v>26.791148575128553</v>
      </c>
      <c r="D22" s="11">
        <v>17</v>
      </c>
      <c r="E22" s="2">
        <f t="shared" si="2"/>
        <v>0.6</v>
      </c>
      <c r="F22" s="6">
        <f t="shared" si="3"/>
        <v>2.2395456406710663E-2</v>
      </c>
      <c r="G22" s="42"/>
      <c r="H22" s="19"/>
    </row>
    <row r="23" spans="1:8" x14ac:dyDescent="0.25">
      <c r="A23" s="3">
        <v>6</v>
      </c>
      <c r="B23" s="4">
        <f t="shared" si="0"/>
        <v>18.849555921538759</v>
      </c>
      <c r="C23" s="4">
        <f t="shared" si="1"/>
        <v>23.649555921538759</v>
      </c>
      <c r="D23" s="11">
        <v>15</v>
      </c>
      <c r="E23" s="2">
        <f t="shared" si="2"/>
        <v>0.5</v>
      </c>
      <c r="F23" s="6">
        <f t="shared" si="3"/>
        <v>2.1142046034979732E-2</v>
      </c>
      <c r="G23" s="42"/>
      <c r="H23" s="19"/>
    </row>
    <row r="24" spans="1:8" x14ac:dyDescent="0.25">
      <c r="A24" s="3">
        <v>5</v>
      </c>
      <c r="B24" s="4">
        <f t="shared" si="0"/>
        <v>15.707963267948966</v>
      </c>
      <c r="C24" s="4">
        <f t="shared" si="1"/>
        <v>20.507963267948966</v>
      </c>
      <c r="D24" s="9">
        <v>151</v>
      </c>
      <c r="E24" s="2">
        <f t="shared" si="2"/>
        <v>5.0999999999999996</v>
      </c>
      <c r="F24" s="6">
        <f t="shared" si="3"/>
        <v>0.2486838860283398</v>
      </c>
      <c r="G24" s="42">
        <f>AVERAGE(F24:F26)</f>
        <v>0.22762790754830844</v>
      </c>
      <c r="H24" s="19"/>
    </row>
    <row r="25" spans="1:8" x14ac:dyDescent="0.25">
      <c r="A25" s="3">
        <v>4</v>
      </c>
      <c r="B25" s="4">
        <f t="shared" si="0"/>
        <v>12.566370614359172</v>
      </c>
      <c r="C25" s="4">
        <f t="shared" si="1"/>
        <v>17.366370614359173</v>
      </c>
      <c r="D25" s="9">
        <v>120</v>
      </c>
      <c r="E25" s="2">
        <f t="shared" si="2"/>
        <v>4</v>
      </c>
      <c r="F25" s="6">
        <f t="shared" si="3"/>
        <v>0.2303302220610591</v>
      </c>
      <c r="G25" s="42"/>
      <c r="H25" s="19"/>
    </row>
    <row r="26" spans="1:8" x14ac:dyDescent="0.25">
      <c r="A26" s="3">
        <v>3</v>
      </c>
      <c r="B26" s="4">
        <f t="shared" si="0"/>
        <v>9.4247779607693793</v>
      </c>
      <c r="C26" s="4">
        <f t="shared" si="1"/>
        <v>14.22477796076938</v>
      </c>
      <c r="D26" s="9">
        <v>87</v>
      </c>
      <c r="E26" s="2">
        <f t="shared" si="2"/>
        <v>2.9</v>
      </c>
      <c r="F26" s="6">
        <f t="shared" si="3"/>
        <v>0.20386961455552638</v>
      </c>
      <c r="G26" s="42"/>
      <c r="H26" s="19"/>
    </row>
    <row r="27" spans="1:8" x14ac:dyDescent="0.25">
      <c r="A27" s="3">
        <v>2</v>
      </c>
      <c r="B27" s="4">
        <f t="shared" si="0"/>
        <v>6.2831853071795862</v>
      </c>
      <c r="C27" s="4">
        <f t="shared" si="1"/>
        <v>11.083185307179587</v>
      </c>
      <c r="D27" s="11">
        <v>0</v>
      </c>
      <c r="E27" s="2">
        <f t="shared" si="2"/>
        <v>0</v>
      </c>
      <c r="F27" s="6">
        <f t="shared" si="3"/>
        <v>0</v>
      </c>
      <c r="G27" s="42">
        <f>G4</f>
        <v>2.2629969795407129E-2</v>
      </c>
      <c r="H27" s="19"/>
    </row>
    <row r="28" spans="1:8" x14ac:dyDescent="0.25">
      <c r="A28" s="5" t="s">
        <v>11</v>
      </c>
      <c r="B28" s="5">
        <v>86.6</v>
      </c>
      <c r="C28" s="4">
        <f t="shared" si="1"/>
        <v>91.399999999999991</v>
      </c>
      <c r="D28" s="2">
        <v>60</v>
      </c>
      <c r="E28" s="2">
        <f t="shared" si="2"/>
        <v>2</v>
      </c>
      <c r="F28" s="6">
        <f t="shared" si="3"/>
        <v>2.1881838074398252E-2</v>
      </c>
      <c r="G28" s="42"/>
      <c r="H28" s="19"/>
    </row>
    <row r="29" spans="1:8" x14ac:dyDescent="0.25">
      <c r="A29" s="5" t="s">
        <v>12</v>
      </c>
      <c r="B29" s="5">
        <v>75</v>
      </c>
      <c r="C29" s="4">
        <f t="shared" si="1"/>
        <v>79.8</v>
      </c>
      <c r="D29" s="2">
        <v>55</v>
      </c>
      <c r="E29" s="2">
        <f t="shared" si="2"/>
        <v>1.9000000000000001</v>
      </c>
      <c r="F29" s="6">
        <f t="shared" si="3"/>
        <v>2.3809523809523812E-2</v>
      </c>
      <c r="G29" s="42"/>
      <c r="H29" s="19"/>
    </row>
    <row r="30" spans="1:8" x14ac:dyDescent="0.25">
      <c r="A30" s="5" t="s">
        <v>13</v>
      </c>
      <c r="B30" s="5">
        <v>100</v>
      </c>
      <c r="C30" s="4">
        <f t="shared" si="1"/>
        <v>104.8</v>
      </c>
      <c r="D30" s="2">
        <v>70</v>
      </c>
      <c r="E30" s="2">
        <f t="shared" si="2"/>
        <v>2.4</v>
      </c>
      <c r="F30" s="6">
        <f t="shared" si="3"/>
        <v>2.2900763358778626E-2</v>
      </c>
      <c r="G30" s="42"/>
      <c r="H30" s="19"/>
    </row>
    <row r="31" spans="1:8" x14ac:dyDescent="0.25">
      <c r="A31" s="5" t="s">
        <v>14</v>
      </c>
      <c r="B31" s="5">
        <v>800</v>
      </c>
      <c r="C31" s="4">
        <v>800</v>
      </c>
      <c r="D31" s="2"/>
      <c r="E31" s="2">
        <f t="shared" si="2"/>
        <v>0</v>
      </c>
      <c r="F31" s="6">
        <f t="shared" si="3"/>
        <v>0</v>
      </c>
      <c r="G31" s="42"/>
      <c r="H31" s="19"/>
    </row>
  </sheetData>
  <mergeCells count="3">
    <mergeCell ref="G27:G31"/>
    <mergeCell ref="G4:G23"/>
    <mergeCell ref="G24:G26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6C207-9ED9-4C59-99FC-B70D9B38CA32}">
  <sheetPr codeName="Sheet7"/>
  <dimension ref="A1:J34"/>
  <sheetViews>
    <sheetView workbookViewId="0">
      <selection activeCell="E18" sqref="E18"/>
    </sheetView>
  </sheetViews>
  <sheetFormatPr defaultRowHeight="15" x14ac:dyDescent="0.25"/>
  <cols>
    <col min="1" max="1" width="10.140625" bestFit="1" customWidth="1"/>
    <col min="3" max="4" width="10" bestFit="1" customWidth="1"/>
    <col min="5" max="5" width="12.85546875" bestFit="1" customWidth="1"/>
    <col min="6" max="6" width="12.7109375" bestFit="1" customWidth="1"/>
    <col min="10" max="10" width="15.140625" bestFit="1" customWidth="1"/>
  </cols>
  <sheetData>
    <row r="1" spans="1:10" x14ac:dyDescent="0.25">
      <c r="A1" t="s">
        <v>7</v>
      </c>
      <c r="B1" s="10" t="s">
        <v>24</v>
      </c>
      <c r="C1" s="1" t="s">
        <v>8</v>
      </c>
      <c r="D1">
        <v>12.7</v>
      </c>
      <c r="E1" s="1" t="s">
        <v>86</v>
      </c>
      <c r="F1">
        <v>3</v>
      </c>
    </row>
    <row r="3" spans="1:10" x14ac:dyDescent="0.25">
      <c r="A3" s="2" t="s">
        <v>0</v>
      </c>
      <c r="B3" s="2" t="s">
        <v>1</v>
      </c>
      <c r="C3" s="2" t="s">
        <v>9</v>
      </c>
      <c r="D3" s="2" t="s">
        <v>10</v>
      </c>
      <c r="E3" s="2" t="s">
        <v>25</v>
      </c>
      <c r="F3" s="7" t="s">
        <v>53</v>
      </c>
      <c r="G3" s="7" t="s">
        <v>52</v>
      </c>
      <c r="H3" s="7"/>
    </row>
    <row r="4" spans="1:10" x14ac:dyDescent="0.25">
      <c r="A4" s="3">
        <v>25</v>
      </c>
      <c r="B4" s="4">
        <f>A4*PI()</f>
        <v>78.539816339744831</v>
      </c>
      <c r="C4" s="4">
        <f>B4+$D$1</f>
        <v>91.239816339744834</v>
      </c>
      <c r="D4" s="34" t="s">
        <v>63</v>
      </c>
      <c r="E4" s="33">
        <f>((LEFT(D4,SEARCH(":",D4)-1))+((RIGHT(D4,2))/60))</f>
        <v>4.0999999999999996</v>
      </c>
      <c r="F4" s="6">
        <f>E4/C4</f>
        <v>4.4936521844071327E-2</v>
      </c>
      <c r="G4" s="42">
        <f>AVERAGE(F4:F19,F28:F30)</f>
        <v>5.165475314107535E-2</v>
      </c>
      <c r="H4" s="19"/>
      <c r="J4" t="s">
        <v>20</v>
      </c>
    </row>
    <row r="5" spans="1:10" x14ac:dyDescent="0.25">
      <c r="A5" s="3">
        <v>24</v>
      </c>
      <c r="B5" s="4">
        <f t="shared" ref="B5:B27" si="0">A5*PI()</f>
        <v>75.398223686155035</v>
      </c>
      <c r="C5" s="4">
        <f t="shared" ref="C5:C30" si="1">B5+$D$1</f>
        <v>88.098223686155038</v>
      </c>
      <c r="D5" s="34" t="s">
        <v>64</v>
      </c>
      <c r="E5" s="33">
        <f t="shared" ref="E5:E31" si="2">((LEFT(D5,SEARCH(":",D5)-1))+((RIGHT(D5,2))/60))</f>
        <v>3.9333333333333336</v>
      </c>
      <c r="F5" s="6">
        <f t="shared" ref="F5:F31" si="3">E5/C5</f>
        <v>4.4647135535281754E-2</v>
      </c>
      <c r="G5" s="42"/>
      <c r="H5" s="19"/>
      <c r="J5" s="8" t="s">
        <v>21</v>
      </c>
    </row>
    <row r="6" spans="1:10" x14ac:dyDescent="0.25">
      <c r="A6" s="3">
        <v>23</v>
      </c>
      <c r="B6" s="4">
        <f t="shared" si="0"/>
        <v>72.256631032565238</v>
      </c>
      <c r="C6" s="4">
        <f t="shared" si="1"/>
        <v>84.956631032565241</v>
      </c>
      <c r="D6" s="34" t="s">
        <v>65</v>
      </c>
      <c r="E6" s="33">
        <f t="shared" si="2"/>
        <v>3.8666666666666667</v>
      </c>
      <c r="F6" s="6">
        <f t="shared" si="3"/>
        <v>4.5513418077801501E-2</v>
      </c>
      <c r="G6" s="42"/>
      <c r="H6" s="19"/>
      <c r="J6" s="12" t="s">
        <v>23</v>
      </c>
    </row>
    <row r="7" spans="1:10" x14ac:dyDescent="0.25">
      <c r="A7" s="3">
        <v>22</v>
      </c>
      <c r="B7" s="4">
        <f t="shared" si="0"/>
        <v>69.115038378975441</v>
      </c>
      <c r="C7" s="4">
        <f t="shared" si="1"/>
        <v>81.815038378975444</v>
      </c>
      <c r="D7" s="34" t="s">
        <v>66</v>
      </c>
      <c r="E7" s="33">
        <f t="shared" si="2"/>
        <v>3.7666666666666666</v>
      </c>
      <c r="F7" s="6">
        <f t="shared" si="3"/>
        <v>4.6038805839326138E-2</v>
      </c>
      <c r="G7" s="42"/>
      <c r="H7" s="19"/>
    </row>
    <row r="8" spans="1:10" x14ac:dyDescent="0.25">
      <c r="A8" s="3">
        <v>21</v>
      </c>
      <c r="B8" s="4">
        <f t="shared" si="0"/>
        <v>65.973445725385659</v>
      </c>
      <c r="C8" s="4">
        <f t="shared" si="1"/>
        <v>78.673445725385662</v>
      </c>
      <c r="D8" s="34" t="s">
        <v>67</v>
      </c>
      <c r="E8" s="33">
        <f t="shared" si="2"/>
        <v>3.6333333333333333</v>
      </c>
      <c r="F8" s="6">
        <f t="shared" si="3"/>
        <v>4.6182460928630216E-2</v>
      </c>
      <c r="G8" s="42"/>
      <c r="H8" s="19"/>
      <c r="J8" s="15"/>
    </row>
    <row r="9" spans="1:10" x14ac:dyDescent="0.25">
      <c r="A9" s="3">
        <v>20</v>
      </c>
      <c r="B9" s="4">
        <f t="shared" si="0"/>
        <v>62.831853071795862</v>
      </c>
      <c r="C9" s="4">
        <f t="shared" si="1"/>
        <v>75.531853071795865</v>
      </c>
      <c r="D9" s="34" t="s">
        <v>68</v>
      </c>
      <c r="E9" s="33">
        <f t="shared" si="2"/>
        <v>3.5</v>
      </c>
      <c r="F9" s="6">
        <f t="shared" si="3"/>
        <v>4.633806609607629E-2</v>
      </c>
      <c r="G9" s="42"/>
      <c r="H9" s="19"/>
    </row>
    <row r="10" spans="1:10" x14ac:dyDescent="0.25">
      <c r="A10" s="3">
        <v>19</v>
      </c>
      <c r="B10" s="4">
        <f t="shared" si="0"/>
        <v>59.690260418206066</v>
      </c>
      <c r="C10" s="4">
        <f t="shared" si="1"/>
        <v>72.390260418206068</v>
      </c>
      <c r="D10" s="34" t="s">
        <v>69</v>
      </c>
      <c r="E10" s="33">
        <f t="shared" si="2"/>
        <v>3.3666666666666667</v>
      </c>
      <c r="F10" s="6">
        <f t="shared" si="3"/>
        <v>4.6507177170203327E-2</v>
      </c>
      <c r="G10" s="42"/>
      <c r="H10" s="19"/>
      <c r="J10" s="15"/>
    </row>
    <row r="11" spans="1:10" x14ac:dyDescent="0.25">
      <c r="A11" s="3">
        <v>18</v>
      </c>
      <c r="B11" s="4">
        <f t="shared" si="0"/>
        <v>56.548667764616276</v>
      </c>
      <c r="C11" s="4">
        <f t="shared" si="1"/>
        <v>69.248667764616272</v>
      </c>
      <c r="D11" s="34" t="s">
        <v>70</v>
      </c>
      <c r="E11" s="33">
        <f t="shared" si="2"/>
        <v>3.2333333333333334</v>
      </c>
      <c r="F11" s="6">
        <f t="shared" si="3"/>
        <v>4.6691632311595996E-2</v>
      </c>
      <c r="G11" s="42"/>
      <c r="H11" s="19"/>
    </row>
    <row r="12" spans="1:10" x14ac:dyDescent="0.25">
      <c r="A12" s="3">
        <v>17</v>
      </c>
      <c r="B12" s="4">
        <f t="shared" si="0"/>
        <v>53.407075111026487</v>
      </c>
      <c r="C12" s="4">
        <f t="shared" si="1"/>
        <v>66.107075111026489</v>
      </c>
      <c r="D12" s="34" t="s">
        <v>71</v>
      </c>
      <c r="E12" s="33">
        <f t="shared" si="2"/>
        <v>3.1</v>
      </c>
      <c r="F12" s="6">
        <f t="shared" si="3"/>
        <v>4.689361909891742E-2</v>
      </c>
      <c r="G12" s="42"/>
      <c r="H12" s="19"/>
    </row>
    <row r="13" spans="1:10" x14ac:dyDescent="0.25">
      <c r="A13" s="3">
        <v>16</v>
      </c>
      <c r="B13" s="4">
        <f t="shared" si="0"/>
        <v>50.26548245743669</v>
      </c>
      <c r="C13" s="4">
        <f t="shared" si="1"/>
        <v>62.965482457436693</v>
      </c>
      <c r="D13" s="34" t="s">
        <v>72</v>
      </c>
      <c r="E13" s="33">
        <f t="shared" si="2"/>
        <v>2.9666666666666668</v>
      </c>
      <c r="F13" s="6">
        <f t="shared" si="3"/>
        <v>4.7115761698039389E-2</v>
      </c>
      <c r="G13" s="42"/>
      <c r="H13" s="19"/>
    </row>
    <row r="14" spans="1:10" x14ac:dyDescent="0.25">
      <c r="A14" s="3">
        <v>15</v>
      </c>
      <c r="B14" s="4">
        <f t="shared" si="0"/>
        <v>47.123889803846893</v>
      </c>
      <c r="C14" s="4">
        <f t="shared" si="1"/>
        <v>59.823889803846896</v>
      </c>
      <c r="D14" s="34" t="s">
        <v>73</v>
      </c>
      <c r="E14" s="33">
        <f t="shared" si="2"/>
        <v>2.8333333333333335</v>
      </c>
      <c r="F14" s="6">
        <f t="shared" si="3"/>
        <v>4.7361235496778745E-2</v>
      </c>
      <c r="G14" s="42"/>
      <c r="H14" s="19"/>
    </row>
    <row r="15" spans="1:10" x14ac:dyDescent="0.25">
      <c r="A15" s="3">
        <v>14</v>
      </c>
      <c r="B15" s="4">
        <f t="shared" si="0"/>
        <v>43.982297150257104</v>
      </c>
      <c r="C15" s="4">
        <f t="shared" si="1"/>
        <v>56.682297150257099</v>
      </c>
      <c r="D15" s="38" t="s">
        <v>65</v>
      </c>
      <c r="E15" s="33">
        <f t="shared" si="2"/>
        <v>3.8666666666666667</v>
      </c>
      <c r="F15" s="6">
        <f t="shared" si="3"/>
        <v>6.8216477825813179E-2</v>
      </c>
      <c r="G15" s="42"/>
      <c r="H15" s="19"/>
    </row>
    <row r="16" spans="1:10" x14ac:dyDescent="0.25">
      <c r="A16" s="3">
        <v>13</v>
      </c>
      <c r="B16" s="4">
        <f t="shared" si="0"/>
        <v>40.840704496667314</v>
      </c>
      <c r="C16" s="4">
        <f t="shared" si="1"/>
        <v>53.540704496667317</v>
      </c>
      <c r="D16" s="38" t="s">
        <v>74</v>
      </c>
      <c r="E16" s="33">
        <f t="shared" si="2"/>
        <v>3.6666666666666665</v>
      </c>
      <c r="F16" s="6">
        <f t="shared" si="3"/>
        <v>6.8483720958413999E-2</v>
      </c>
      <c r="G16" s="42"/>
      <c r="H16" s="19"/>
    </row>
    <row r="17" spans="1:10" x14ac:dyDescent="0.25">
      <c r="A17" s="3">
        <v>12</v>
      </c>
      <c r="B17" s="4">
        <f t="shared" si="0"/>
        <v>37.699111843077517</v>
      </c>
      <c r="C17" s="4">
        <f t="shared" si="1"/>
        <v>50.39911184307752</v>
      </c>
      <c r="D17" s="38" t="s">
        <v>75</v>
      </c>
      <c r="E17" s="33">
        <f t="shared" si="2"/>
        <v>3.4333333333333336</v>
      </c>
      <c r="F17" s="6">
        <f t="shared" si="3"/>
        <v>6.812289359430275E-2</v>
      </c>
      <c r="G17" s="42"/>
      <c r="H17" s="19"/>
    </row>
    <row r="18" spans="1:10" x14ac:dyDescent="0.25">
      <c r="A18" s="3">
        <v>11</v>
      </c>
      <c r="B18" s="4">
        <f t="shared" si="0"/>
        <v>34.557519189487721</v>
      </c>
      <c r="C18" s="4">
        <f t="shared" si="1"/>
        <v>47.257519189487724</v>
      </c>
      <c r="D18" s="38" t="s">
        <v>76</v>
      </c>
      <c r="E18" s="33">
        <f t="shared" si="2"/>
        <v>2.7333333333333334</v>
      </c>
      <c r="F18" s="6">
        <f t="shared" si="3"/>
        <v>5.7839120212246652E-2</v>
      </c>
      <c r="G18" s="42"/>
      <c r="H18" s="19"/>
    </row>
    <row r="19" spans="1:10" x14ac:dyDescent="0.25">
      <c r="A19" s="3">
        <v>10</v>
      </c>
      <c r="B19" s="4">
        <f t="shared" si="0"/>
        <v>31.415926535897931</v>
      </c>
      <c r="C19" s="4">
        <f t="shared" si="1"/>
        <v>44.115926535897927</v>
      </c>
      <c r="D19" s="38" t="s">
        <v>77</v>
      </c>
      <c r="E19" s="33">
        <f t="shared" si="2"/>
        <v>3.4666666666666668</v>
      </c>
      <c r="F19" s="6">
        <f t="shared" si="3"/>
        <v>7.8580842314300653E-2</v>
      </c>
      <c r="G19" s="42"/>
      <c r="H19" s="19"/>
    </row>
    <row r="20" spans="1:10" x14ac:dyDescent="0.25">
      <c r="A20" s="3">
        <v>9</v>
      </c>
      <c r="B20" s="4">
        <f t="shared" si="0"/>
        <v>28.274333882308138</v>
      </c>
      <c r="C20" s="4">
        <f t="shared" si="1"/>
        <v>40.974333882308137</v>
      </c>
      <c r="D20" s="35" t="s">
        <v>78</v>
      </c>
      <c r="E20" s="33">
        <f t="shared" si="2"/>
        <v>18.233333333333334</v>
      </c>
      <c r="F20" s="6">
        <f t="shared" si="3"/>
        <v>0.44499401468503452</v>
      </c>
      <c r="G20" s="42">
        <f>AVERAGE(F20:F24)</f>
        <v>0.40482719243159082</v>
      </c>
      <c r="H20" s="19"/>
    </row>
    <row r="21" spans="1:10" x14ac:dyDescent="0.25">
      <c r="A21" s="3">
        <v>8</v>
      </c>
      <c r="B21" s="4">
        <f t="shared" si="0"/>
        <v>25.132741228718345</v>
      </c>
      <c r="C21" s="4">
        <f t="shared" si="1"/>
        <v>37.832741228718348</v>
      </c>
      <c r="D21" s="35" t="s">
        <v>79</v>
      </c>
      <c r="E21" s="33">
        <f t="shared" si="2"/>
        <v>16.333333333333332</v>
      </c>
      <c r="F21" s="6">
        <f t="shared" si="3"/>
        <v>0.43172481831517162</v>
      </c>
      <c r="G21" s="42"/>
      <c r="H21" s="19"/>
    </row>
    <row r="22" spans="1:10" x14ac:dyDescent="0.25">
      <c r="A22" s="3">
        <v>7</v>
      </c>
      <c r="B22" s="4">
        <f t="shared" si="0"/>
        <v>21.991148575128552</v>
      </c>
      <c r="C22" s="4">
        <f t="shared" si="1"/>
        <v>34.691148575128551</v>
      </c>
      <c r="D22" s="35" t="s">
        <v>80</v>
      </c>
      <c r="E22" s="33">
        <f t="shared" si="2"/>
        <v>14.333333333333334</v>
      </c>
      <c r="F22" s="6">
        <f t="shared" si="3"/>
        <v>0.41316975430468927</v>
      </c>
      <c r="G22" s="42"/>
      <c r="H22" s="19"/>
    </row>
    <row r="23" spans="1:10" x14ac:dyDescent="0.25">
      <c r="A23" s="3">
        <v>6</v>
      </c>
      <c r="B23" s="4">
        <f t="shared" si="0"/>
        <v>18.849555921538759</v>
      </c>
      <c r="C23" s="4">
        <f t="shared" si="1"/>
        <v>31.549555921538758</v>
      </c>
      <c r="D23" s="35" t="s">
        <v>81</v>
      </c>
      <c r="E23" s="33">
        <f t="shared" si="2"/>
        <v>12.133333333333333</v>
      </c>
      <c r="F23" s="6">
        <f t="shared" si="3"/>
        <v>0.38458016219017377</v>
      </c>
      <c r="G23" s="42"/>
      <c r="H23" s="19"/>
    </row>
    <row r="24" spans="1:10" x14ac:dyDescent="0.25">
      <c r="A24" s="3">
        <v>5</v>
      </c>
      <c r="B24" s="4">
        <f t="shared" si="0"/>
        <v>15.707963267948966</v>
      </c>
      <c r="C24" s="4">
        <f t="shared" si="1"/>
        <v>28.407963267948965</v>
      </c>
      <c r="D24" s="35" t="s">
        <v>82</v>
      </c>
      <c r="E24" s="33">
        <f t="shared" si="2"/>
        <v>9.9333333333333336</v>
      </c>
      <c r="F24" s="6">
        <f t="shared" si="3"/>
        <v>0.34966721266288492</v>
      </c>
      <c r="G24" s="42"/>
      <c r="H24" s="19"/>
    </row>
    <row r="25" spans="1:10" x14ac:dyDescent="0.25">
      <c r="A25" s="3">
        <v>4</v>
      </c>
      <c r="B25" s="4">
        <f t="shared" si="0"/>
        <v>12.566370614359172</v>
      </c>
      <c r="C25" s="4">
        <f t="shared" si="1"/>
        <v>25.266370614359172</v>
      </c>
      <c r="D25" s="36">
        <v>0</v>
      </c>
      <c r="E25" s="33" t="e">
        <f t="shared" si="2"/>
        <v>#VALUE!</v>
      </c>
      <c r="F25" s="6" t="e">
        <f t="shared" si="3"/>
        <v>#VALUE!</v>
      </c>
      <c r="G25" s="42">
        <f>G4</f>
        <v>5.165475314107535E-2</v>
      </c>
      <c r="H25" s="19"/>
    </row>
    <row r="26" spans="1:10" x14ac:dyDescent="0.25">
      <c r="A26" s="3">
        <v>3</v>
      </c>
      <c r="B26" s="4">
        <f t="shared" si="0"/>
        <v>9.4247779607693793</v>
      </c>
      <c r="C26" s="4">
        <f t="shared" si="1"/>
        <v>22.124777960769379</v>
      </c>
      <c r="D26" s="36">
        <v>0</v>
      </c>
      <c r="E26" s="33" t="e">
        <f t="shared" si="2"/>
        <v>#VALUE!</v>
      </c>
      <c r="F26" s="6" t="e">
        <f t="shared" si="3"/>
        <v>#VALUE!</v>
      </c>
      <c r="G26" s="42"/>
      <c r="H26" s="19"/>
    </row>
    <row r="27" spans="1:10" x14ac:dyDescent="0.25">
      <c r="A27" s="3">
        <v>2</v>
      </c>
      <c r="B27" s="4">
        <f t="shared" si="0"/>
        <v>6.2831853071795862</v>
      </c>
      <c r="C27" s="4">
        <f t="shared" si="1"/>
        <v>18.983185307179586</v>
      </c>
      <c r="D27" s="36">
        <v>0</v>
      </c>
      <c r="E27" s="33" t="e">
        <f t="shared" si="2"/>
        <v>#VALUE!</v>
      </c>
      <c r="F27" s="6" t="e">
        <f t="shared" si="3"/>
        <v>#VALUE!</v>
      </c>
      <c r="G27" s="42"/>
      <c r="H27" s="19"/>
    </row>
    <row r="28" spans="1:10" x14ac:dyDescent="0.25">
      <c r="A28" s="5" t="s">
        <v>11</v>
      </c>
      <c r="B28" s="5">
        <v>86.6</v>
      </c>
      <c r="C28" s="4">
        <f t="shared" si="1"/>
        <v>99.3</v>
      </c>
      <c r="D28" s="34" t="s">
        <v>59</v>
      </c>
      <c r="E28" s="33">
        <f t="shared" si="2"/>
        <v>4.2666666666666666</v>
      </c>
      <c r="F28" s="6">
        <f t="shared" si="3"/>
        <v>4.2967438737831487E-2</v>
      </c>
      <c r="G28" s="42"/>
      <c r="H28" s="19"/>
    </row>
    <row r="29" spans="1:10" x14ac:dyDescent="0.25">
      <c r="A29" s="5" t="s">
        <v>12</v>
      </c>
      <c r="B29" s="5">
        <v>75</v>
      </c>
      <c r="C29" s="4">
        <f t="shared" si="1"/>
        <v>87.7</v>
      </c>
      <c r="D29" s="34" t="s">
        <v>60</v>
      </c>
      <c r="E29" s="33">
        <f t="shared" si="2"/>
        <v>3.9666666666666668</v>
      </c>
      <c r="F29" s="6">
        <f t="shared" si="3"/>
        <v>4.5229950589129611E-2</v>
      </c>
      <c r="G29" s="42"/>
      <c r="H29" s="19"/>
      <c r="J29" s="15"/>
    </row>
    <row r="30" spans="1:10" x14ac:dyDescent="0.25">
      <c r="A30" s="5" t="s">
        <v>13</v>
      </c>
      <c r="B30" s="5">
        <v>100</v>
      </c>
      <c r="C30" s="4">
        <f t="shared" si="1"/>
        <v>112.7</v>
      </c>
      <c r="D30" s="34" t="s">
        <v>62</v>
      </c>
      <c r="E30" s="33">
        <f t="shared" si="2"/>
        <v>4.9333333333333336</v>
      </c>
      <c r="F30" s="6">
        <f t="shared" si="3"/>
        <v>4.3774031351671107E-2</v>
      </c>
      <c r="G30" s="42"/>
      <c r="H30" s="19"/>
    </row>
    <row r="31" spans="1:10" x14ac:dyDescent="0.25">
      <c r="A31" s="5" t="s">
        <v>14</v>
      </c>
      <c r="B31" s="5">
        <v>800</v>
      </c>
      <c r="C31" s="4">
        <v>800</v>
      </c>
      <c r="D31" s="34" t="s">
        <v>61</v>
      </c>
      <c r="E31" s="33">
        <f t="shared" si="2"/>
        <v>32.233333333333334</v>
      </c>
      <c r="F31" s="6">
        <f t="shared" si="3"/>
        <v>4.029166666666667E-2</v>
      </c>
      <c r="G31" s="42"/>
      <c r="H31" s="19"/>
    </row>
    <row r="32" spans="1:10" x14ac:dyDescent="0.25">
      <c r="D32" s="37" t="s">
        <v>83</v>
      </c>
      <c r="E32" s="15">
        <f>SUM(E4:E24,E28:E31)</f>
        <v>171.83333333333337</v>
      </c>
      <c r="F32" s="30">
        <f>(E32+E33+E34)/60</f>
        <v>4.3145555555555566</v>
      </c>
    </row>
    <row r="33" spans="3:5" x14ac:dyDescent="0.25">
      <c r="C33" t="s">
        <v>84</v>
      </c>
      <c r="D33">
        <v>3</v>
      </c>
      <c r="E33" s="30">
        <f>D33*25</f>
        <v>75</v>
      </c>
    </row>
    <row r="34" spans="3:5" x14ac:dyDescent="0.25">
      <c r="C34" t="s">
        <v>85</v>
      </c>
      <c r="D34">
        <v>28</v>
      </c>
      <c r="E34">
        <f>D34*0.43</f>
        <v>12.04</v>
      </c>
    </row>
  </sheetData>
  <mergeCells count="3">
    <mergeCell ref="G4:G19"/>
    <mergeCell ref="G20:G24"/>
    <mergeCell ref="G25:G31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6AEE8-4B68-4A6D-B9CE-476FD00EF1E1}">
  <sheetPr codeName="Sheet8"/>
  <dimension ref="A1:J31"/>
  <sheetViews>
    <sheetView workbookViewId="0">
      <selection activeCell="H28" sqref="H28"/>
    </sheetView>
  </sheetViews>
  <sheetFormatPr defaultRowHeight="15" x14ac:dyDescent="0.25"/>
  <cols>
    <col min="1" max="1" width="10.140625" bestFit="1" customWidth="1"/>
    <col min="3" max="4" width="10" bestFit="1" customWidth="1"/>
    <col min="5" max="5" width="12.85546875" bestFit="1" customWidth="1"/>
    <col min="6" max="6" width="12.7109375" bestFit="1" customWidth="1"/>
    <col min="10" max="10" width="15.140625" bestFit="1" customWidth="1"/>
  </cols>
  <sheetData>
    <row r="1" spans="1:10" x14ac:dyDescent="0.25">
      <c r="A1" t="s">
        <v>7</v>
      </c>
      <c r="B1" s="10" t="s">
        <v>24</v>
      </c>
      <c r="C1" s="1" t="s">
        <v>8</v>
      </c>
      <c r="D1">
        <v>12.7</v>
      </c>
      <c r="E1" s="1" t="s">
        <v>16</v>
      </c>
      <c r="F1">
        <v>90</v>
      </c>
      <c r="H1" t="s">
        <v>15</v>
      </c>
    </row>
    <row r="2" spans="1:10" x14ac:dyDescent="0.25">
      <c r="H2" t="s">
        <v>17</v>
      </c>
      <c r="I2" t="s">
        <v>18</v>
      </c>
      <c r="J2" t="s">
        <v>19</v>
      </c>
    </row>
    <row r="3" spans="1:10" x14ac:dyDescent="0.25">
      <c r="A3" s="2" t="s">
        <v>0</v>
      </c>
      <c r="B3" s="2" t="s">
        <v>1</v>
      </c>
      <c r="C3" s="2" t="s">
        <v>9</v>
      </c>
      <c r="D3" s="2" t="s">
        <v>10</v>
      </c>
      <c r="E3" s="2" t="s">
        <v>25</v>
      </c>
      <c r="F3" s="7" t="s">
        <v>53</v>
      </c>
      <c r="G3" s="7" t="s">
        <v>52</v>
      </c>
      <c r="H3" s="7"/>
    </row>
    <row r="4" spans="1:10" x14ac:dyDescent="0.25">
      <c r="A4" s="3">
        <v>25</v>
      </c>
      <c r="B4" s="4">
        <f>A4*PI()</f>
        <v>78.539816339744831</v>
      </c>
      <c r="C4" s="4">
        <f>B4+$D$1</f>
        <v>91.239816339744834</v>
      </c>
      <c r="D4" s="2">
        <v>123</v>
      </c>
      <c r="E4" s="2">
        <f>ROUNDUP(D4/30,1)</f>
        <v>4.0999999999999996</v>
      </c>
      <c r="F4" s="6">
        <f>E4/C4</f>
        <v>4.4936521844071327E-2</v>
      </c>
      <c r="G4" s="42">
        <f>AVERAGE(F4:F19,F28:F30)</f>
        <v>5.225885206515677E-2</v>
      </c>
      <c r="H4" s="19"/>
      <c r="J4" t="s">
        <v>20</v>
      </c>
    </row>
    <row r="5" spans="1:10" x14ac:dyDescent="0.25">
      <c r="A5" s="3">
        <v>24</v>
      </c>
      <c r="B5" s="4">
        <f t="shared" ref="B5:B27" si="0">A5*PI()</f>
        <v>75.398223686155035</v>
      </c>
      <c r="C5" s="4">
        <f t="shared" ref="C5:C30" si="1">B5+$D$1</f>
        <v>88.098223686155038</v>
      </c>
      <c r="D5" s="2">
        <v>118</v>
      </c>
      <c r="E5" s="2">
        <f t="shared" ref="E5:E30" si="2">ROUNDUP(D5/30,1)</f>
        <v>4</v>
      </c>
      <c r="F5" s="6">
        <f t="shared" ref="F5:F31" si="3">E5/C5</f>
        <v>4.5403866646049243E-2</v>
      </c>
      <c r="G5" s="42"/>
      <c r="H5" s="19"/>
      <c r="J5" s="8" t="s">
        <v>21</v>
      </c>
    </row>
    <row r="6" spans="1:10" x14ac:dyDescent="0.25">
      <c r="A6" s="3">
        <v>23</v>
      </c>
      <c r="B6" s="4">
        <f t="shared" si="0"/>
        <v>72.256631032565238</v>
      </c>
      <c r="C6" s="4">
        <f t="shared" si="1"/>
        <v>84.956631032565241</v>
      </c>
      <c r="D6" s="2">
        <v>116</v>
      </c>
      <c r="E6" s="2">
        <f t="shared" si="2"/>
        <v>3.9</v>
      </c>
      <c r="F6" s="6">
        <f t="shared" si="3"/>
        <v>4.5905775130196336E-2</v>
      </c>
      <c r="G6" s="42"/>
      <c r="H6" s="19"/>
      <c r="J6" s="12" t="s">
        <v>23</v>
      </c>
    </row>
    <row r="7" spans="1:10" x14ac:dyDescent="0.25">
      <c r="A7" s="3">
        <v>22</v>
      </c>
      <c r="B7" s="4">
        <f t="shared" si="0"/>
        <v>69.115038378975441</v>
      </c>
      <c r="C7" s="4">
        <f t="shared" si="1"/>
        <v>81.815038378975444</v>
      </c>
      <c r="D7" s="2">
        <v>113</v>
      </c>
      <c r="E7" s="2">
        <f t="shared" si="2"/>
        <v>3.8000000000000003</v>
      </c>
      <c r="F7" s="6">
        <f t="shared" si="3"/>
        <v>4.6446228899851151E-2</v>
      </c>
      <c r="G7" s="42"/>
      <c r="H7" s="19"/>
    </row>
    <row r="8" spans="1:10" x14ac:dyDescent="0.25">
      <c r="A8" s="3">
        <v>21</v>
      </c>
      <c r="B8" s="4">
        <f t="shared" si="0"/>
        <v>65.973445725385659</v>
      </c>
      <c r="C8" s="4">
        <f t="shared" si="1"/>
        <v>78.673445725385662</v>
      </c>
      <c r="D8" s="2">
        <v>109</v>
      </c>
      <c r="E8" s="2">
        <f t="shared" si="2"/>
        <v>3.7</v>
      </c>
      <c r="F8" s="6">
        <f t="shared" si="3"/>
        <v>4.7029845532825271E-2</v>
      </c>
      <c r="G8" s="42"/>
      <c r="H8" s="19"/>
    </row>
    <row r="9" spans="1:10" x14ac:dyDescent="0.25">
      <c r="A9" s="3">
        <v>20</v>
      </c>
      <c r="B9" s="4">
        <f t="shared" si="0"/>
        <v>62.831853071795862</v>
      </c>
      <c r="C9" s="4">
        <f t="shared" si="1"/>
        <v>75.531853071795865</v>
      </c>
      <c r="D9" s="2">
        <v>105</v>
      </c>
      <c r="E9" s="2">
        <f t="shared" si="2"/>
        <v>3.5</v>
      </c>
      <c r="F9" s="6">
        <f t="shared" si="3"/>
        <v>4.633806609607629E-2</v>
      </c>
      <c r="G9" s="42"/>
      <c r="H9" s="19"/>
    </row>
    <row r="10" spans="1:10" x14ac:dyDescent="0.25">
      <c r="A10" s="3">
        <v>19</v>
      </c>
      <c r="B10" s="4">
        <f t="shared" si="0"/>
        <v>59.690260418206066</v>
      </c>
      <c r="C10" s="4">
        <f t="shared" si="1"/>
        <v>72.390260418206068</v>
      </c>
      <c r="D10" s="2">
        <v>101</v>
      </c>
      <c r="E10" s="2">
        <f t="shared" si="2"/>
        <v>3.4</v>
      </c>
      <c r="F10" s="6">
        <f t="shared" si="3"/>
        <v>4.6967644270898404E-2</v>
      </c>
      <c r="G10" s="42"/>
      <c r="H10" s="19"/>
    </row>
    <row r="11" spans="1:10" x14ac:dyDescent="0.25">
      <c r="A11" s="3">
        <v>18</v>
      </c>
      <c r="B11" s="4">
        <f t="shared" si="0"/>
        <v>56.548667764616276</v>
      </c>
      <c r="C11" s="4">
        <f t="shared" si="1"/>
        <v>69.248667764616272</v>
      </c>
      <c r="D11" s="2">
        <v>97</v>
      </c>
      <c r="E11" s="2">
        <f t="shared" si="2"/>
        <v>3.3000000000000003</v>
      </c>
      <c r="F11" s="6">
        <f t="shared" si="3"/>
        <v>4.7654346379876332E-2</v>
      </c>
      <c r="G11" s="42"/>
      <c r="H11" s="19"/>
    </row>
    <row r="12" spans="1:10" x14ac:dyDescent="0.25">
      <c r="A12" s="3">
        <v>17</v>
      </c>
      <c r="B12" s="4">
        <f t="shared" si="0"/>
        <v>53.407075111026487</v>
      </c>
      <c r="C12" s="4">
        <f t="shared" si="1"/>
        <v>66.107075111026489</v>
      </c>
      <c r="D12" s="2">
        <v>93</v>
      </c>
      <c r="E12" s="2">
        <f t="shared" si="2"/>
        <v>3.1</v>
      </c>
      <c r="F12" s="6">
        <f t="shared" si="3"/>
        <v>4.689361909891742E-2</v>
      </c>
      <c r="G12" s="42"/>
      <c r="H12" s="19"/>
    </row>
    <row r="13" spans="1:10" x14ac:dyDescent="0.25">
      <c r="A13" s="3">
        <v>16</v>
      </c>
      <c r="B13" s="4">
        <f t="shared" si="0"/>
        <v>50.26548245743669</v>
      </c>
      <c r="C13" s="4">
        <f t="shared" si="1"/>
        <v>62.965482457436693</v>
      </c>
      <c r="D13" s="2">
        <v>88</v>
      </c>
      <c r="E13" s="2">
        <f t="shared" si="2"/>
        <v>3</v>
      </c>
      <c r="F13" s="6">
        <f t="shared" si="3"/>
        <v>4.7645152278916234E-2</v>
      </c>
      <c r="G13" s="42"/>
      <c r="H13" s="19"/>
    </row>
    <row r="14" spans="1:10" x14ac:dyDescent="0.25">
      <c r="A14" s="3">
        <v>15</v>
      </c>
      <c r="B14" s="4">
        <f t="shared" si="0"/>
        <v>47.123889803846893</v>
      </c>
      <c r="C14" s="4">
        <f t="shared" si="1"/>
        <v>59.823889803846896</v>
      </c>
      <c r="D14" s="2">
        <v>85</v>
      </c>
      <c r="E14" s="2">
        <f t="shared" si="2"/>
        <v>2.9</v>
      </c>
      <c r="F14" s="6">
        <f t="shared" si="3"/>
        <v>4.8475617508467649E-2</v>
      </c>
      <c r="G14" s="42"/>
      <c r="H14" s="19"/>
    </row>
    <row r="15" spans="1:10" x14ac:dyDescent="0.25">
      <c r="A15" s="3">
        <v>14</v>
      </c>
      <c r="B15" s="4">
        <f t="shared" si="0"/>
        <v>43.982297150257104</v>
      </c>
      <c r="C15" s="4">
        <f t="shared" si="1"/>
        <v>56.682297150257099</v>
      </c>
      <c r="D15" s="13">
        <v>116</v>
      </c>
      <c r="E15" s="2">
        <f t="shared" si="2"/>
        <v>3.9</v>
      </c>
      <c r="F15" s="6">
        <f t="shared" si="3"/>
        <v>6.8804550910518458E-2</v>
      </c>
      <c r="G15" s="42"/>
      <c r="H15" s="19"/>
    </row>
    <row r="16" spans="1:10" x14ac:dyDescent="0.25">
      <c r="A16" s="3">
        <v>13</v>
      </c>
      <c r="B16" s="4">
        <f t="shared" si="0"/>
        <v>40.840704496667314</v>
      </c>
      <c r="C16" s="4">
        <f t="shared" si="1"/>
        <v>53.540704496667317</v>
      </c>
      <c r="D16" s="13">
        <v>110</v>
      </c>
      <c r="E16" s="2">
        <f t="shared" si="2"/>
        <v>3.7</v>
      </c>
      <c r="F16" s="6">
        <f t="shared" si="3"/>
        <v>6.9106300239854132E-2</v>
      </c>
      <c r="G16" s="42"/>
      <c r="H16" s="19"/>
    </row>
    <row r="17" spans="1:8" x14ac:dyDescent="0.25">
      <c r="A17" s="3">
        <v>12</v>
      </c>
      <c r="B17" s="4">
        <f t="shared" si="0"/>
        <v>37.699111843077517</v>
      </c>
      <c r="C17" s="4">
        <f t="shared" si="1"/>
        <v>50.39911184307752</v>
      </c>
      <c r="D17" s="13">
        <v>103</v>
      </c>
      <c r="E17" s="2">
        <f t="shared" si="2"/>
        <v>3.5</v>
      </c>
      <c r="F17" s="6">
        <f t="shared" si="3"/>
        <v>6.9445668227201829E-2</v>
      </c>
      <c r="G17" s="42"/>
      <c r="H17" s="19"/>
    </row>
    <row r="18" spans="1:8" x14ac:dyDescent="0.25">
      <c r="A18" s="3">
        <v>11</v>
      </c>
      <c r="B18" s="4">
        <f t="shared" si="0"/>
        <v>34.557519189487721</v>
      </c>
      <c r="C18" s="4">
        <f t="shared" si="1"/>
        <v>47.257519189487724</v>
      </c>
      <c r="D18" s="13">
        <v>82</v>
      </c>
      <c r="E18" s="2">
        <f t="shared" si="2"/>
        <v>2.8000000000000003</v>
      </c>
      <c r="F18" s="6">
        <f t="shared" si="3"/>
        <v>5.9249830461325842E-2</v>
      </c>
      <c r="G18" s="42"/>
      <c r="H18" s="19"/>
    </row>
    <row r="19" spans="1:8" x14ac:dyDescent="0.25">
      <c r="A19" s="3">
        <v>10</v>
      </c>
      <c r="B19" s="4">
        <f t="shared" si="0"/>
        <v>31.415926535897931</v>
      </c>
      <c r="C19" s="4">
        <f t="shared" si="1"/>
        <v>44.115926535897927</v>
      </c>
      <c r="D19" s="13">
        <v>104</v>
      </c>
      <c r="E19" s="2">
        <f t="shared" si="2"/>
        <v>3.5</v>
      </c>
      <c r="F19" s="6">
        <f t="shared" si="3"/>
        <v>7.9336427336553536E-2</v>
      </c>
      <c r="G19" s="42"/>
      <c r="H19" s="19"/>
    </row>
    <row r="20" spans="1:8" x14ac:dyDescent="0.25">
      <c r="A20" s="3">
        <v>9</v>
      </c>
      <c r="B20" s="4">
        <f t="shared" si="0"/>
        <v>28.274333882308138</v>
      </c>
      <c r="C20" s="4">
        <f t="shared" si="1"/>
        <v>40.974333882308137</v>
      </c>
      <c r="D20" s="9">
        <v>547</v>
      </c>
      <c r="E20" s="2">
        <f t="shared" si="2"/>
        <v>18.3</v>
      </c>
      <c r="F20" s="6">
        <f t="shared" si="3"/>
        <v>0.44662104947364523</v>
      </c>
      <c r="G20" s="42">
        <f>AVERAGE(F20:F24)</f>
        <v>0.40678133929607235</v>
      </c>
      <c r="H20" s="19"/>
    </row>
    <row r="21" spans="1:8" x14ac:dyDescent="0.25">
      <c r="A21" s="3">
        <v>8</v>
      </c>
      <c r="B21" s="4">
        <f t="shared" si="0"/>
        <v>25.132741228718345</v>
      </c>
      <c r="C21" s="4">
        <f t="shared" si="1"/>
        <v>37.832741228718348</v>
      </c>
      <c r="D21" s="9">
        <v>490</v>
      </c>
      <c r="E21" s="2">
        <f t="shared" si="2"/>
        <v>16.400000000000002</v>
      </c>
      <c r="F21" s="6">
        <f t="shared" si="3"/>
        <v>0.43348696043074386</v>
      </c>
      <c r="G21" s="42"/>
      <c r="H21" s="19"/>
    </row>
    <row r="22" spans="1:8" x14ac:dyDescent="0.25">
      <c r="A22" s="3">
        <v>7</v>
      </c>
      <c r="B22" s="4">
        <f t="shared" si="0"/>
        <v>21.991148575128552</v>
      </c>
      <c r="C22" s="4">
        <f t="shared" si="1"/>
        <v>34.691148575128551</v>
      </c>
      <c r="D22" s="9">
        <v>430</v>
      </c>
      <c r="E22" s="2">
        <f t="shared" si="2"/>
        <v>14.4</v>
      </c>
      <c r="F22" s="6">
        <f t="shared" si="3"/>
        <v>0.41509147409215291</v>
      </c>
      <c r="G22" s="42"/>
      <c r="H22" s="19"/>
    </row>
    <row r="23" spans="1:8" x14ac:dyDescent="0.25">
      <c r="A23" s="3">
        <v>6</v>
      </c>
      <c r="B23" s="4">
        <f t="shared" si="0"/>
        <v>18.849555921538759</v>
      </c>
      <c r="C23" s="4">
        <f t="shared" si="1"/>
        <v>31.549555921538758</v>
      </c>
      <c r="D23" s="9">
        <v>364</v>
      </c>
      <c r="E23" s="2">
        <f t="shared" si="2"/>
        <v>12.2</v>
      </c>
      <c r="F23" s="6">
        <f t="shared" si="3"/>
        <v>0.38669324000440547</v>
      </c>
      <c r="G23" s="42"/>
      <c r="H23" s="19"/>
    </row>
    <row r="24" spans="1:8" x14ac:dyDescent="0.25">
      <c r="A24" s="3">
        <v>5</v>
      </c>
      <c r="B24" s="4">
        <f t="shared" si="0"/>
        <v>15.707963267948966</v>
      </c>
      <c r="C24" s="4">
        <f t="shared" si="1"/>
        <v>28.407963267948965</v>
      </c>
      <c r="D24" s="9">
        <v>298</v>
      </c>
      <c r="E24" s="2">
        <f t="shared" si="2"/>
        <v>10</v>
      </c>
      <c r="F24" s="6">
        <f t="shared" si="3"/>
        <v>0.35201397247941435</v>
      </c>
      <c r="G24" s="42"/>
      <c r="H24" s="19"/>
    </row>
    <row r="25" spans="1:8" x14ac:dyDescent="0.25">
      <c r="A25" s="3">
        <v>4</v>
      </c>
      <c r="B25" s="4">
        <f t="shared" si="0"/>
        <v>12.566370614359172</v>
      </c>
      <c r="C25" s="4">
        <f t="shared" si="1"/>
        <v>25.266370614359172</v>
      </c>
      <c r="D25" s="11">
        <v>0</v>
      </c>
      <c r="E25" s="2">
        <f t="shared" si="2"/>
        <v>0</v>
      </c>
      <c r="F25" s="6">
        <f t="shared" si="3"/>
        <v>0</v>
      </c>
      <c r="G25" s="42">
        <f>G4</f>
        <v>5.225885206515677E-2</v>
      </c>
      <c r="H25" s="19"/>
    </row>
    <row r="26" spans="1:8" x14ac:dyDescent="0.25">
      <c r="A26" s="3">
        <v>3</v>
      </c>
      <c r="B26" s="4">
        <f t="shared" si="0"/>
        <v>9.4247779607693793</v>
      </c>
      <c r="C26" s="4">
        <f t="shared" si="1"/>
        <v>22.124777960769379</v>
      </c>
      <c r="D26" s="11">
        <v>0</v>
      </c>
      <c r="E26" s="2">
        <f t="shared" si="2"/>
        <v>0</v>
      </c>
      <c r="F26" s="6">
        <f t="shared" si="3"/>
        <v>0</v>
      </c>
      <c r="G26" s="42"/>
      <c r="H26" s="19"/>
    </row>
    <row r="27" spans="1:8" x14ac:dyDescent="0.25">
      <c r="A27" s="3">
        <v>2</v>
      </c>
      <c r="B27" s="4">
        <f t="shared" si="0"/>
        <v>6.2831853071795862</v>
      </c>
      <c r="C27" s="4">
        <f t="shared" si="1"/>
        <v>18.983185307179586</v>
      </c>
      <c r="D27" s="11">
        <v>0</v>
      </c>
      <c r="E27" s="2">
        <f t="shared" si="2"/>
        <v>0</v>
      </c>
      <c r="F27" s="6">
        <f t="shared" si="3"/>
        <v>0</v>
      </c>
      <c r="G27" s="42"/>
      <c r="H27" s="19"/>
    </row>
    <row r="28" spans="1:8" x14ac:dyDescent="0.25">
      <c r="A28" s="5" t="s">
        <v>11</v>
      </c>
      <c r="B28" s="5">
        <v>86.6</v>
      </c>
      <c r="C28" s="4">
        <f t="shared" si="1"/>
        <v>99.3</v>
      </c>
      <c r="D28" s="2">
        <v>128</v>
      </c>
      <c r="E28" s="2">
        <f t="shared" si="2"/>
        <v>4.3</v>
      </c>
      <c r="F28" s="6">
        <f t="shared" si="3"/>
        <v>4.3303121852970798E-2</v>
      </c>
      <c r="G28" s="42"/>
      <c r="H28" s="19"/>
    </row>
    <row r="29" spans="1:8" x14ac:dyDescent="0.25">
      <c r="A29" s="5" t="s">
        <v>12</v>
      </c>
      <c r="B29" s="5">
        <v>75</v>
      </c>
      <c r="C29" s="4">
        <f t="shared" si="1"/>
        <v>87.7</v>
      </c>
      <c r="D29" s="2">
        <v>119</v>
      </c>
      <c r="E29" s="2">
        <f t="shared" si="2"/>
        <v>4</v>
      </c>
      <c r="F29" s="6">
        <f t="shared" si="3"/>
        <v>4.5610034207525657E-2</v>
      </c>
      <c r="G29" s="42"/>
      <c r="H29" s="19"/>
    </row>
    <row r="30" spans="1:8" x14ac:dyDescent="0.25">
      <c r="A30" s="5" t="s">
        <v>13</v>
      </c>
      <c r="B30" s="5">
        <v>100</v>
      </c>
      <c r="C30" s="4">
        <f t="shared" si="1"/>
        <v>112.7</v>
      </c>
      <c r="D30" s="2">
        <v>148</v>
      </c>
      <c r="E30" s="2">
        <f t="shared" si="2"/>
        <v>5</v>
      </c>
      <c r="F30" s="6">
        <f t="shared" si="3"/>
        <v>4.4365572315882874E-2</v>
      </c>
      <c r="G30" s="42"/>
      <c r="H30" s="19"/>
    </row>
    <row r="31" spans="1:8" x14ac:dyDescent="0.25">
      <c r="A31" s="5" t="s">
        <v>14</v>
      </c>
      <c r="B31" s="5">
        <v>800</v>
      </c>
      <c r="C31" s="4">
        <v>800</v>
      </c>
      <c r="D31" s="2"/>
      <c r="E31" s="2">
        <v>32.299999999999997</v>
      </c>
      <c r="F31" s="6">
        <f t="shared" si="3"/>
        <v>4.0374999999999994E-2</v>
      </c>
      <c r="G31" s="42"/>
      <c r="H31" s="19"/>
    </row>
  </sheetData>
  <mergeCells count="3">
    <mergeCell ref="G25:G31"/>
    <mergeCell ref="G4:G19"/>
    <mergeCell ref="G20:G24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86169-F2A0-451E-8C0A-AAC38428217E}">
  <sheetPr codeName="Sheet9"/>
  <dimension ref="A1"/>
  <sheetViews>
    <sheetView zoomScaleNormal="100" workbookViewId="0">
      <selection activeCell="Y27" sqref="Y2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AB3F1-DD33-4B3D-8CC6-2D8D2B932A21}">
  <sheetPr codeName="Sheet10"/>
  <dimension ref="A1:N27"/>
  <sheetViews>
    <sheetView zoomScale="115" zoomScaleNormal="115" workbookViewId="0">
      <selection activeCell="A28" sqref="A28"/>
    </sheetView>
  </sheetViews>
  <sheetFormatPr defaultRowHeight="15" x14ac:dyDescent="0.25"/>
  <sheetData>
    <row r="1" spans="1:14" x14ac:dyDescent="0.25">
      <c r="A1" s="2" t="s">
        <v>0</v>
      </c>
      <c r="B1" s="23" t="s">
        <v>41</v>
      </c>
      <c r="C1" s="21" t="s">
        <v>27</v>
      </c>
      <c r="D1" s="23" t="s">
        <v>40</v>
      </c>
      <c r="E1" s="21" t="s">
        <v>28</v>
      </c>
      <c r="F1" s="23" t="s">
        <v>39</v>
      </c>
      <c r="G1" s="21" t="s">
        <v>29</v>
      </c>
      <c r="H1" s="23" t="s">
        <v>38</v>
      </c>
      <c r="I1" s="21" t="s">
        <v>30</v>
      </c>
      <c r="J1" s="22" t="s">
        <v>3</v>
      </c>
      <c r="K1" s="24" t="s">
        <v>37</v>
      </c>
      <c r="L1" s="24" t="s">
        <v>35</v>
      </c>
      <c r="M1" s="22" t="s">
        <v>24</v>
      </c>
      <c r="N1" s="24" t="s">
        <v>34</v>
      </c>
    </row>
    <row r="2" spans="1:14" x14ac:dyDescent="0.25">
      <c r="A2" s="3">
        <v>2</v>
      </c>
      <c r="B2" s="23">
        <v>7</v>
      </c>
      <c r="C2" s="21">
        <v>7</v>
      </c>
      <c r="D2" s="23"/>
      <c r="E2" s="21"/>
      <c r="F2" s="23"/>
      <c r="G2" s="21"/>
      <c r="H2" s="23"/>
      <c r="I2" s="21"/>
      <c r="J2" s="21"/>
      <c r="K2" s="23"/>
      <c r="L2" s="23"/>
      <c r="M2" s="21"/>
      <c r="N2" s="23"/>
    </row>
    <row r="3" spans="1:14" x14ac:dyDescent="0.25">
      <c r="A3" s="3">
        <v>3</v>
      </c>
      <c r="B3" s="23">
        <v>9</v>
      </c>
      <c r="C3" s="21">
        <v>9</v>
      </c>
      <c r="D3" s="23">
        <f>AVERAGE(C3,E3)</f>
        <v>9</v>
      </c>
      <c r="E3" s="21">
        <v>9</v>
      </c>
      <c r="F3" s="23"/>
      <c r="G3" s="21"/>
      <c r="H3" s="23"/>
      <c r="I3" s="21"/>
      <c r="J3" s="21"/>
      <c r="K3" s="23"/>
      <c r="L3" s="23"/>
      <c r="M3" s="21"/>
      <c r="N3" s="23"/>
    </row>
    <row r="4" spans="1:14" x14ac:dyDescent="0.25">
      <c r="A4" s="3">
        <v>4</v>
      </c>
      <c r="B4" s="23">
        <v>10</v>
      </c>
      <c r="C4" s="21">
        <v>10</v>
      </c>
      <c r="D4" s="23">
        <f t="shared" ref="D4:D25" si="0">AVERAGE(C4,E4)</f>
        <v>10</v>
      </c>
      <c r="E4" s="21">
        <v>10</v>
      </c>
      <c r="F4" s="23">
        <f>AVERAGE(E4,G4)</f>
        <v>9.5</v>
      </c>
      <c r="G4" s="21">
        <v>9</v>
      </c>
      <c r="H4" s="23"/>
      <c r="I4" s="21"/>
      <c r="J4" s="21"/>
      <c r="K4" s="23"/>
      <c r="L4" s="23"/>
      <c r="M4" s="21"/>
      <c r="N4" s="23"/>
    </row>
    <row r="5" spans="1:14" x14ac:dyDescent="0.25">
      <c r="A5" s="3">
        <v>5</v>
      </c>
      <c r="B5" s="23">
        <v>11</v>
      </c>
      <c r="C5" s="21">
        <v>11</v>
      </c>
      <c r="D5" s="23">
        <f t="shared" si="0"/>
        <v>11</v>
      </c>
      <c r="E5" s="21">
        <v>11</v>
      </c>
      <c r="F5" s="23">
        <f t="shared" ref="F5:F25" si="1">AVERAGE(E5,G5)</f>
        <v>11</v>
      </c>
      <c r="G5" s="21">
        <v>11</v>
      </c>
      <c r="H5" s="23">
        <f>AVERAGE((G5,I5))</f>
        <v>12.5</v>
      </c>
      <c r="I5" s="21">
        <v>14</v>
      </c>
      <c r="J5" s="21"/>
      <c r="K5" s="23"/>
      <c r="L5" s="23"/>
      <c r="M5" s="21"/>
      <c r="N5" s="23"/>
    </row>
    <row r="6" spans="1:14" x14ac:dyDescent="0.25">
      <c r="A6" s="3">
        <v>6</v>
      </c>
      <c r="B6" s="23">
        <v>13</v>
      </c>
      <c r="C6" s="21">
        <v>13</v>
      </c>
      <c r="D6" s="23">
        <f t="shared" si="0"/>
        <v>12</v>
      </c>
      <c r="E6" s="21">
        <v>11</v>
      </c>
      <c r="F6" s="23">
        <f t="shared" si="1"/>
        <v>11.5</v>
      </c>
      <c r="G6" s="21">
        <v>12</v>
      </c>
      <c r="H6" s="23">
        <f>AVERAGE((G6,I6))</f>
        <v>14</v>
      </c>
      <c r="I6" s="21">
        <v>16</v>
      </c>
      <c r="J6" s="21">
        <v>15</v>
      </c>
      <c r="K6" s="23"/>
      <c r="L6" s="23"/>
      <c r="M6" s="21"/>
      <c r="N6" s="23"/>
    </row>
    <row r="7" spans="1:14" x14ac:dyDescent="0.25">
      <c r="A7" s="3">
        <v>7</v>
      </c>
      <c r="B7" s="23">
        <v>13</v>
      </c>
      <c r="C7" s="21">
        <v>13</v>
      </c>
      <c r="D7" s="23">
        <f t="shared" si="0"/>
        <v>13</v>
      </c>
      <c r="E7" s="21">
        <v>13</v>
      </c>
      <c r="F7" s="23">
        <f t="shared" si="1"/>
        <v>13.5</v>
      </c>
      <c r="G7" s="21">
        <v>14</v>
      </c>
      <c r="H7" s="23">
        <f>AVERAGE((G7,I7))</f>
        <v>16</v>
      </c>
      <c r="I7" s="21">
        <v>18</v>
      </c>
      <c r="J7" s="21">
        <v>17</v>
      </c>
      <c r="K7" s="23">
        <f>AVERAGE(J7,L7)</f>
        <v>17</v>
      </c>
      <c r="L7" s="23"/>
      <c r="M7" s="21"/>
      <c r="N7" s="23"/>
    </row>
    <row r="8" spans="1:14" x14ac:dyDescent="0.25">
      <c r="A8" s="3">
        <v>8</v>
      </c>
      <c r="B8" s="23">
        <v>15</v>
      </c>
      <c r="C8" s="21">
        <v>15</v>
      </c>
      <c r="D8" s="23">
        <f t="shared" si="0"/>
        <v>14.5</v>
      </c>
      <c r="E8" s="21">
        <v>14</v>
      </c>
      <c r="F8" s="23">
        <f t="shared" si="1"/>
        <v>14.5</v>
      </c>
      <c r="G8" s="21">
        <v>15</v>
      </c>
      <c r="H8" s="23">
        <f>AVERAGE((G8,I8))</f>
        <v>18</v>
      </c>
      <c r="I8" s="21">
        <v>21</v>
      </c>
      <c r="J8" s="21">
        <v>19</v>
      </c>
      <c r="K8" s="23">
        <f t="shared" ref="K8:K25" si="2">AVERAGE(J8,L8)</f>
        <v>21.375</v>
      </c>
      <c r="L8" s="23">
        <f t="shared" ref="L8:L13" si="3">J8+(J8*0.25)</f>
        <v>23.75</v>
      </c>
      <c r="M8" s="21"/>
      <c r="N8" s="23"/>
    </row>
    <row r="9" spans="1:14" x14ac:dyDescent="0.25">
      <c r="A9" s="3">
        <v>9</v>
      </c>
      <c r="B9" s="23">
        <v>15</v>
      </c>
      <c r="C9" s="21">
        <v>15</v>
      </c>
      <c r="D9" s="23">
        <f t="shared" si="0"/>
        <v>15</v>
      </c>
      <c r="E9" s="21">
        <v>15</v>
      </c>
      <c r="F9" s="23">
        <f t="shared" si="1"/>
        <v>16</v>
      </c>
      <c r="G9" s="21">
        <v>17</v>
      </c>
      <c r="H9" s="23">
        <f>AVERAGE((G9,I9))</f>
        <v>20</v>
      </c>
      <c r="I9" s="21">
        <v>23</v>
      </c>
      <c r="J9" s="21">
        <v>21</v>
      </c>
      <c r="K9" s="23">
        <f t="shared" si="2"/>
        <v>23.625</v>
      </c>
      <c r="L9" s="23">
        <f t="shared" si="3"/>
        <v>26.25</v>
      </c>
      <c r="M9" s="21"/>
      <c r="N9" s="23"/>
    </row>
    <row r="10" spans="1:14" x14ac:dyDescent="0.25">
      <c r="A10" s="3">
        <v>10</v>
      </c>
      <c r="B10" s="23">
        <v>15</v>
      </c>
      <c r="C10" s="21">
        <v>15</v>
      </c>
      <c r="D10" s="23">
        <f t="shared" si="0"/>
        <v>15</v>
      </c>
      <c r="E10" s="21">
        <v>15</v>
      </c>
      <c r="F10" s="23">
        <f t="shared" si="1"/>
        <v>16.5</v>
      </c>
      <c r="G10" s="21">
        <v>18</v>
      </c>
      <c r="H10" s="23">
        <f>AVERAGE((G10,I10))</f>
        <v>21.5</v>
      </c>
      <c r="I10" s="21">
        <v>25</v>
      </c>
      <c r="J10" s="21">
        <v>24</v>
      </c>
      <c r="K10" s="23">
        <f t="shared" si="2"/>
        <v>27</v>
      </c>
      <c r="L10" s="23">
        <f t="shared" si="3"/>
        <v>30</v>
      </c>
      <c r="M10" s="21"/>
      <c r="N10" s="23"/>
    </row>
    <row r="11" spans="1:14" x14ac:dyDescent="0.25">
      <c r="A11" s="3">
        <v>11</v>
      </c>
      <c r="B11" s="23">
        <v>16</v>
      </c>
      <c r="C11" s="21">
        <v>16</v>
      </c>
      <c r="D11" s="23">
        <f t="shared" si="0"/>
        <v>15.5</v>
      </c>
      <c r="E11" s="21">
        <v>15</v>
      </c>
      <c r="F11" s="23">
        <f t="shared" si="1"/>
        <v>17</v>
      </c>
      <c r="G11" s="21">
        <v>19</v>
      </c>
      <c r="H11" s="23">
        <f>AVERAGE((G11,I11))</f>
        <v>23</v>
      </c>
      <c r="I11" s="21">
        <v>27</v>
      </c>
      <c r="J11" s="21">
        <v>25</v>
      </c>
      <c r="K11" s="23">
        <f t="shared" si="2"/>
        <v>28.125</v>
      </c>
      <c r="L11" s="23">
        <f t="shared" si="3"/>
        <v>31.25</v>
      </c>
      <c r="M11" s="21"/>
      <c r="N11" s="23"/>
    </row>
    <row r="12" spans="1:14" x14ac:dyDescent="0.25">
      <c r="A12" s="3">
        <v>12</v>
      </c>
      <c r="B12" s="23">
        <v>17</v>
      </c>
      <c r="C12" s="21">
        <v>17</v>
      </c>
      <c r="D12" s="23">
        <f t="shared" si="0"/>
        <v>16.5</v>
      </c>
      <c r="E12" s="21">
        <v>16</v>
      </c>
      <c r="F12" s="23">
        <f t="shared" si="1"/>
        <v>18.5</v>
      </c>
      <c r="G12" s="21">
        <v>21</v>
      </c>
      <c r="H12" s="23">
        <f>AVERAGE((G12,I12))</f>
        <v>25</v>
      </c>
      <c r="I12" s="21">
        <v>29</v>
      </c>
      <c r="J12" s="21">
        <v>28</v>
      </c>
      <c r="K12" s="23">
        <f t="shared" si="2"/>
        <v>31.5</v>
      </c>
      <c r="L12" s="23">
        <f t="shared" si="3"/>
        <v>35</v>
      </c>
      <c r="M12" s="21"/>
      <c r="N12" s="23"/>
    </row>
    <row r="13" spans="1:14" x14ac:dyDescent="0.25">
      <c r="A13" s="3">
        <v>13</v>
      </c>
      <c r="B13" s="23">
        <v>17</v>
      </c>
      <c r="C13" s="21">
        <v>17</v>
      </c>
      <c r="D13" s="23">
        <f t="shared" si="0"/>
        <v>16.5</v>
      </c>
      <c r="E13" s="21">
        <v>16</v>
      </c>
      <c r="F13" s="23">
        <f t="shared" si="1"/>
        <v>19</v>
      </c>
      <c r="G13" s="21">
        <v>22</v>
      </c>
      <c r="H13" s="23">
        <f>AVERAGE((G13,I13))</f>
        <v>26</v>
      </c>
      <c r="I13" s="21">
        <v>30</v>
      </c>
      <c r="J13" s="21">
        <v>31</v>
      </c>
      <c r="K13" s="23">
        <f t="shared" si="2"/>
        <v>34.875</v>
      </c>
      <c r="L13" s="23">
        <f t="shared" si="3"/>
        <v>38.75</v>
      </c>
      <c r="M13" s="21"/>
      <c r="N13" s="23"/>
    </row>
    <row r="14" spans="1:14" x14ac:dyDescent="0.25">
      <c r="A14" s="3">
        <v>14</v>
      </c>
      <c r="B14" s="23">
        <v>18</v>
      </c>
      <c r="C14" s="21">
        <v>18</v>
      </c>
      <c r="D14" s="23">
        <f t="shared" si="0"/>
        <v>17.5</v>
      </c>
      <c r="E14" s="21">
        <v>17</v>
      </c>
      <c r="F14" s="23">
        <f t="shared" si="1"/>
        <v>20.5</v>
      </c>
      <c r="G14" s="21">
        <v>24</v>
      </c>
      <c r="H14" s="23">
        <f>AVERAGE((G14,I14))</f>
        <v>28.5</v>
      </c>
      <c r="I14" s="21">
        <v>33</v>
      </c>
      <c r="J14" s="21">
        <v>33</v>
      </c>
      <c r="K14" s="23">
        <f t="shared" si="2"/>
        <v>37.125</v>
      </c>
      <c r="L14" s="23">
        <f>J14+(J14*0.25)</f>
        <v>41.25</v>
      </c>
      <c r="M14" s="21"/>
      <c r="N14" s="23"/>
    </row>
    <row r="15" spans="1:14" x14ac:dyDescent="0.25">
      <c r="A15" s="3">
        <v>15</v>
      </c>
      <c r="B15" s="23">
        <v>18</v>
      </c>
      <c r="C15" s="21">
        <v>18</v>
      </c>
      <c r="D15" s="23">
        <f t="shared" si="0"/>
        <v>18</v>
      </c>
      <c r="E15" s="21">
        <v>18</v>
      </c>
      <c r="F15" s="23">
        <f t="shared" si="1"/>
        <v>21.5</v>
      </c>
      <c r="G15" s="21">
        <v>25</v>
      </c>
      <c r="H15" s="23">
        <f>AVERAGE((G15,I15))</f>
        <v>30</v>
      </c>
      <c r="I15" s="21">
        <v>35</v>
      </c>
      <c r="J15" s="21">
        <v>34</v>
      </c>
      <c r="K15" s="23">
        <f t="shared" si="2"/>
        <v>46.75</v>
      </c>
      <c r="L15" s="23">
        <f t="shared" ref="L15:L25" si="4">AVERAGE(J15,M15)</f>
        <v>59.5</v>
      </c>
      <c r="M15" s="21">
        <v>85</v>
      </c>
      <c r="N15" s="23">
        <f t="shared" ref="N15:N25" si="5">M15+(M15*0.05)</f>
        <v>89.25</v>
      </c>
    </row>
    <row r="16" spans="1:14" x14ac:dyDescent="0.25">
      <c r="A16" s="3">
        <v>16</v>
      </c>
      <c r="B16" s="23">
        <v>18</v>
      </c>
      <c r="C16" s="21">
        <v>18</v>
      </c>
      <c r="D16" s="23">
        <f t="shared" si="0"/>
        <v>18.5</v>
      </c>
      <c r="E16" s="21">
        <v>19</v>
      </c>
      <c r="F16" s="23">
        <f t="shared" si="1"/>
        <v>23</v>
      </c>
      <c r="G16" s="21">
        <v>27</v>
      </c>
      <c r="H16" s="23">
        <f>AVERAGE((G16,I16))</f>
        <v>32</v>
      </c>
      <c r="I16" s="21">
        <v>37</v>
      </c>
      <c r="J16" s="21">
        <v>37</v>
      </c>
      <c r="K16" s="23">
        <f t="shared" si="2"/>
        <v>49.75</v>
      </c>
      <c r="L16" s="23">
        <f t="shared" si="4"/>
        <v>62.5</v>
      </c>
      <c r="M16" s="21">
        <v>88</v>
      </c>
      <c r="N16" s="23">
        <f>M16+(M16*0.05)</f>
        <v>92.4</v>
      </c>
    </row>
    <row r="17" spans="1:14" x14ac:dyDescent="0.25">
      <c r="A17" s="3">
        <v>17</v>
      </c>
      <c r="B17" s="23">
        <v>18</v>
      </c>
      <c r="C17" s="21">
        <v>18</v>
      </c>
      <c r="D17" s="23">
        <f t="shared" si="0"/>
        <v>19</v>
      </c>
      <c r="E17" s="21">
        <v>20</v>
      </c>
      <c r="F17" s="23">
        <f t="shared" si="1"/>
        <v>23.5</v>
      </c>
      <c r="G17" s="21">
        <v>27</v>
      </c>
      <c r="H17" s="23">
        <f>AVERAGE((G17,I17))</f>
        <v>32.5</v>
      </c>
      <c r="I17" s="21">
        <v>38</v>
      </c>
      <c r="J17" s="21">
        <v>39</v>
      </c>
      <c r="K17" s="23">
        <f t="shared" si="2"/>
        <v>52.5</v>
      </c>
      <c r="L17" s="23">
        <f t="shared" si="4"/>
        <v>66</v>
      </c>
      <c r="M17" s="21">
        <v>93</v>
      </c>
      <c r="N17" s="23">
        <f t="shared" si="5"/>
        <v>97.65</v>
      </c>
    </row>
    <row r="18" spans="1:14" x14ac:dyDescent="0.25">
      <c r="A18" s="3">
        <v>18</v>
      </c>
      <c r="B18" s="23">
        <v>20</v>
      </c>
      <c r="C18" s="21">
        <v>20</v>
      </c>
      <c r="D18" s="23">
        <f t="shared" si="0"/>
        <v>20.5</v>
      </c>
      <c r="E18" s="21">
        <v>21</v>
      </c>
      <c r="F18" s="23">
        <f t="shared" si="1"/>
        <v>25.5</v>
      </c>
      <c r="G18" s="21">
        <v>30</v>
      </c>
      <c r="H18" s="23">
        <f>AVERAGE((G18,I18))</f>
        <v>35.5</v>
      </c>
      <c r="I18" s="21">
        <v>41</v>
      </c>
      <c r="J18" s="21">
        <v>41</v>
      </c>
      <c r="K18" s="23">
        <f t="shared" si="2"/>
        <v>55</v>
      </c>
      <c r="L18" s="23">
        <f t="shared" si="4"/>
        <v>69</v>
      </c>
      <c r="M18" s="21">
        <v>97</v>
      </c>
      <c r="N18" s="23">
        <f t="shared" si="5"/>
        <v>101.85</v>
      </c>
    </row>
    <row r="19" spans="1:14" x14ac:dyDescent="0.25">
      <c r="A19" s="3">
        <v>19</v>
      </c>
      <c r="B19" s="23">
        <v>20</v>
      </c>
      <c r="C19" s="21">
        <v>20</v>
      </c>
      <c r="D19" s="23">
        <f t="shared" si="0"/>
        <v>21</v>
      </c>
      <c r="E19" s="21">
        <v>22</v>
      </c>
      <c r="F19" s="23">
        <f t="shared" si="1"/>
        <v>26.5</v>
      </c>
      <c r="G19" s="21">
        <v>31</v>
      </c>
      <c r="H19" s="23">
        <f>AVERAGE((G19,I19))</f>
        <v>36.5</v>
      </c>
      <c r="I19" s="21">
        <v>42</v>
      </c>
      <c r="J19" s="21">
        <v>42</v>
      </c>
      <c r="K19" s="23">
        <f t="shared" si="2"/>
        <v>56.75</v>
      </c>
      <c r="L19" s="23">
        <f t="shared" si="4"/>
        <v>71.5</v>
      </c>
      <c r="M19" s="21">
        <v>101</v>
      </c>
      <c r="N19" s="23">
        <f t="shared" si="5"/>
        <v>106.05</v>
      </c>
    </row>
    <row r="20" spans="1:14" x14ac:dyDescent="0.25">
      <c r="A20" s="3">
        <v>20</v>
      </c>
      <c r="B20" s="23">
        <v>21</v>
      </c>
      <c r="C20" s="21">
        <v>21</v>
      </c>
      <c r="D20" s="23">
        <f t="shared" si="0"/>
        <v>22</v>
      </c>
      <c r="E20" s="21">
        <v>23</v>
      </c>
      <c r="F20" s="23">
        <f t="shared" si="1"/>
        <v>27.5</v>
      </c>
      <c r="G20" s="21">
        <v>32</v>
      </c>
      <c r="H20" s="23">
        <f>AVERAGE((G20,I20))</f>
        <v>38</v>
      </c>
      <c r="I20" s="21">
        <v>44</v>
      </c>
      <c r="J20" s="21">
        <v>45</v>
      </c>
      <c r="K20" s="23">
        <f t="shared" si="2"/>
        <v>60</v>
      </c>
      <c r="L20" s="23">
        <f t="shared" si="4"/>
        <v>75</v>
      </c>
      <c r="M20" s="21">
        <v>105</v>
      </c>
      <c r="N20" s="23">
        <f t="shared" si="5"/>
        <v>110.25</v>
      </c>
    </row>
    <row r="21" spans="1:14" x14ac:dyDescent="0.25">
      <c r="A21" s="3">
        <v>21</v>
      </c>
      <c r="B21" s="23">
        <v>21</v>
      </c>
      <c r="C21" s="21">
        <v>21</v>
      </c>
      <c r="D21" s="23">
        <f t="shared" si="0"/>
        <v>22</v>
      </c>
      <c r="E21" s="21">
        <v>23</v>
      </c>
      <c r="F21" s="23">
        <f t="shared" si="1"/>
        <v>28.5</v>
      </c>
      <c r="G21" s="21">
        <v>34</v>
      </c>
      <c r="H21" s="23">
        <f>AVERAGE((G21,I21))</f>
        <v>39</v>
      </c>
      <c r="I21" s="21">
        <v>44</v>
      </c>
      <c r="J21" s="21">
        <v>48</v>
      </c>
      <c r="K21" s="23">
        <f t="shared" si="2"/>
        <v>63.25</v>
      </c>
      <c r="L21" s="23">
        <f t="shared" si="4"/>
        <v>78.5</v>
      </c>
      <c r="M21" s="21">
        <v>109</v>
      </c>
      <c r="N21" s="23">
        <f t="shared" si="5"/>
        <v>114.45</v>
      </c>
    </row>
    <row r="22" spans="1:14" x14ac:dyDescent="0.25">
      <c r="A22" s="3">
        <v>22</v>
      </c>
      <c r="B22" s="23">
        <v>20</v>
      </c>
      <c r="C22" s="21">
        <v>20</v>
      </c>
      <c r="D22" s="23">
        <f t="shared" si="0"/>
        <v>21.5</v>
      </c>
      <c r="E22" s="21">
        <v>23</v>
      </c>
      <c r="F22" s="23">
        <f t="shared" si="1"/>
        <v>29</v>
      </c>
      <c r="G22" s="21">
        <v>35</v>
      </c>
      <c r="H22" s="23">
        <f>AVERAGE((G22,I22))</f>
        <v>42</v>
      </c>
      <c r="I22" s="21">
        <v>49</v>
      </c>
      <c r="J22" s="21">
        <v>50</v>
      </c>
      <c r="K22" s="23">
        <f t="shared" si="2"/>
        <v>65.75</v>
      </c>
      <c r="L22" s="23">
        <f t="shared" si="4"/>
        <v>81.5</v>
      </c>
      <c r="M22" s="21">
        <v>113</v>
      </c>
      <c r="N22" s="23">
        <f t="shared" si="5"/>
        <v>118.65</v>
      </c>
    </row>
    <row r="23" spans="1:14" x14ac:dyDescent="0.25">
      <c r="A23" s="3">
        <v>23</v>
      </c>
      <c r="B23" s="23">
        <v>21</v>
      </c>
      <c r="C23" s="21">
        <v>21</v>
      </c>
      <c r="D23" s="23">
        <f t="shared" si="0"/>
        <v>22.5</v>
      </c>
      <c r="E23" s="21">
        <v>24</v>
      </c>
      <c r="F23" s="23">
        <f t="shared" si="1"/>
        <v>30</v>
      </c>
      <c r="G23" s="21">
        <v>36</v>
      </c>
      <c r="H23" s="23">
        <f>AVERAGE((G23,I23))</f>
        <v>43.5</v>
      </c>
      <c r="I23" s="21">
        <v>51</v>
      </c>
      <c r="J23" s="21">
        <v>51</v>
      </c>
      <c r="K23" s="23">
        <f t="shared" si="2"/>
        <v>67.25</v>
      </c>
      <c r="L23" s="23">
        <f t="shared" si="4"/>
        <v>83.5</v>
      </c>
      <c r="M23" s="21">
        <v>116</v>
      </c>
      <c r="N23" s="23">
        <f t="shared" si="5"/>
        <v>121.8</v>
      </c>
    </row>
    <row r="24" spans="1:14" x14ac:dyDescent="0.25">
      <c r="A24" s="3">
        <v>24</v>
      </c>
      <c r="B24" s="23">
        <v>22</v>
      </c>
      <c r="C24" s="21">
        <v>22</v>
      </c>
      <c r="D24" s="23">
        <f t="shared" si="0"/>
        <v>24</v>
      </c>
      <c r="E24" s="21">
        <v>26</v>
      </c>
      <c r="F24" s="23">
        <f t="shared" si="1"/>
        <v>32</v>
      </c>
      <c r="G24" s="21">
        <v>38</v>
      </c>
      <c r="H24" s="23">
        <f>AVERAGE((G24,I24))</f>
        <v>45.5</v>
      </c>
      <c r="I24" s="21">
        <v>53</v>
      </c>
      <c r="J24" s="21">
        <v>53</v>
      </c>
      <c r="K24" s="23">
        <f t="shared" si="2"/>
        <v>69.25</v>
      </c>
      <c r="L24" s="23">
        <f t="shared" si="4"/>
        <v>85.5</v>
      </c>
      <c r="M24" s="21">
        <v>118</v>
      </c>
      <c r="N24" s="23">
        <f t="shared" si="5"/>
        <v>123.9</v>
      </c>
    </row>
    <row r="25" spans="1:14" x14ac:dyDescent="0.25">
      <c r="A25" s="3">
        <v>25</v>
      </c>
      <c r="B25" s="23">
        <v>23</v>
      </c>
      <c r="C25" s="21">
        <v>23</v>
      </c>
      <c r="D25" s="23">
        <f t="shared" si="0"/>
        <v>25</v>
      </c>
      <c r="E25" s="21">
        <v>27</v>
      </c>
      <c r="F25" s="23">
        <f t="shared" si="1"/>
        <v>33</v>
      </c>
      <c r="G25" s="21">
        <v>39</v>
      </c>
      <c r="H25" s="23">
        <f>AVERAGE((G25,I25))</f>
        <v>46.5</v>
      </c>
      <c r="I25" s="21">
        <v>54</v>
      </c>
      <c r="J25" s="21">
        <v>56</v>
      </c>
      <c r="K25" s="23">
        <f t="shared" si="2"/>
        <v>72.75</v>
      </c>
      <c r="L25" s="23">
        <f t="shared" si="4"/>
        <v>89.5</v>
      </c>
      <c r="M25" s="21">
        <v>123</v>
      </c>
      <c r="N25" s="23">
        <f t="shared" si="5"/>
        <v>129.15</v>
      </c>
    </row>
    <row r="27" spans="1:14" x14ac:dyDescent="0.25">
      <c r="A27" t="s">
        <v>139</v>
      </c>
    </row>
  </sheetData>
  <sortState xmlns:xlrd2="http://schemas.microsoft.com/office/spreadsheetml/2017/richdata2" ref="A2:M25">
    <sortCondition ref="A2:A25"/>
  </sortState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2E2A2-498A-4FD8-B95B-05CF089D24CA}">
  <sheetPr codeName="Sheet11"/>
  <dimension ref="A1:AH393"/>
  <sheetViews>
    <sheetView tabSelected="1" workbookViewId="0">
      <selection activeCell="M3" sqref="M3"/>
    </sheetView>
  </sheetViews>
  <sheetFormatPr defaultColWidth="9.28515625" defaultRowHeight="15" x14ac:dyDescent="0.25"/>
  <cols>
    <col min="1" max="1" width="9.140625" style="20" bestFit="1" customWidth="1"/>
    <col min="2" max="2" width="11.7109375" style="41" bestFit="1" customWidth="1"/>
    <col min="3" max="3" width="6.5703125" bestFit="1" customWidth="1"/>
    <col min="4" max="4" width="4.5703125" bestFit="1" customWidth="1"/>
    <col min="5" max="5" width="3.7109375" bestFit="1" customWidth="1"/>
    <col min="6" max="6" width="4.7109375" bestFit="1" customWidth="1"/>
    <col min="7" max="7" width="4.5703125" bestFit="1" customWidth="1"/>
    <col min="8" max="8" width="4.7109375" bestFit="1" customWidth="1"/>
    <col min="9" max="9" width="4.5703125" bestFit="1" customWidth="1"/>
    <col min="10" max="10" width="6.5703125" bestFit="1" customWidth="1"/>
    <col min="11" max="16" width="5.5703125" bestFit="1" customWidth="1"/>
    <col min="17" max="18" width="4.5703125" bestFit="1" customWidth="1"/>
    <col min="19" max="19" width="3.7109375" bestFit="1" customWidth="1"/>
    <col min="20" max="20" width="4.7109375" bestFit="1" customWidth="1"/>
    <col min="21" max="21" width="4.5703125" bestFit="1" customWidth="1"/>
    <col min="22" max="22" width="4.7109375" bestFit="1" customWidth="1"/>
    <col min="23" max="30" width="5.5703125" bestFit="1" customWidth="1"/>
    <col min="32" max="32" width="4.7109375" bestFit="1" customWidth="1"/>
    <col min="33" max="34" width="18.42578125" bestFit="1" customWidth="1"/>
  </cols>
  <sheetData>
    <row r="1" spans="1:34" x14ac:dyDescent="0.25">
      <c r="C1" s="44" t="s">
        <v>123</v>
      </c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5" t="s">
        <v>124</v>
      </c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</row>
    <row r="2" spans="1:34" s="39" customFormat="1" x14ac:dyDescent="0.25">
      <c r="A2" s="40" t="s">
        <v>0</v>
      </c>
      <c r="B2" s="41" t="s">
        <v>114</v>
      </c>
      <c r="C2" s="39" t="s">
        <v>34</v>
      </c>
      <c r="D2" s="39" t="s">
        <v>24</v>
      </c>
      <c r="E2" s="39" t="s">
        <v>33</v>
      </c>
      <c r="F2" s="39" t="s">
        <v>35</v>
      </c>
      <c r="G2" s="39" t="s">
        <v>36</v>
      </c>
      <c r="H2" s="39" t="s">
        <v>3</v>
      </c>
      <c r="I2" s="39" t="s">
        <v>115</v>
      </c>
      <c r="J2" s="39" t="s">
        <v>116</v>
      </c>
      <c r="K2" s="39" t="s">
        <v>117</v>
      </c>
      <c r="L2" s="39" t="s">
        <v>118</v>
      </c>
      <c r="M2" s="39" t="s">
        <v>119</v>
      </c>
      <c r="N2" s="39" t="s">
        <v>120</v>
      </c>
      <c r="O2" s="39" t="s">
        <v>121</v>
      </c>
      <c r="P2" s="39" t="s">
        <v>122</v>
      </c>
      <c r="Q2" s="39" t="s">
        <v>34</v>
      </c>
      <c r="R2" s="39" t="s">
        <v>24</v>
      </c>
      <c r="S2" s="39" t="s">
        <v>33</v>
      </c>
      <c r="T2" s="39" t="s">
        <v>35</v>
      </c>
      <c r="U2" s="39" t="s">
        <v>36</v>
      </c>
      <c r="V2" s="39" t="s">
        <v>3</v>
      </c>
      <c r="W2" s="39" t="s">
        <v>115</v>
      </c>
      <c r="X2" s="39" t="s">
        <v>116</v>
      </c>
      <c r="Y2" s="39" t="s">
        <v>117</v>
      </c>
      <c r="Z2" s="39" t="s">
        <v>118</v>
      </c>
      <c r="AA2" s="39" t="s">
        <v>119</v>
      </c>
      <c r="AB2" s="39" t="s">
        <v>120</v>
      </c>
      <c r="AC2" s="39" t="s">
        <v>121</v>
      </c>
      <c r="AD2" s="39" t="s">
        <v>122</v>
      </c>
    </row>
    <row r="3" spans="1:34" x14ac:dyDescent="0.25">
      <c r="A3" s="20">
        <v>1</v>
      </c>
      <c r="B3" s="41">
        <f>A3*PI()</f>
        <v>3.1415926535897931</v>
      </c>
      <c r="C3" s="15" cm="1">
        <f t="array" ref="C3">EVAL($AG$6,B3)</f>
        <v>31.666551606001139</v>
      </c>
      <c r="D3" s="15" cm="1">
        <f t="array" ref="D3">EVAL($AG$7,B3)</f>
        <v>1.4613455535720787</v>
      </c>
      <c r="E3" s="15"/>
      <c r="F3" s="15" cm="1">
        <f t="array" ref="F3">EVAL($AG$9,B3)</f>
        <v>6.7840625976535826E-2</v>
      </c>
      <c r="G3" s="15" cm="1">
        <f t="array" ref="G3">EVAL($AG$10,B3)</f>
        <v>6.7840625976535826E-2</v>
      </c>
      <c r="H3" s="15" cm="1">
        <f t="array" ref="H3">EVAL($AG$11,B3)</f>
        <v>6.7840625976535826E-2</v>
      </c>
      <c r="I3" s="15" cm="1">
        <f t="array" ref="I3">EVAL($AG$12,B3)</f>
        <v>8.2825667519291893E-2</v>
      </c>
      <c r="J3" s="15" cm="1">
        <f t="array" ref="J3">EVAL($AG$13,B3)</f>
        <v>9.8935004565506706</v>
      </c>
      <c r="K3" s="15" cm="1">
        <f t="array" ref="K3">EVAL($AG$14,B3)</f>
        <v>8.0225754197171359E-2</v>
      </c>
      <c r="L3" s="15" cm="1">
        <f t="array" ref="L3">EVAL($AG$15,B3)</f>
        <v>9.0077947273751615</v>
      </c>
      <c r="M3" s="15" cm="1">
        <f t="array" ref="M3">EVAL($AG$16,B3)</f>
        <v>0.16365066809590295</v>
      </c>
      <c r="N3" s="15" cm="1">
        <f t="array" ref="N3">EVAL($AG$17,B3)</f>
        <v>10.107859838390675</v>
      </c>
      <c r="O3" s="15" cm="1">
        <f t="array" ref="O3">EVAL($AG$18,B3)</f>
        <v>5.702698376486709E-2</v>
      </c>
      <c r="P3" s="15" cm="1">
        <f t="array" ref="P3">EVAL($AG$19,B3)</f>
        <v>5.702698376486709E-2</v>
      </c>
      <c r="Q3" s="15" cm="1">
        <f t="array" ref="Q3">EVAL($AH$6,B3)</f>
        <v>0.29210798597847609</v>
      </c>
      <c r="R3" s="15" cm="1">
        <f t="array" ref="R3">EVAL($AH$7,B3)</f>
        <v>0.29210798597847609</v>
      </c>
      <c r="S3" s="15"/>
      <c r="T3" s="15" cm="1">
        <f t="array" ref="T3">EVAL($AH$9,B3)</f>
        <v>0.20814443105722852</v>
      </c>
      <c r="U3" s="15" cm="1">
        <f t="array" ref="U3">EVAL($AH$10,B3)</f>
        <v>0.20814443105722852</v>
      </c>
      <c r="V3" s="15" cm="1">
        <f t="array" ref="V3">EVAL($AH$11,B3)</f>
        <v>0.20814443105722852</v>
      </c>
      <c r="W3" s="15" cm="1">
        <f t="array" ref="W3">EVAL($AH$12,B3)</f>
        <v>0.23245062104068823</v>
      </c>
      <c r="X3" s="15" cm="1">
        <f t="array" ref="X3">EVAL($AH$13,B3)</f>
        <v>0.15022170754805031</v>
      </c>
      <c r="Y3" s="15" cm="1">
        <f t="array" ref="Y3">EVAL($AH$14,B3)</f>
        <v>0.15022170754805031</v>
      </c>
      <c r="Z3" s="15"/>
      <c r="AA3" s="15"/>
      <c r="AB3" s="15"/>
      <c r="AC3" s="15"/>
      <c r="AD3" s="15"/>
    </row>
    <row r="4" spans="1:34" x14ac:dyDescent="0.25">
      <c r="A4" s="20">
        <v>1.1000000000000001</v>
      </c>
      <c r="B4" s="41">
        <f t="shared" ref="B4:B67" si="0">A4*PI()</f>
        <v>3.4557519189487729</v>
      </c>
      <c r="C4" s="15" cm="1">
        <f t="array" ref="C4">EVAL($AG$6,B4)</f>
        <v>33.823910335332876</v>
      </c>
      <c r="D4" s="15" cm="1">
        <f t="array" ref="D4">EVAL($AG$7,B4)</f>
        <v>1.5010695808848431</v>
      </c>
      <c r="E4" s="15"/>
      <c r="F4" s="15" cm="1">
        <f t="array" ref="F4">EVAL($AG$9,B4)</f>
        <v>7.4739287606482366E-2</v>
      </c>
      <c r="G4" s="15" cm="1">
        <f t="array" ref="G4">EVAL($AG$10,B4)</f>
        <v>7.4739287606482366E-2</v>
      </c>
      <c r="H4" s="15" cm="1">
        <f t="array" ref="H4">EVAL($AG$11,B4)</f>
        <v>7.4739287606482366E-2</v>
      </c>
      <c r="I4" s="15" cm="1">
        <f t="array" ref="I4">EVAL($AG$12,B4)</f>
        <v>9.0625842559193315E-2</v>
      </c>
      <c r="J4" s="15" cm="1">
        <f t="array" ref="J4">EVAL($AG$13,B4)</f>
        <v>10.626401317440015</v>
      </c>
      <c r="K4" s="15" cm="1">
        <f t="array" ref="K4">EVAL($AG$14,B4)</f>
        <v>8.7096876749712657E-2</v>
      </c>
      <c r="L4" s="15" cm="1">
        <f t="array" ref="L4">EVAL($AG$15,B4)</f>
        <v>9.5451134377439253</v>
      </c>
      <c r="M4" s="15" cm="1">
        <f t="array" ref="M4">EVAL($AG$16,B4)</f>
        <v>0.17179866057013549</v>
      </c>
      <c r="N4" s="15" cm="1">
        <f t="array" ref="N4">EVAL($AG$17,B4)</f>
        <v>10.509062713429262</v>
      </c>
      <c r="O4" s="15" cm="1">
        <f t="array" ref="O4">EVAL($AG$18,B4)</f>
        <v>5.4099125746509824E-2</v>
      </c>
      <c r="P4" s="15" cm="1">
        <f t="array" ref="P4">EVAL($AG$19,B4)</f>
        <v>5.4099125746509824E-2</v>
      </c>
      <c r="Q4" s="15" cm="1">
        <f t="array" ref="Q4">EVAL($AH$6,B4)</f>
        <v>0.3038442535307504</v>
      </c>
      <c r="R4" s="15" cm="1">
        <f t="array" ref="R4">EVAL($AH$7,B4)</f>
        <v>0.3038442535307504</v>
      </c>
      <c r="S4" s="15"/>
      <c r="T4" s="15" cm="1">
        <f t="array" ref="T4">EVAL($AH$9,B4)</f>
        <v>0.21603930852635497</v>
      </c>
      <c r="U4" s="15" cm="1">
        <f t="array" ref="U4">EVAL($AH$10,B4)</f>
        <v>0.21603930852635497</v>
      </c>
      <c r="V4" s="15" cm="1">
        <f t="array" ref="V4">EVAL($AH$11,B4)</f>
        <v>0.21603930852635497</v>
      </c>
      <c r="W4" s="15" cm="1">
        <f t="array" ref="W4">EVAL($AH$12,B4)</f>
        <v>0.26761926772851818</v>
      </c>
      <c r="X4" s="15" cm="1">
        <f t="array" ref="X4">EVAL($AH$13,B4)</f>
        <v>0.15399667695960031</v>
      </c>
      <c r="Y4" s="15" cm="1">
        <f t="array" ref="Y4">EVAL($AH$14,B4)</f>
        <v>0.15399667695960031</v>
      </c>
      <c r="Z4" s="15"/>
      <c r="AA4" s="15"/>
      <c r="AB4" s="15"/>
      <c r="AC4" s="15"/>
      <c r="AD4" s="15"/>
    </row>
    <row r="5" spans="1:34" x14ac:dyDescent="0.25">
      <c r="A5" s="20">
        <v>1.2</v>
      </c>
      <c r="B5" s="41">
        <f t="shared" si="0"/>
        <v>3.7699111843077517</v>
      </c>
      <c r="C5" s="15" cm="1">
        <f t="array" ref="C5">EVAL($AG$6,B5)</f>
        <v>35.921511635930301</v>
      </c>
      <c r="D5" s="15" cm="1">
        <f t="array" ref="D5">EVAL($AG$7,B5)</f>
        <v>1.5382769238802625</v>
      </c>
      <c r="E5" s="15"/>
      <c r="F5" s="15" cm="1">
        <f t="array" ref="F5">EVAL($AG$9,B5)</f>
        <v>8.1648067623045953E-2</v>
      </c>
      <c r="G5" s="15" cm="1">
        <f t="array" ref="G5">EVAL($AG$10,B5)</f>
        <v>8.1648067623045953E-2</v>
      </c>
      <c r="H5" s="15" cm="1">
        <f t="array" ref="H5">EVAL($AG$11,B5)</f>
        <v>8.1648067623045953E-2</v>
      </c>
      <c r="I5" s="15" cm="1">
        <f t="array" ref="I5">EVAL($AG$12,B5)</f>
        <v>9.838656435499224E-2</v>
      </c>
      <c r="J5" s="15" cm="1">
        <f t="array" ref="J5">EVAL($AG$13,B5)</f>
        <v>11.34279482631508</v>
      </c>
      <c r="K5" s="15" cm="1">
        <f t="array" ref="K5">EVAL($AG$14,B5)</f>
        <v>9.3882334191952674E-2</v>
      </c>
      <c r="L5" s="15" cm="1">
        <f t="array" ref="L5">EVAL($AG$15,B5)</f>
        <v>10.063585952823473</v>
      </c>
      <c r="M5" s="15" cm="1">
        <f t="array" ref="M5">EVAL($AG$16,B5)</f>
        <v>0.17959092274115307</v>
      </c>
      <c r="N5" s="15" cm="1">
        <f t="array" ref="N5">EVAL($AG$17,B5)</f>
        <v>10.889221500375514</v>
      </c>
      <c r="O5" s="15" cm="1">
        <f t="array" ref="O5">EVAL($AG$18,B5)</f>
        <v>5.1557656972044882E-2</v>
      </c>
      <c r="P5" s="15" cm="1">
        <f t="array" ref="P5">EVAL($AG$19,B5)</f>
        <v>5.1557656972044882E-2</v>
      </c>
      <c r="Q5" s="15" cm="1">
        <f t="array" ref="Q5">EVAL($AH$6,B5)</f>
        <v>0.31496989043025048</v>
      </c>
      <c r="R5" s="15" cm="1">
        <f t="array" ref="R5">EVAL($AH$7,B5)</f>
        <v>0.31496989043025048</v>
      </c>
      <c r="S5" s="15"/>
      <c r="T5" s="15" cm="1">
        <f t="array" ref="T5">EVAL($AH$9,B5)</f>
        <v>0.22350795782428753</v>
      </c>
      <c r="U5" s="15" cm="1">
        <f t="array" ref="U5">EVAL($AH$10,B5)</f>
        <v>0.22350795782428753</v>
      </c>
      <c r="V5" s="15" cm="1">
        <f t="array" ref="V5">EVAL($AH$11,B5)</f>
        <v>0.22350795782428753</v>
      </c>
      <c r="W5" s="15" cm="1">
        <f t="array" ref="W5">EVAL($AH$12,B5)</f>
        <v>0.30435218833404448</v>
      </c>
      <c r="X5" s="15" cm="1">
        <f t="array" ref="X5">EVAL($AH$13,B5)</f>
        <v>0.15752572630792328</v>
      </c>
      <c r="Y5" s="15" cm="1">
        <f t="array" ref="Y5">EVAL($AH$14,B5)</f>
        <v>0.15752572630792328</v>
      </c>
      <c r="Z5" s="15"/>
      <c r="AA5" s="15"/>
      <c r="AB5" s="15"/>
      <c r="AC5" s="15"/>
      <c r="AD5" s="15"/>
      <c r="AG5" t="s">
        <v>123</v>
      </c>
      <c r="AH5" t="s">
        <v>124</v>
      </c>
    </row>
    <row r="6" spans="1:34" x14ac:dyDescent="0.25">
      <c r="A6" s="20">
        <v>1.3</v>
      </c>
      <c r="B6" s="41">
        <f t="shared" si="0"/>
        <v>4.0840704496667311</v>
      </c>
      <c r="C6" s="15" cm="1">
        <f t="array" ref="C6">EVAL($AG$6,B6)</f>
        <v>37.965803941882086</v>
      </c>
      <c r="D6" s="15" cm="1">
        <f t="array" ref="D6">EVAL($AG$7,B6)</f>
        <v>1.5733182552461533</v>
      </c>
      <c r="E6" s="15"/>
      <c r="F6" s="15" cm="1">
        <f t="array" ref="F6">EVAL($AG$9,B6)</f>
        <v>8.8566133826165211E-2</v>
      </c>
      <c r="G6" s="15" cm="1">
        <f t="array" ref="G6">EVAL($AG$10,B6)</f>
        <v>8.8566133826165211E-2</v>
      </c>
      <c r="H6" s="15" cm="1">
        <f t="array" ref="H6">EVAL($AG$11,B6)</f>
        <v>8.8566133826165211E-2</v>
      </c>
      <c r="I6" s="15" cm="1">
        <f t="array" ref="I6">EVAL($AG$12,B6)</f>
        <v>0.10611130416341506</v>
      </c>
      <c r="J6" s="15" cm="1">
        <f t="array" ref="J6">EVAL($AG$13,B6)</f>
        <v>12.044387062743434</v>
      </c>
      <c r="K6" s="15" cm="1">
        <f t="array" ref="K6">EVAL($AG$14,B6)</f>
        <v>0.10059022206812249</v>
      </c>
      <c r="L6" s="15" cm="1">
        <f t="array" ref="L6">EVAL($AG$15,B6)</f>
        <v>10.565368393454907</v>
      </c>
      <c r="M6" s="15" cm="1">
        <f t="array" ref="M6">EVAL($AG$16,B6)</f>
        <v>0.18707084313979561</v>
      </c>
      <c r="N6" s="15" cm="1">
        <f t="array" ref="N6">EVAL($AG$17,B6)</f>
        <v>11.251066100332503</v>
      </c>
      <c r="O6" s="15" cm="1">
        <f t="array" ref="O6">EVAL($AG$18,B6)</f>
        <v>4.9325299159046862E-2</v>
      </c>
      <c r="P6" s="15" cm="1">
        <f t="array" ref="P6">EVAL($AG$19,B6)</f>
        <v>4.9325299159046862E-2</v>
      </c>
      <c r="Q6" s="15" cm="1">
        <f t="array" ref="Q6">EVAL($AH$6,B6)</f>
        <v>0.32556388165676481</v>
      </c>
      <c r="R6" s="15" cm="1">
        <f t="array" ref="R6">EVAL($AH$7,B6)</f>
        <v>0.32556388165676481</v>
      </c>
      <c r="S6" s="15"/>
      <c r="T6" s="15" cm="1">
        <f t="array" ref="T6">EVAL($AH$9,B6)</f>
        <v>0.23060624765661397</v>
      </c>
      <c r="U6" s="15" cm="1">
        <f t="array" ref="U6">EVAL($AH$10,B6)</f>
        <v>0.23060624765661397</v>
      </c>
      <c r="V6" s="15" cm="1">
        <f t="array" ref="V6">EVAL($AH$11,B6)</f>
        <v>0.23060624765661397</v>
      </c>
      <c r="W6" s="15" cm="1">
        <f t="array" ref="W6">EVAL($AH$12,B6)</f>
        <v>0.3425798179243762</v>
      </c>
      <c r="X6" s="15" cm="1">
        <f t="array" ref="X6">EVAL($AH$13,B6)</f>
        <v>0.16084351047000336</v>
      </c>
      <c r="Y6" s="15" cm="1">
        <f t="array" ref="Y6">EVAL($AH$14,B6)</f>
        <v>0.16084351047000336</v>
      </c>
      <c r="Z6" s="15"/>
      <c r="AA6" s="15"/>
      <c r="AB6" s="15"/>
      <c r="AC6" s="15"/>
      <c r="AD6" s="15"/>
      <c r="AF6" s="10" t="s">
        <v>34</v>
      </c>
      <c r="AG6" s="15" t="s">
        <v>125</v>
      </c>
      <c r="AH6" t="s">
        <v>135</v>
      </c>
    </row>
    <row r="7" spans="1:34" x14ac:dyDescent="0.25">
      <c r="A7" s="20">
        <v>1.4</v>
      </c>
      <c r="B7" s="41">
        <f t="shared" si="0"/>
        <v>4.3982297150257104</v>
      </c>
      <c r="C7" s="15" cm="1">
        <f t="array" ref="C7">EVAL($AG$6,B7)</f>
        <v>39.962100643494928</v>
      </c>
      <c r="D7" s="15" cm="1">
        <f t="array" ref="D7">EVAL($AG$7,B7)</f>
        <v>1.6064727076342298</v>
      </c>
      <c r="E7" s="15"/>
      <c r="F7" s="15" cm="1">
        <f t="array" ref="F7">EVAL($AG$9,B7)</f>
        <v>9.5492781507439062E-2</v>
      </c>
      <c r="G7" s="15" cm="1">
        <f t="array" ref="G7">EVAL($AG$10,B7)</f>
        <v>9.5492781507439062E-2</v>
      </c>
      <c r="H7" s="15" cm="1">
        <f t="array" ref="H7">EVAL($AG$11,B7)</f>
        <v>9.5492781507439062E-2</v>
      </c>
      <c r="I7" s="15" cm="1">
        <f t="array" ref="I7">EVAL($AG$12,B7)</f>
        <v>0.11380298374953338</v>
      </c>
      <c r="J7" s="15" cm="1">
        <f t="array" ref="J7">EVAL($AG$13,B7)</f>
        <v>12.73259072242684</v>
      </c>
      <c r="K7" s="15" cm="1">
        <f t="array" ref="K7">EVAL($AG$14,B7)</f>
        <v>0.10722730750552685</v>
      </c>
      <c r="L7" s="15" cm="1">
        <f t="array" ref="L7">EVAL($AG$15,B7)</f>
        <v>11.052224898385852</v>
      </c>
      <c r="M7" s="15" cm="1">
        <f t="array" ref="M7">EVAL($AG$16,B7)</f>
        <v>0.19427363008265908</v>
      </c>
      <c r="N7" s="15" cm="1">
        <f t="array" ref="N7">EVAL($AG$17,B7)</f>
        <v>11.59679288508389</v>
      </c>
      <c r="O7" s="15" cm="1">
        <f t="array" ref="O7">EVAL($AG$18,B7)</f>
        <v>4.734472496957727E-2</v>
      </c>
      <c r="P7" s="15" cm="1">
        <f t="array" ref="P7">EVAL($AG$19,B7)</f>
        <v>4.734472496957727E-2</v>
      </c>
      <c r="Q7" s="15" cm="1">
        <f t="array" ref="Q7">EVAL($AH$6,B7)</f>
        <v>0.33568980169227708</v>
      </c>
      <c r="R7" s="15" cm="1">
        <f t="array" ref="R7">EVAL($AH$7,B7)</f>
        <v>0.33568980169227708</v>
      </c>
      <c r="S7" s="15"/>
      <c r="T7" s="15" cm="1">
        <f t="array" ref="T7">EVAL($AH$9,B7)</f>
        <v>0.23737906040665285</v>
      </c>
      <c r="U7" s="15" cm="1">
        <f t="array" ref="U7">EVAL($AH$10,B7)</f>
        <v>0.23737906040665285</v>
      </c>
      <c r="V7" s="15" cm="1">
        <f t="array" ref="V7">EVAL($AH$11,B7)</f>
        <v>0.23737906040665285</v>
      </c>
      <c r="W7" s="15" cm="1">
        <f t="array" ref="W7">EVAL($AH$12,B7)</f>
        <v>0.38224091601873583</v>
      </c>
      <c r="X7" s="15" cm="1">
        <f t="array" ref="X7">EVAL($AH$13,B7)</f>
        <v>0.16397756564043359</v>
      </c>
      <c r="Y7" s="15" cm="1">
        <f t="array" ref="Y7">EVAL($AH$14,B7)</f>
        <v>0.16397756564043359</v>
      </c>
      <c r="Z7" s="15"/>
      <c r="AA7" s="15"/>
      <c r="AB7" s="15"/>
      <c r="AC7" s="15"/>
      <c r="AD7" s="15"/>
      <c r="AF7" s="10" t="s">
        <v>24</v>
      </c>
      <c r="AG7" s="15" t="s">
        <v>126</v>
      </c>
      <c r="AH7" t="s">
        <v>135</v>
      </c>
    </row>
    <row r="8" spans="1:34" x14ac:dyDescent="0.25">
      <c r="A8" s="20">
        <v>1.5</v>
      </c>
      <c r="B8" s="41">
        <f t="shared" si="0"/>
        <v>4.7123889803846897</v>
      </c>
      <c r="C8" s="15" cm="1">
        <f t="array" ref="C8">EVAL($AG$6,B8)</f>
        <v>41.914846323046284</v>
      </c>
      <c r="D8" s="15" cm="1">
        <f t="array" ref="D8">EVAL($AG$7,B8)</f>
        <v>1.6379664529946942</v>
      </c>
      <c r="E8" s="15"/>
      <c r="F8" s="15" cm="1">
        <f t="array" ref="F8">EVAL($AG$9,B8)</f>
        <v>0.10242740615593633</v>
      </c>
      <c r="G8" s="15" cm="1">
        <f t="array" ref="G8">EVAL($AG$10,B8)</f>
        <v>0.10242740615593633</v>
      </c>
      <c r="H8" s="15" cm="1">
        <f t="array" ref="H8">EVAL($AG$11,B8)</f>
        <v>0.10242740615593633</v>
      </c>
      <c r="I8" s="15" cm="1">
        <f t="array" ref="I8">EVAL($AG$12,B8)</f>
        <v>0.12146409553802556</v>
      </c>
      <c r="J8" s="15" cm="1">
        <f t="array" ref="J8">EVAL($AG$13,B8)</f>
        <v>13.408592865480838</v>
      </c>
      <c r="K8" s="15" cm="1">
        <f t="array" ref="K8">EVAL($AG$14,B8)</f>
        <v>0.11379932658988047</v>
      </c>
      <c r="L8" s="15" cm="1">
        <f t="array" ref="L8">EVAL($AG$15,B8)</f>
        <v>11.525621602197884</v>
      </c>
      <c r="M8" s="15" cm="1">
        <f t="array" ref="M8">EVAL($AG$16,B8)</f>
        <v>0.20122832236097762</v>
      </c>
      <c r="N8" s="15" cm="1">
        <f t="array" ref="N8">EVAL($AG$17,B8)</f>
        <v>11.928199148150666</v>
      </c>
      <c r="O8" s="15" cm="1">
        <f t="array" ref="O8">EVAL($AG$18,B8)</f>
        <v>4.5572403659439965E-2</v>
      </c>
      <c r="P8" s="15" cm="1">
        <f t="array" ref="P8">EVAL($AG$19,B8)</f>
        <v>4.5572403659439965E-2</v>
      </c>
      <c r="Q8" s="15" cm="1">
        <f t="array" ref="Q8">EVAL($AH$6,B8)</f>
        <v>0.34539969341165588</v>
      </c>
      <c r="R8" s="15" cm="1">
        <f t="array" ref="R8">EVAL($AH$7,B8)</f>
        <v>0.34539969341165588</v>
      </c>
      <c r="S8" s="15"/>
      <c r="T8" s="15" cm="1">
        <f t="array" ref="T8">EVAL($AH$9,B8)</f>
        <v>0.24386307263311055</v>
      </c>
      <c r="U8" s="15" cm="1">
        <f t="array" ref="U8">EVAL($AH$10,B8)</f>
        <v>0.24386307263311055</v>
      </c>
      <c r="V8" s="15" cm="1">
        <f t="array" ref="V8">EVAL($AH$11,B8)</f>
        <v>0.24386307263311055</v>
      </c>
      <c r="W8" s="15" cm="1">
        <f t="array" ref="W8">EVAL($AH$12,B8)</f>
        <v>0.42328103452295845</v>
      </c>
      <c r="X8" s="15" cm="1">
        <f t="array" ref="X8">EVAL($AH$13,B8)</f>
        <v>0.16695016710652574</v>
      </c>
      <c r="Y8" s="15" cm="1">
        <f t="array" ref="Y8">EVAL($AH$14,B8)</f>
        <v>0.16695016710652574</v>
      </c>
      <c r="Z8" s="15"/>
      <c r="AA8" s="15"/>
      <c r="AB8" s="15"/>
      <c r="AC8" s="15"/>
      <c r="AD8" s="15"/>
      <c r="AF8" s="10" t="s">
        <v>33</v>
      </c>
      <c r="AG8" s="15"/>
    </row>
    <row r="9" spans="1:34" x14ac:dyDescent="0.25">
      <c r="A9" s="20">
        <v>1.6</v>
      </c>
      <c r="B9" s="41">
        <f t="shared" si="0"/>
        <v>5.026548245743669</v>
      </c>
      <c r="C9" s="15" cm="1">
        <f t="array" ref="C9">EVAL($AG$6,B9)</f>
        <v>43.827807004326971</v>
      </c>
      <c r="D9" s="15" cm="1">
        <f t="array" ref="D9">EVAL($AG$7,B9)</f>
        <v>1.6679855562925703</v>
      </c>
      <c r="E9" s="15"/>
      <c r="F9" s="15" cm="1">
        <f t="array" ref="F9">EVAL($AG$9,B9)</f>
        <v>0.10936948344878784</v>
      </c>
      <c r="G9" s="15" cm="1">
        <f t="array" ref="G9">EVAL($AG$10,B9)</f>
        <v>0.10936948344878784</v>
      </c>
      <c r="H9" s="15" cm="1">
        <f t="array" ref="H9">EVAL($AG$11,B9)</f>
        <v>0.10936948344878784</v>
      </c>
      <c r="I9" s="15" cm="1">
        <f t="array" ref="I9">EVAL($AG$12,B9)</f>
        <v>0.12909679019967804</v>
      </c>
      <c r="J9" s="15" cm="1">
        <f t="array" ref="J9">EVAL($AG$13,B9)</f>
        <v>14.073403551747571</v>
      </c>
      <c r="K9" s="15" cm="1">
        <f t="array" ref="K9">EVAL($AG$14,B9)</f>
        <v>0.12031119974527053</v>
      </c>
      <c r="L9" s="15" cm="1">
        <f t="array" ref="L9">EVAL($AG$15,B9)</f>
        <v>11.98679334970857</v>
      </c>
      <c r="M9" s="15" cm="1">
        <f t="array" ref="M9">EVAL($AG$16,B9)</f>
        <v>0.20795920561114289</v>
      </c>
      <c r="N9" s="15" cm="1">
        <f t="array" ref="N9">EVAL($AG$17,B9)</f>
        <v>12.246777059733532</v>
      </c>
      <c r="O9" s="15" cm="1">
        <f t="array" ref="O9">EVAL($AG$18,B9)</f>
        <v>4.3974615554795822E-2</v>
      </c>
      <c r="P9" s="15" cm="1">
        <f t="array" ref="P9">EVAL($AG$19,B9)</f>
        <v>4.3974615554795822E-2</v>
      </c>
      <c r="Q9" s="15" cm="1">
        <f t="array" ref="Q9">EVAL($AH$6,B9)</f>
        <v>0.35473677971617579</v>
      </c>
      <c r="R9" s="15" cm="1">
        <f t="array" ref="R9">EVAL($AH$7,B9)</f>
        <v>0.35473677971617579</v>
      </c>
      <c r="S9" s="15"/>
      <c r="T9" s="15" cm="1">
        <f t="array" ref="T9">EVAL($AH$9,B9)</f>
        <v>0.25008869536375961</v>
      </c>
      <c r="U9" s="15" cm="1">
        <f t="array" ref="U9">EVAL($AH$10,B9)</f>
        <v>0.25008869536375961</v>
      </c>
      <c r="V9" s="15" cm="1">
        <f t="array" ref="V9">EVAL($AH$11,B9)</f>
        <v>0.25008869536375961</v>
      </c>
      <c r="W9" s="15" cm="1">
        <f t="array" ref="W9">EVAL($AH$12,B9)</f>
        <v>0.46565135301030458</v>
      </c>
      <c r="X9" s="15" cm="1">
        <f t="array" ref="X9">EVAL($AH$13,B9)</f>
        <v>0.16977961237931113</v>
      </c>
      <c r="Y9" s="15" cm="1">
        <f t="array" ref="Y9">EVAL($AH$14,B9)</f>
        <v>0.16977961237931113</v>
      </c>
      <c r="Z9" s="15"/>
      <c r="AA9" s="15"/>
      <c r="AB9" s="15"/>
      <c r="AC9" s="15"/>
      <c r="AD9" s="15"/>
      <c r="AF9" s="10" t="s">
        <v>35</v>
      </c>
      <c r="AG9" s="15" t="s">
        <v>127</v>
      </c>
      <c r="AH9" t="s">
        <v>136</v>
      </c>
    </row>
    <row r="10" spans="1:34" x14ac:dyDescent="0.25">
      <c r="A10" s="20">
        <v>1.7</v>
      </c>
      <c r="B10" s="41">
        <f t="shared" si="0"/>
        <v>5.3407075111026483</v>
      </c>
      <c r="C10" s="15" cm="1">
        <f t="array" ref="C10">EVAL($AG$6,B10)</f>
        <v>45.704209490178179</v>
      </c>
      <c r="D10" s="15" cm="1">
        <f t="array" ref="D10">EVAL($AG$7,B10)</f>
        <v>1.6966851117169766</v>
      </c>
      <c r="E10" s="15"/>
      <c r="F10" s="15" cm="1">
        <f t="array" ref="F10">EVAL($AG$9,B10)</f>
        <v>0.11631855424544169</v>
      </c>
      <c r="G10" s="15" cm="1">
        <f t="array" ref="G10">EVAL($AG$10,B10)</f>
        <v>0.11631855424544169</v>
      </c>
      <c r="H10" s="15" cm="1">
        <f t="array" ref="H10">EVAL($AG$11,B10)</f>
        <v>0.11631855424544169</v>
      </c>
      <c r="I10" s="15" cm="1">
        <f t="array" ref="I10">EVAL($AG$12,B10)</f>
        <v>0.1367029419927378</v>
      </c>
      <c r="J10" s="15" cm="1">
        <f t="array" ref="J10">EVAL($AG$13,B10)</f>
        <v>14.727891612812881</v>
      </c>
      <c r="K10" s="15" cm="1">
        <f t="array" ref="K10">EVAL($AG$14,B10)</f>
        <v>0.12676719145331825</v>
      </c>
      <c r="L10" s="15" cm="1">
        <f t="array" ref="L10">EVAL($AG$15,B10)</f>
        <v>12.43679225997202</v>
      </c>
      <c r="M10" s="15" cm="1">
        <f t="array" ref="M10">EVAL($AG$16,B10)</f>
        <v>0.21448683598777313</v>
      </c>
      <c r="N10" s="15" cm="1">
        <f t="array" ref="N10">EVAL($AG$17,B10)</f>
        <v>12.553781071001749</v>
      </c>
      <c r="O10" s="15" cm="1">
        <f t="array" ref="O10">EVAL($AG$18,B10)</f>
        <v>4.2524787123816285E-2</v>
      </c>
      <c r="P10" s="15" cm="1">
        <f t="array" ref="P10">EVAL($AG$19,B10)</f>
        <v>4.2524787123816285E-2</v>
      </c>
      <c r="Q10" s="15" cm="1">
        <f t="array" ref="Q10">EVAL($AH$6,B10)</f>
        <v>0.36373740958515471</v>
      </c>
      <c r="R10" s="15" cm="1">
        <f t="array" ref="R10">EVAL($AH$7,B10)</f>
        <v>0.36373740958515471</v>
      </c>
      <c r="S10" s="15"/>
      <c r="T10" s="15" cm="1">
        <f t="array" ref="T10">EVAL($AH$9,B10)</f>
        <v>0.25608146427400991</v>
      </c>
      <c r="U10" s="15" cm="1">
        <f t="array" ref="U10">EVAL($AH$10,B10)</f>
        <v>0.25608146427400991</v>
      </c>
      <c r="V10" s="15" cm="1">
        <f t="array" ref="V10">EVAL($AH$11,B10)</f>
        <v>0.25608146427400991</v>
      </c>
      <c r="W10" s="15" cm="1">
        <f t="array" ref="W10">EVAL($AH$12,B10)</f>
        <v>0.50930777537941296</v>
      </c>
      <c r="X10" s="15" cm="1">
        <f t="array" ref="X10">EVAL($AH$13,B10)</f>
        <v>0.17248113182287461</v>
      </c>
      <c r="Y10" s="15" cm="1">
        <f t="array" ref="Y10">EVAL($AH$14,B10)</f>
        <v>0.17248113182287461</v>
      </c>
      <c r="Z10" s="15"/>
      <c r="AA10" s="15"/>
      <c r="AB10" s="15"/>
      <c r="AC10" s="15"/>
      <c r="AD10" s="15"/>
      <c r="AF10" s="10" t="s">
        <v>36</v>
      </c>
      <c r="AG10" s="15" t="s">
        <v>127</v>
      </c>
      <c r="AH10" t="s">
        <v>136</v>
      </c>
    </row>
    <row r="11" spans="1:34" x14ac:dyDescent="0.25">
      <c r="A11" s="20">
        <v>1.8</v>
      </c>
      <c r="B11" s="41">
        <f t="shared" si="0"/>
        <v>5.6548667764616276</v>
      </c>
      <c r="C11" s="15" cm="1">
        <f t="array" ref="C11">EVAL($AG$6,B11)</f>
        <v>47.546845600523241</v>
      </c>
      <c r="D11" s="15" cm="1">
        <f t="array" ref="D11">EVAL($AG$7,B11)</f>
        <v>1.7241958895846223</v>
      </c>
      <c r="E11" s="15"/>
      <c r="F11" s="15" cm="1">
        <f t="array" ref="F11">EVAL($AG$9,B11)</f>
        <v>0.12327421311185442</v>
      </c>
      <c r="G11" s="15" cm="1">
        <f t="array" ref="G11">EVAL($AG$10,B11)</f>
        <v>0.12327421311185442</v>
      </c>
      <c r="H11" s="15" cm="1">
        <f t="array" ref="H11">EVAL($AG$11,B11)</f>
        <v>0.12327421311185442</v>
      </c>
      <c r="I11" s="15" cm="1">
        <f t="array" ref="I11">EVAL($AG$12,B11)</f>
        <v>0.14428419849063528</v>
      </c>
      <c r="J11" s="15" cm="1">
        <f t="array" ref="J11">EVAL($AG$13,B11)</f>
        <v>15.372811519105866</v>
      </c>
      <c r="K11" s="15" cm="1">
        <f t="array" ref="K11">EVAL($AG$14,B11)</f>
        <v>0.13317103113138468</v>
      </c>
      <c r="L11" s="15" cm="1">
        <f t="array" ref="L11">EVAL($AG$15,B11)</f>
        <v>12.876523851164199</v>
      </c>
      <c r="M11" s="15" cm="1">
        <f t="array" ref="M11">EVAL($AG$16,B11)</f>
        <v>0.22082879657591156</v>
      </c>
      <c r="N11" s="15" cm="1">
        <f t="array" ref="N11">EVAL($AG$17,B11)</f>
        <v>12.850277378349897</v>
      </c>
      <c r="O11" s="15" cm="1">
        <f t="array" ref="O11">EVAL($AG$18,B11)</f>
        <v>4.1201659287344303E-2</v>
      </c>
      <c r="P11" s="15" cm="1">
        <f t="array" ref="P11">EVAL($AG$19,B11)</f>
        <v>4.1201659287344303E-2</v>
      </c>
      <c r="Q11" s="15" cm="1">
        <f t="array" ref="Q11">EVAL($AH$6,B11)</f>
        <v>0.3724324866507675</v>
      </c>
      <c r="R11" s="15" cm="1">
        <f t="array" ref="R11">EVAL($AH$7,B11)</f>
        <v>0.3724324866507675</v>
      </c>
      <c r="S11" s="15"/>
      <c r="T11" s="15" cm="1">
        <f t="array" ref="T11">EVAL($AH$9,B11)</f>
        <v>0.26186305862776793</v>
      </c>
      <c r="U11" s="15" cm="1">
        <f t="array" ref="U11">EVAL($AH$10,B11)</f>
        <v>0.26186305862776793</v>
      </c>
      <c r="V11" s="15" cm="1">
        <f t="array" ref="V11">EVAL($AH$11,B11)</f>
        <v>0.26186305862776793</v>
      </c>
      <c r="W11" s="15" cm="1">
        <f t="array" ref="W11">EVAL($AH$12,B11)</f>
        <v>0.55421021703706586</v>
      </c>
      <c r="X11" s="15" cm="1">
        <f t="array" ref="X11">EVAL($AH$13,B11)</f>
        <v>0.17506755022254411</v>
      </c>
      <c r="Y11" s="15" cm="1">
        <f t="array" ref="Y11">EVAL($AH$14,B11)</f>
        <v>0.17506755022254411</v>
      </c>
      <c r="Z11" s="15"/>
      <c r="AA11" s="15"/>
      <c r="AB11" s="15"/>
      <c r="AC11" s="15"/>
      <c r="AD11" s="15"/>
      <c r="AF11" s="10" t="s">
        <v>3</v>
      </c>
      <c r="AG11" s="15" t="s">
        <v>127</v>
      </c>
      <c r="AH11" t="s">
        <v>136</v>
      </c>
    </row>
    <row r="12" spans="1:34" x14ac:dyDescent="0.25">
      <c r="A12" s="20">
        <v>1.9</v>
      </c>
      <c r="B12" s="41">
        <f t="shared" si="0"/>
        <v>5.9690260418206069</v>
      </c>
      <c r="C12" s="15" cm="1">
        <f t="array" ref="C12">EVAL($AG$6,B12)</f>
        <v>49.358151607361627</v>
      </c>
      <c r="D12" s="15" cm="1">
        <f t="array" ref="D12">EVAL($AG$7,B12)</f>
        <v>1.7506292713008245</v>
      </c>
      <c r="E12" s="15"/>
      <c r="F12" s="15" cm="1">
        <f t="array" ref="F12">EVAL($AG$9,B12)</f>
        <v>0.13023609939321434</v>
      </c>
      <c r="G12" s="15" cm="1">
        <f t="array" ref="G12">EVAL($AG$10,B12)</f>
        <v>0.13023609939321434</v>
      </c>
      <c r="H12" s="15" cm="1">
        <f t="array" ref="H12">EVAL($AG$11,B12)</f>
        <v>0.13023609939321434</v>
      </c>
      <c r="I12" s="15" cm="1">
        <f t="array" ref="I12">EVAL($AG$12,B12)</f>
        <v>0.15184201909037667</v>
      </c>
      <c r="J12" s="15" cm="1">
        <f t="array" ref="J12">EVAL($AG$13,B12)</f>
        <v>16.008823930031845</v>
      </c>
      <c r="K12" s="15" cm="1">
        <f t="array" ref="K12">EVAL($AG$14,B12)</f>
        <v>0.13952600625225478</v>
      </c>
      <c r="L12" s="15" cm="1">
        <f t="array" ref="L12">EVAL($AG$15,B12)</f>
        <v>13.306774423866122</v>
      </c>
      <c r="M12" s="15" cm="1">
        <f t="array" ref="M12">EVAL($AG$16,B12)</f>
        <v>0.22700026720100183</v>
      </c>
      <c r="N12" s="15" cm="1">
        <f t="array" ref="N12">EVAL($AG$17,B12)</f>
        <v>13.137180945705531</v>
      </c>
      <c r="O12" s="15" cm="1">
        <f t="array" ref="O12">EVAL($AG$18,B12)</f>
        <v>3.9987997882306642E-2</v>
      </c>
      <c r="P12" s="15" cm="1">
        <f t="array" ref="P12">EVAL($AG$19,B12)</f>
        <v>3.9987997882306642E-2</v>
      </c>
      <c r="Q12" s="15" cm="1">
        <f t="array" ref="Q12">EVAL($AH$6,B12)</f>
        <v>0.38084853877070302</v>
      </c>
      <c r="R12" s="15" cm="1">
        <f t="array" ref="R12">EVAL($AH$7,B12)</f>
        <v>0.38084853877070302</v>
      </c>
      <c r="S12" s="15"/>
      <c r="T12" s="15" cm="1">
        <f t="array" ref="T12">EVAL($AH$9,B12)</f>
        <v>0.2674520630572198</v>
      </c>
      <c r="U12" s="15" cm="1">
        <f t="array" ref="U12">EVAL($AH$10,B12)</f>
        <v>0.2674520630572198</v>
      </c>
      <c r="V12" s="15" cm="1">
        <f t="array" ref="V12">EVAL($AH$11,B12)</f>
        <v>0.2674520630572198</v>
      </c>
      <c r="W12" s="15" cm="1">
        <f t="array" ref="W12">EVAL($AH$12,B12)</f>
        <v>0.60032203389514771</v>
      </c>
      <c r="X12" s="15" cm="1">
        <f t="array" ref="X12">EVAL($AH$13,B12)</f>
        <v>0.17754977730726246</v>
      </c>
      <c r="Y12" s="15" cm="1">
        <f t="array" ref="Y12">EVAL($AH$14,B12)</f>
        <v>0.17754977730726246</v>
      </c>
      <c r="Z12" s="15"/>
      <c r="AA12" s="15"/>
      <c r="AB12" s="15"/>
      <c r="AC12" s="15"/>
      <c r="AD12" s="15"/>
      <c r="AF12" s="20">
        <v>8</v>
      </c>
      <c r="AG12" s="15" t="s">
        <v>128</v>
      </c>
      <c r="AH12" t="s">
        <v>137</v>
      </c>
    </row>
    <row r="13" spans="1:34" x14ac:dyDescent="0.25">
      <c r="A13" s="20">
        <v>2</v>
      </c>
      <c r="B13" s="41">
        <f t="shared" si="0"/>
        <v>6.2831853071795862</v>
      </c>
      <c r="C13" s="15" cm="1">
        <f t="array" ref="C13">EVAL($AG$6,B13)</f>
        <v>51.140269760390893</v>
      </c>
      <c r="D13" s="15" cm="1">
        <f t="array" ref="D13">EVAL($AG$7,B13)</f>
        <v>1.7760809792265897</v>
      </c>
      <c r="E13" s="15"/>
      <c r="F13" s="15" cm="1">
        <f t="array" ref="F13">EVAL($AG$9,B13)</f>
        <v>0.13720389016422913</v>
      </c>
      <c r="G13" s="15" cm="1">
        <f t="array" ref="G13">EVAL($AG$10,B13)</f>
        <v>0.13720389016422913</v>
      </c>
      <c r="H13" s="15" cm="1">
        <f t="array" ref="H13">EVAL($AG$11,B13)</f>
        <v>0.13720389016422913</v>
      </c>
      <c r="I13" s="15" cm="1">
        <f t="array" ref="I13">EVAL($AG$12,B13)</f>
        <v>0.15937770529203849</v>
      </c>
      <c r="J13" s="15" cm="1">
        <f t="array" ref="J13">EVAL($AG$13,B13)</f>
        <v>16.636511666349111</v>
      </c>
      <c r="K13" s="15" cm="1">
        <f t="array" ref="K13">EVAL($AG$14,B13)</f>
        <v>0.14583503520735819</v>
      </c>
      <c r="L13" s="15" cm="1">
        <f t="array" ref="L13">EVAL($AG$15,B13)</f>
        <v>13.72823216496916</v>
      </c>
      <c r="M13" s="15" cm="1">
        <f t="array" ref="M13">EVAL($AG$16,B13)</f>
        <v>0.23301446100907316</v>
      </c>
      <c r="N13" s="15" cm="1">
        <f t="array" ref="N13">EVAL($AG$17,B13)</f>
        <v>13.415283699249478</v>
      </c>
      <c r="O13" s="15" cm="1">
        <f t="array" ref="O13">EVAL($AG$18,B13)</f>
        <v>3.8869666476861985E-2</v>
      </c>
      <c r="P13" s="15" cm="1">
        <f t="array" ref="P13">EVAL($AG$19,B13)</f>
        <v>3.8869666476861985E-2</v>
      </c>
      <c r="Q13" s="15" cm="1">
        <f t="array" ref="Q13">EVAL($AH$6,B13)</f>
        <v>0.38900853281065734</v>
      </c>
      <c r="R13" s="15" cm="1">
        <f t="array" ref="R13">EVAL($AH$7,B13)</f>
        <v>0.38900853281065734</v>
      </c>
      <c r="S13" s="15"/>
      <c r="T13" s="15" cm="1">
        <f t="array" ref="T13">EVAL($AH$9,B13)</f>
        <v>0.2728645470876615</v>
      </c>
      <c r="U13" s="15" cm="1">
        <f t="array" ref="U13">EVAL($AH$10,B13)</f>
        <v>0.2728645470876615</v>
      </c>
      <c r="V13" s="15" cm="1">
        <f t="array" ref="V13">EVAL($AH$11,B13)</f>
        <v>0.2728645470876615</v>
      </c>
      <c r="W13" s="15" cm="1">
        <f t="array" ref="W13">EVAL($AH$12,B13)</f>
        <v>0.64760955887357252</v>
      </c>
      <c r="X13" s="15" cm="1">
        <f t="array" ref="X13">EVAL($AH$13,B13)</f>
        <v>0.17993717802386333</v>
      </c>
      <c r="Y13" s="15" cm="1">
        <f t="array" ref="Y13">EVAL($AH$14,B13)</f>
        <v>0.17993717802386333</v>
      </c>
      <c r="Z13" s="15"/>
      <c r="AA13" s="15"/>
      <c r="AB13" s="15"/>
      <c r="AC13" s="15"/>
      <c r="AD13" s="15"/>
      <c r="AF13" s="20">
        <v>11</v>
      </c>
      <c r="AG13" s="15" t="s">
        <v>129</v>
      </c>
      <c r="AH13" t="s">
        <v>138</v>
      </c>
    </row>
    <row r="14" spans="1:34" x14ac:dyDescent="0.25">
      <c r="A14" s="20">
        <v>2.1</v>
      </c>
      <c r="B14" s="41">
        <f t="shared" si="0"/>
        <v>6.5973445725385655</v>
      </c>
      <c r="C14" s="15" cm="1">
        <f t="array" ref="C14">EVAL($AG$6,B14)</f>
        <v>52.895096632522737</v>
      </c>
      <c r="D14" s="15" cm="1">
        <f t="array" ref="D14">EVAL($AG$7,B14)</f>
        <v>1.8006339406339691</v>
      </c>
      <c r="E14" s="15"/>
      <c r="F14" s="15" cm="1">
        <f t="array" ref="F14">EVAL($AG$9,B14)</f>
        <v>0.14417729458754616</v>
      </c>
      <c r="G14" s="15" cm="1">
        <f t="array" ref="G14">EVAL($AG$10,B14)</f>
        <v>0.14417729458754616</v>
      </c>
      <c r="H14" s="15" cm="1">
        <f t="array" ref="H14">EVAL($AG$11,B14)</f>
        <v>0.14417729458754616</v>
      </c>
      <c r="I14" s="15" cm="1">
        <f t="array" ref="I14">EVAL($AG$12,B14)</f>
        <v>0.16689242483250757</v>
      </c>
      <c r="J14" s="15" cm="1">
        <f t="array" ref="J14">EVAL($AG$13,B14)</f>
        <v>17.256392302158233</v>
      </c>
      <c r="K14" s="15" cm="1">
        <f t="array" ref="K14">EVAL($AG$14,B14)</f>
        <v>0.15210072511359732</v>
      </c>
      <c r="L14" s="15" cm="1">
        <f t="array" ref="L14">EVAL($AG$15,B14)</f>
        <v>14.141503652837393</v>
      </c>
      <c r="M14" s="15" cm="1">
        <f t="array" ref="M14">EVAL($AG$16,B14)</f>
        <v>0.23888296403165946</v>
      </c>
      <c r="N14" s="15" cm="1">
        <f t="array" ref="N14">EVAL($AG$17,B14)</f>
        <v>13.685276331963996</v>
      </c>
      <c r="O14" s="15" cm="1">
        <f t="array" ref="O14">EVAL($AG$18,B14)</f>
        <v>3.7834947160365055E-2</v>
      </c>
      <c r="P14" s="15" cm="1">
        <f t="array" ref="P14">EVAL($AG$19,B14)</f>
        <v>3.7834947160365055E-2</v>
      </c>
      <c r="Q14" s="15" cm="1">
        <f t="array" ref="Q14">EVAL($AH$6,B14)</f>
        <v>0.3969325049349236</v>
      </c>
      <c r="R14" s="15" cm="1">
        <f t="array" ref="R14">EVAL($AH$7,B14)</f>
        <v>0.3969325049349236</v>
      </c>
      <c r="S14" s="15"/>
      <c r="T14" s="15" cm="1">
        <f t="array" ref="T14">EVAL($AH$9,B14)</f>
        <v>0.27811451286732253</v>
      </c>
      <c r="U14" s="15" cm="1">
        <f t="array" ref="U14">EVAL($AH$10,B14)</f>
        <v>0.27811451286732253</v>
      </c>
      <c r="V14" s="15" cm="1">
        <f t="array" ref="V14">EVAL($AH$11,B14)</f>
        <v>0.27811451286732253</v>
      </c>
      <c r="W14" s="15" cm="1">
        <f t="array" ref="W14">EVAL($AH$12,B14)</f>
        <v>0.69604172122686203</v>
      </c>
      <c r="X14" s="15" cm="1">
        <f t="array" ref="X14">EVAL($AH$13,B14)</f>
        <v>0.18223785651374719</v>
      </c>
      <c r="Y14" s="15" cm="1">
        <f t="array" ref="Y14">EVAL($AH$14,B14)</f>
        <v>0.18223785651374719</v>
      </c>
      <c r="Z14" s="15"/>
      <c r="AA14" s="15"/>
      <c r="AB14" s="15"/>
      <c r="AC14" s="15"/>
      <c r="AD14" s="15"/>
      <c r="AF14" s="20">
        <v>12</v>
      </c>
      <c r="AG14" s="15" t="s">
        <v>130</v>
      </c>
      <c r="AH14" t="s">
        <v>138</v>
      </c>
    </row>
    <row r="15" spans="1:34" x14ac:dyDescent="0.25">
      <c r="A15" s="20">
        <v>2.2000000000000002</v>
      </c>
      <c r="B15" s="41">
        <f t="shared" si="0"/>
        <v>6.9115038378975457</v>
      </c>
      <c r="C15" s="15" cm="1">
        <f t="array" ref="C15">EVAL($AG$6,B15)</f>
        <v>54.624321600347194</v>
      </c>
      <c r="D15" s="15" cm="1">
        <f t="array" ref="D15">EVAL($AG$7,B15)</f>
        <v>1.8243605180092</v>
      </c>
      <c r="E15" s="15"/>
      <c r="F15" s="15" cm="1">
        <f t="array" ref="F15">EVAL($AG$9,B15)</f>
        <v>0.15115604934511198</v>
      </c>
      <c r="G15" s="15" cm="1">
        <f t="array" ref="G15">EVAL($AG$10,B15)</f>
        <v>0.15115604934511198</v>
      </c>
      <c r="H15" s="15" cm="1">
        <f t="array" ref="H15">EVAL($AG$11,B15)</f>
        <v>0.15115604934511198</v>
      </c>
      <c r="I15" s="15" cm="1">
        <f t="array" ref="I15">EVAL($AG$12,B15)</f>
        <v>0.17438723115485347</v>
      </c>
      <c r="J15" s="15" cm="1">
        <f t="array" ref="J15">EVAL($AG$13,B15)</f>
        <v>17.868928218610922</v>
      </c>
      <c r="K15" s="15" cm="1">
        <f t="array" ref="K15">EVAL($AG$14,B15)</f>
        <v>0.15832541824447097</v>
      </c>
      <c r="L15" s="15" cm="1">
        <f t="array" ref="L15">EVAL($AG$15,B15)</f>
        <v>14.547126936195108</v>
      </c>
      <c r="M15" s="15" cm="1">
        <f t="array" ref="M15">EVAL($AG$16,B15)</f>
        <v>0.24461600285903773</v>
      </c>
      <c r="N15" s="15" cm="1">
        <f t="array" ref="N15">EVAL($AG$17,B15)</f>
        <v>13.947765399198945</v>
      </c>
      <c r="O15" s="15" cm="1">
        <f t="array" ref="O15">EVAL($AG$18,B15)</f>
        <v>3.6874034634673189E-2</v>
      </c>
      <c r="P15" s="15" cm="1">
        <f t="array" ref="P15">EVAL($AG$19,B15)</f>
        <v>3.6874034634673189E-2</v>
      </c>
      <c r="Q15" s="15" cm="1">
        <f t="array" ref="Q15">EVAL($AH$6,B15)</f>
        <v>0.40463805490636601</v>
      </c>
      <c r="R15" s="15" cm="1">
        <f t="array" ref="R15">EVAL($AH$7,B15)</f>
        <v>0.40463805490636601</v>
      </c>
      <c r="S15" s="15"/>
      <c r="T15" s="15" cm="1">
        <f t="array" ref="T15">EVAL($AH$9,B15)</f>
        <v>0.28321424587125987</v>
      </c>
      <c r="U15" s="15" cm="1">
        <f t="array" ref="U15">EVAL($AH$10,B15)</f>
        <v>0.28321424587125987</v>
      </c>
      <c r="V15" s="15" cm="1">
        <f t="array" ref="V15">EVAL($AH$11,B15)</f>
        <v>0.28321424587125987</v>
      </c>
      <c r="W15" s="15" cm="1">
        <f t="array" ref="W15">EVAL($AH$12,B15)</f>
        <v>0.74558973060088052</v>
      </c>
      <c r="X15" s="15" cm="1">
        <f t="array" ref="X15">EVAL($AH$13,B15)</f>
        <v>0.18445887701216329</v>
      </c>
      <c r="Y15" s="15" cm="1">
        <f t="array" ref="Y15">EVAL($AH$14,B15)</f>
        <v>0.18445887701216329</v>
      </c>
      <c r="Z15" s="15"/>
      <c r="AA15" s="15"/>
      <c r="AB15" s="15"/>
      <c r="AC15" s="15"/>
      <c r="AD15" s="15"/>
      <c r="AF15" s="20">
        <v>14</v>
      </c>
      <c r="AG15" s="15" t="s">
        <v>131</v>
      </c>
    </row>
    <row r="16" spans="1:34" x14ac:dyDescent="0.25">
      <c r="A16" s="20">
        <v>2.2999999999999998</v>
      </c>
      <c r="B16" s="41">
        <f t="shared" si="0"/>
        <v>7.2256631032565233</v>
      </c>
      <c r="C16" s="15" cm="1">
        <f t="array" ref="C16">EVAL($AG$6,B16)</f>
        <v>56.329457828281797</v>
      </c>
      <c r="D16" s="15" cm="1">
        <f t="array" ref="D16">EVAL($AG$7,B16)</f>
        <v>1.8473242680356416</v>
      </c>
      <c r="E16" s="15"/>
      <c r="F16" s="15" cm="1">
        <f t="array" ref="F16">EVAL($AG$9,B16)</f>
        <v>0.15813991489874038</v>
      </c>
      <c r="G16" s="15" cm="1">
        <f t="array" ref="G16">EVAL($AG$10,B16)</f>
        <v>0.15813991489874038</v>
      </c>
      <c r="H16" s="15" cm="1">
        <f t="array" ref="H16">EVAL($AG$11,B16)</f>
        <v>0.15813991489874038</v>
      </c>
      <c r="I16" s="15" cm="1">
        <f t="array" ref="I16">EVAL($AG$12,B16)</f>
        <v>0.18186307928634349</v>
      </c>
      <c r="J16" s="15" cm="1">
        <f t="array" ref="J16">EVAL($AG$13,B16)</f>
        <v>18.474534722948576</v>
      </c>
      <c r="K16" s="15" cm="1">
        <f t="array" ref="K16">EVAL($AG$14,B16)</f>
        <v>0.16451122973976423</v>
      </c>
      <c r="L16" s="15" cm="1">
        <f t="array" ref="L16">EVAL($AG$15,B16)</f>
        <v>14.945582020751418</v>
      </c>
      <c r="M16" s="15" cm="1">
        <f t="array" ref="M16">EVAL($AG$16,B16)</f>
        <v>0.25022265819876749</v>
      </c>
      <c r="N16" s="15" cm="1">
        <f t="array" ref="N16">EVAL($AG$17,B16)</f>
        <v>14.20328688835335</v>
      </c>
      <c r="O16" s="15" cm="1">
        <f t="array" ref="O16">EVAL($AG$18,B16)</f>
        <v>3.5978653714557808E-2</v>
      </c>
      <c r="P16" s="15" cm="1">
        <f t="array" ref="P16">EVAL($AG$19,B16)</f>
        <v>3.5978653714557808E-2</v>
      </c>
      <c r="Q16" s="15" cm="1">
        <f t="array" ref="Q16">EVAL($AH$6,B16)</f>
        <v>0.41214073853641242</v>
      </c>
      <c r="R16" s="15" cm="1">
        <f t="array" ref="R16">EVAL($AH$7,B16)</f>
        <v>0.41214073853641242</v>
      </c>
      <c r="S16" s="15"/>
      <c r="T16" s="15" cm="1">
        <f t="array" ref="T16">EVAL($AH$9,B16)</f>
        <v>0.28817459302376525</v>
      </c>
      <c r="U16" s="15" cm="1">
        <f t="array" ref="U16">EVAL($AH$10,B16)</f>
        <v>0.28817459302376525</v>
      </c>
      <c r="V16" s="15" cm="1">
        <f t="array" ref="V16">EVAL($AH$11,B16)</f>
        <v>0.28817459302376525</v>
      </c>
      <c r="W16" s="15" cm="1">
        <f t="array" ref="W16">EVAL($AH$12,B16)</f>
        <v>0.7962268123326115</v>
      </c>
      <c r="X16" s="15" cm="1">
        <f t="array" ref="X16">EVAL($AH$13,B16)</f>
        <v>0.1866064378809198</v>
      </c>
      <c r="Y16" s="15" cm="1">
        <f t="array" ref="Y16">EVAL($AH$14,B16)</f>
        <v>0.1866064378809198</v>
      </c>
      <c r="Z16" s="15"/>
      <c r="AA16" s="15"/>
      <c r="AB16" s="15"/>
      <c r="AC16" s="15"/>
      <c r="AD16" s="15"/>
      <c r="AF16" s="20">
        <v>16</v>
      </c>
      <c r="AG16" s="15" t="s">
        <v>132</v>
      </c>
    </row>
    <row r="17" spans="1:33" x14ac:dyDescent="0.25">
      <c r="A17" s="20">
        <v>2.4</v>
      </c>
      <c r="B17" s="41">
        <f t="shared" si="0"/>
        <v>7.5398223686155035</v>
      </c>
      <c r="C17" s="15" cm="1">
        <f t="array" ref="C17">EVAL($AG$6,B17)</f>
        <v>58.011867478312894</v>
      </c>
      <c r="D17" s="15" cm="1">
        <f t="array" ref="D17">EVAL($AG$7,B17)</f>
        <v>1.8695813448151466</v>
      </c>
      <c r="E17" s="15"/>
      <c r="F17" s="15" cm="1">
        <f t="array" ref="F17">EVAL($AG$9,B17)</f>
        <v>0.16512867239975856</v>
      </c>
      <c r="G17" s="15" cm="1">
        <f t="array" ref="G17">EVAL($AG$10,B17)</f>
        <v>0.16512867239975856</v>
      </c>
      <c r="H17" s="15" cm="1">
        <f t="array" ref="H17">EVAL($AG$11,B17)</f>
        <v>0.16512867239975856</v>
      </c>
      <c r="I17" s="15" cm="1">
        <f t="array" ref="I17">EVAL($AG$12,B17)</f>
        <v>0.18932083891522825</v>
      </c>
      <c r="J17" s="15" cm="1">
        <f t="array" ref="J17">EVAL($AG$13,B17)</f>
        <v>19.073586672960641</v>
      </c>
      <c r="K17" s="15" cm="1">
        <f t="array" ref="K17">EVAL($AG$14,B17)</f>
        <v>0.17066007854015416</v>
      </c>
      <c r="L17" s="15" cm="1">
        <f t="array" ref="L17">EVAL($AG$15,B17)</f>
        <v>15.337299367249329</v>
      </c>
      <c r="M17" s="15" cm="1">
        <f t="array" ref="M17">EVAL($AG$16,B17)</f>
        <v>0.25571103712285737</v>
      </c>
      <c r="N17" s="15" cm="1">
        <f t="array" ref="N17">EVAL($AG$17,B17)</f>
        <v>14.452317110361021</v>
      </c>
      <c r="O17" s="15" cm="1">
        <f t="array" ref="O17">EVAL($AG$18,B17)</f>
        <v>3.5141766204834363E-2</v>
      </c>
      <c r="P17" s="15" cm="1">
        <f t="array" ref="P17">EVAL($AG$19,B17)</f>
        <v>3.5141766204834363E-2</v>
      </c>
      <c r="Q17" s="15" cm="1">
        <f t="array" ref="Q17">EVAL($AH$6,B17)</f>
        <v>0.41945438275293673</v>
      </c>
      <c r="R17" s="15" cm="1">
        <f t="array" ref="R17">EVAL($AH$7,B17)</f>
        <v>0.41945438275293673</v>
      </c>
      <c r="S17" s="15"/>
      <c r="T17" s="15" cm="1">
        <f t="array" ref="T17">EVAL($AH$9,B17)</f>
        <v>0.29300518573780182</v>
      </c>
      <c r="U17" s="15" cm="1">
        <f t="array" ref="U17">EVAL($AH$10,B17)</f>
        <v>0.29300518573780182</v>
      </c>
      <c r="V17" s="15" cm="1">
        <f t="array" ref="V17">EVAL($AH$11,B17)</f>
        <v>0.29300518573780182</v>
      </c>
      <c r="W17" s="15" cm="1">
        <f t="array" ref="W17">EVAL($AH$12,B17)</f>
        <v>0.84792798378764445</v>
      </c>
      <c r="X17" s="15" cm="1">
        <f t="array" ref="X17">EVAL($AH$13,B17)</f>
        <v>0.18868601030207788</v>
      </c>
      <c r="Y17" s="15" cm="1">
        <f t="array" ref="Y17">EVAL($AH$14,B17)</f>
        <v>0.18868601030207788</v>
      </c>
      <c r="Z17" s="15"/>
      <c r="AA17" s="15"/>
      <c r="AB17" s="15"/>
      <c r="AC17" s="15"/>
      <c r="AD17" s="15"/>
      <c r="AF17" s="20">
        <v>18</v>
      </c>
      <c r="AG17" s="15" t="s">
        <v>133</v>
      </c>
    </row>
    <row r="18" spans="1:33" x14ac:dyDescent="0.25">
      <c r="A18" s="20">
        <v>2.5</v>
      </c>
      <c r="B18" s="41">
        <f t="shared" si="0"/>
        <v>7.8539816339744828</v>
      </c>
      <c r="C18" s="15" cm="1">
        <f t="array" ref="C18">EVAL($AG$6,B18)</f>
        <v>59.672782416591083</v>
      </c>
      <c r="D18" s="15" cm="1">
        <f t="array" ref="D18">EVAL($AG$7,B18)</f>
        <v>1.8911816309620231</v>
      </c>
      <c r="E18" s="15"/>
      <c r="F18" s="15" cm="1">
        <f t="array" ref="F18">EVAL($AG$9,B18)</f>
        <v>0.17212212111262801</v>
      </c>
      <c r="G18" s="15" cm="1">
        <f t="array" ref="G18">EVAL($AG$10,B18)</f>
        <v>0.17212212111262801</v>
      </c>
      <c r="H18" s="15" cm="1">
        <f t="array" ref="H18">EVAL($AG$11,B18)</f>
        <v>0.17212212111262801</v>
      </c>
      <c r="I18" s="15" cm="1">
        <f t="array" ref="I18">EVAL($AG$12,B18)</f>
        <v>0.19676130525683047</v>
      </c>
      <c r="J18" s="15" cm="1">
        <f t="array" ref="J18">EVAL($AG$13,B18)</f>
        <v>19.666423932695469</v>
      </c>
      <c r="K18" s="15" cm="1">
        <f t="array" ref="K18">EVAL($AG$14,B18)</f>
        <v>0.1767737129956384</v>
      </c>
      <c r="L18" s="15" cm="1">
        <f t="array" ref="L18">EVAL($AG$15,B18)</f>
        <v>15.722666844830172</v>
      </c>
      <c r="M18" s="15" cm="1">
        <f t="array" ref="M18">EVAL($AG$16,B18)</f>
        <v>0.26108841337312538</v>
      </c>
      <c r="N18" s="15" cm="1">
        <f t="array" ref="N18">EVAL($AG$17,B18)</f>
        <v>14.695281530279166</v>
      </c>
      <c r="O18" s="15" cm="1">
        <f t="array" ref="O18">EVAL($AG$18,B18)</f>
        <v>3.4357343502863617E-2</v>
      </c>
      <c r="P18" s="15" cm="1">
        <f t="array" ref="P18">EVAL($AG$19,B18)</f>
        <v>3.4357343502863617E-2</v>
      </c>
      <c r="Q18" s="15" cm="1">
        <f t="array" ref="Q18">EVAL($AH$6,B18)</f>
        <v>0.4265913411081228</v>
      </c>
      <c r="R18" s="15" cm="1">
        <f t="array" ref="R18">EVAL($AH$7,B18)</f>
        <v>0.4265913411081228</v>
      </c>
      <c r="S18" s="15"/>
      <c r="T18" s="15" cm="1">
        <f t="array" ref="T18">EVAL($AH$9,B18)</f>
        <v>0.29771462060313458</v>
      </c>
      <c r="U18" s="15" cm="1">
        <f t="array" ref="U18">EVAL($AH$10,B18)</f>
        <v>0.29771462060313458</v>
      </c>
      <c r="V18" s="15" cm="1">
        <f t="array" ref="V18">EVAL($AH$11,B18)</f>
        <v>0.29771462060313458</v>
      </c>
      <c r="W18" s="15" cm="1">
        <f t="array" ref="W18">EVAL($AH$12,B18)</f>
        <v>0.90066986390811921</v>
      </c>
      <c r="X18" s="15" cm="1">
        <f t="array" ref="X18">EVAL($AH$13,B18)</f>
        <v>0.19070244996705446</v>
      </c>
      <c r="Y18" s="15" cm="1">
        <f t="array" ref="Y18">EVAL($AH$14,B18)</f>
        <v>0.19070244996705446</v>
      </c>
      <c r="Z18" s="15"/>
      <c r="AA18" s="15"/>
      <c r="AB18" s="15"/>
      <c r="AC18" s="15"/>
      <c r="AD18" s="15"/>
      <c r="AF18" s="20">
        <v>20</v>
      </c>
      <c r="AG18" s="15" t="s">
        <v>134</v>
      </c>
    </row>
    <row r="19" spans="1:33" x14ac:dyDescent="0.25">
      <c r="A19" s="20">
        <v>2.6</v>
      </c>
      <c r="B19" s="41">
        <f t="shared" si="0"/>
        <v>8.1681408993334621</v>
      </c>
      <c r="C19" s="15" cm="1">
        <f t="array" ref="C19">EVAL($AG$6,B19)</f>
        <v>61.313321368721752</v>
      </c>
      <c r="D19" s="15" cm="1">
        <f t="array" ref="D19">EVAL($AG$7,B19)</f>
        <v>1.9121696580129426</v>
      </c>
      <c r="E19" s="15"/>
      <c r="F19" s="15" cm="1">
        <f t="array" ref="F19">EVAL($AG$9,B19)</f>
        <v>0.17912007624986354</v>
      </c>
      <c r="G19" s="15" cm="1">
        <f t="array" ref="G19">EVAL($AG$10,B19)</f>
        <v>0.17912007624986354</v>
      </c>
      <c r="H19" s="15" cm="1">
        <f t="array" ref="H19">EVAL($AG$11,B19)</f>
        <v>0.17912007624986354</v>
      </c>
      <c r="I19" s="15" cm="1">
        <f t="array" ref="I19">EVAL($AG$12,B19)</f>
        <v>0.20418520815629385</v>
      </c>
      <c r="J19" s="15" cm="1">
        <f t="array" ref="J19">EVAL($AG$13,B19)</f>
        <v>20.253355904045275</v>
      </c>
      <c r="K19" s="15" cm="1">
        <f t="array" ref="K19">EVAL($AG$14,B19)</f>
        <v>0.18285373224123361</v>
      </c>
      <c r="L19" s="15" cm="1">
        <f t="array" ref="L19">EVAL($AG$15,B19)</f>
        <v>16.102035470788454</v>
      </c>
      <c r="M19" s="15" cm="1">
        <f t="array" ref="M19">EVAL($AG$16,B19)</f>
        <v>0.26636134268139666</v>
      </c>
      <c r="N19" s="15" cm="1">
        <f t="array" ref="N19">EVAL($AG$17,B19)</f>
        <v>14.932561993162762</v>
      </c>
      <c r="O19" s="15" cm="1">
        <f t="array" ref="O19">EVAL($AG$18,B19)</f>
        <v>3.3620188209301176E-2</v>
      </c>
      <c r="P19" s="15" cm="1">
        <f t="array" ref="P19">EVAL($AG$19,B19)</f>
        <v>3.3620188209301176E-2</v>
      </c>
      <c r="Q19" s="15" cm="1">
        <f t="array" ref="Q19">EVAL($AH$6,B19)</f>
        <v>0.43356270289978455</v>
      </c>
      <c r="R19" s="15" cm="1">
        <f t="array" ref="R19">EVAL($AH$7,B19)</f>
        <v>0.43356270289978455</v>
      </c>
      <c r="S19" s="15"/>
      <c r="T19" s="15" cm="1">
        <f t="array" ref="T19">EVAL($AH$9,B19)</f>
        <v>0.30231060712408031</v>
      </c>
      <c r="U19" s="15" cm="1">
        <f t="array" ref="U19">EVAL($AH$10,B19)</f>
        <v>0.30231060712408031</v>
      </c>
      <c r="V19" s="15" cm="1">
        <f t="array" ref="V19">EVAL($AH$11,B19)</f>
        <v>0.30231060712408031</v>
      </c>
      <c r="W19" s="15" cm="1">
        <f t="array" ref="W19">EVAL($AH$12,B19)</f>
        <v>0.95443050989379563</v>
      </c>
      <c r="X19" s="15" cm="1">
        <f t="array" ref="X19">EVAL($AH$13,B19)</f>
        <v>0.19266008787822314</v>
      </c>
      <c r="Y19" s="15" cm="1">
        <f t="array" ref="Y19">EVAL($AH$14,B19)</f>
        <v>0.19266008787822314</v>
      </c>
      <c r="Z19" s="15"/>
      <c r="AA19" s="15"/>
      <c r="AB19" s="15"/>
      <c r="AC19" s="15"/>
      <c r="AD19" s="15"/>
      <c r="AF19" s="20">
        <v>22</v>
      </c>
      <c r="AG19" s="15" t="s">
        <v>134</v>
      </c>
    </row>
    <row r="20" spans="1:33" x14ac:dyDescent="0.25">
      <c r="A20" s="20">
        <v>2.7</v>
      </c>
      <c r="B20" s="41">
        <f t="shared" si="0"/>
        <v>8.4823001646924414</v>
      </c>
      <c r="C20" s="15" cm="1">
        <f t="array" ref="C20">EVAL($AG$6,B20)</f>
        <v>62.934504245604671</v>
      </c>
      <c r="D20" s="15" cm="1">
        <f t="array" ref="D20">EVAL($AG$7,B20)</f>
        <v>1.9325853619136186</v>
      </c>
      <c r="E20" s="15"/>
      <c r="F20" s="15" cm="1">
        <f t="array" ref="F20">EVAL($AG$9,B20)</f>
        <v>0.18612236713925001</v>
      </c>
      <c r="G20" s="15" cm="1">
        <f t="array" ref="G20">EVAL($AG$10,B20)</f>
        <v>0.18612236713925001</v>
      </c>
      <c r="H20" s="15" cm="1">
        <f t="array" ref="H20">EVAL($AG$11,B20)</f>
        <v>0.18612236713925001</v>
      </c>
      <c r="I20" s="15" cm="1">
        <f t="array" ref="I20">EVAL($AG$12,B20)</f>
        <v>0.21159321977105591</v>
      </c>
      <c r="J20" s="15" cm="1">
        <f t="array" ref="J20">EVAL($AG$13,B20)</f>
        <v>20.834665320198496</v>
      </c>
      <c r="K20" s="15" cm="1">
        <f t="array" ref="K20">EVAL($AG$14,B20)</f>
        <v>0.18890160417545682</v>
      </c>
      <c r="L20" s="15" cm="1">
        <f t="array" ref="L20">EVAL($AG$15,B20)</f>
        <v>16.475724186872128</v>
      </c>
      <c r="M20" s="15" cm="1">
        <f t="array" ref="M20">EVAL($AG$16,B20)</f>
        <v>0.27153575833813975</v>
      </c>
      <c r="N20" s="15" cm="1">
        <f t="array" ref="N20">EVAL($AG$17,B20)</f>
        <v>15.164502686885053</v>
      </c>
      <c r="O20" s="15" cm="1">
        <f t="array" ref="O20">EVAL($AG$18,B20)</f>
        <v>3.2925792747929776E-2</v>
      </c>
      <c r="P20" s="15" cm="1">
        <f t="array" ref="P20">EVAL($AG$19,B20)</f>
        <v>3.2925792747929776E-2</v>
      </c>
      <c r="Q20" s="15" cm="1">
        <f t="array" ref="Q20">EVAL($AH$6,B20)</f>
        <v>0.44037846577462042</v>
      </c>
      <c r="R20" s="15" cm="1">
        <f t="array" ref="R20">EVAL($AH$7,B20)</f>
        <v>0.44037846577462042</v>
      </c>
      <c r="S20" s="15"/>
      <c r="T20" s="15" cm="1">
        <f t="array" ref="T20">EVAL($AH$9,B20)</f>
        <v>0.30680008954221838</v>
      </c>
      <c r="U20" s="15" cm="1">
        <f t="array" ref="U20">EVAL($AH$10,B20)</f>
        <v>0.30680008954221838</v>
      </c>
      <c r="V20" s="15" cm="1">
        <f t="array" ref="V20">EVAL($AH$11,B20)</f>
        <v>0.30680008954221838</v>
      </c>
      <c r="W20" s="15" cm="1">
        <f t="array" ref="W20">EVAL($AH$12,B20)</f>
        <v>1.0091892762445223</v>
      </c>
      <c r="X20" s="15" cm="1">
        <f t="array" ref="X20">EVAL($AH$13,B20)</f>
        <v>0.19456280481457724</v>
      </c>
      <c r="Y20" s="15" cm="1">
        <f t="array" ref="Y20">EVAL($AH$14,B20)</f>
        <v>0.19456280481457724</v>
      </c>
      <c r="Z20" s="15"/>
      <c r="AA20" s="15"/>
      <c r="AB20" s="15"/>
      <c r="AC20" s="15"/>
      <c r="AD20" s="15"/>
    </row>
    <row r="21" spans="1:33" x14ac:dyDescent="0.25">
      <c r="A21" s="20">
        <v>2.8</v>
      </c>
      <c r="B21" s="41">
        <f t="shared" si="0"/>
        <v>8.7964594300514207</v>
      </c>
      <c r="C21" s="15" cm="1">
        <f t="array" ref="C21">EVAL($AG$6,B21)</f>
        <v>64.537264193709106</v>
      </c>
      <c r="D21" s="15" cm="1">
        <f t="array" ref="D21">EVAL($AG$7,B21)</f>
        <v>1.9524647080914124</v>
      </c>
      <c r="E21" s="15"/>
      <c r="F21" s="15" cm="1">
        <f t="array" ref="F21">EVAL($AG$9,B21)</f>
        <v>0.19312883566190828</v>
      </c>
      <c r="G21" s="15" cm="1">
        <f t="array" ref="G21">EVAL($AG$10,B21)</f>
        <v>0.19312883566190828</v>
      </c>
      <c r="H21" s="15" cm="1">
        <f t="array" ref="H21">EVAL($AG$11,B21)</f>
        <v>0.19312883566190828</v>
      </c>
      <c r="I21" s="15" cm="1">
        <f t="array" ref="I21">EVAL($AG$12,B21)</f>
        <v>0.21898596109911331</v>
      </c>
      <c r="J21" s="15" cm="1">
        <f t="array" ref="J21">EVAL($AG$13,B21)</f>
        <v>21.410611444026205</v>
      </c>
      <c r="K21" s="15" cm="1">
        <f t="array" ref="K21">EVAL($AG$14,B21)</f>
        <v>0.19491868068733048</v>
      </c>
      <c r="L21" s="15" cm="1">
        <f t="array" ref="L21">EVAL($AG$15,B21)</f>
        <v>16.844023863397513</v>
      </c>
      <c r="M21" s="15" cm="1">
        <f t="array" ref="M21">EVAL($AG$16,B21)</f>
        <v>0.2766170509946127</v>
      </c>
      <c r="N21" s="15" cm="1">
        <f t="array" ref="N21">EVAL($AG$17,B21)</f>
        <v>15.391415100944645</v>
      </c>
      <c r="O21" s="15" cm="1">
        <f t="array" ref="O21">EVAL($AG$18,B21)</f>
        <v>3.2270226259800493E-2</v>
      </c>
      <c r="P21" s="15" cm="1">
        <f t="array" ref="P21">EVAL($AG$19,B21)</f>
        <v>3.2270226259800493E-2</v>
      </c>
      <c r="Q21" s="15" cm="1">
        <f t="array" ref="Q21">EVAL($AH$6,B21)</f>
        <v>0.44704767929705058</v>
      </c>
      <c r="R21" s="15" cm="1">
        <f t="array" ref="R21">EVAL($AH$7,B21)</f>
        <v>0.44704767929705058</v>
      </c>
      <c r="S21" s="15"/>
      <c r="T21" s="15" cm="1">
        <f t="array" ref="T21">EVAL($AH$9,B21)</f>
        <v>0.31118934807411214</v>
      </c>
      <c r="U21" s="15" cm="1">
        <f t="array" ref="U21">EVAL($AH$10,B21)</f>
        <v>0.31118934807411214</v>
      </c>
      <c r="V21" s="15" cm="1">
        <f t="array" ref="V21">EVAL($AH$11,B21)</f>
        <v>0.31118934807411214</v>
      </c>
      <c r="W21" s="15" cm="1">
        <f t="array" ref="W21">EVAL($AH$12,B21)</f>
        <v>1.0649266923790803</v>
      </c>
      <c r="X21" s="15" cm="1">
        <f t="array" ref="X21">EVAL($AH$13,B21)</f>
        <v>0.19641409289083381</v>
      </c>
      <c r="Y21" s="15" cm="1">
        <f t="array" ref="Y21">EVAL($AH$14,B21)</f>
        <v>0.19641409289083381</v>
      </c>
      <c r="Z21" s="15"/>
      <c r="AA21" s="15"/>
      <c r="AB21" s="15"/>
      <c r="AC21" s="15"/>
      <c r="AD21" s="15"/>
    </row>
    <row r="22" spans="1:33" x14ac:dyDescent="0.25">
      <c r="A22" s="20">
        <v>2.9</v>
      </c>
      <c r="B22" s="41">
        <f t="shared" si="0"/>
        <v>9.1106186954104</v>
      </c>
      <c r="C22" s="15" cm="1">
        <f t="array" ref="C22">EVAL($AG$6,B22)</f>
        <v>66.122457799377969</v>
      </c>
      <c r="D22" s="15" cm="1">
        <f t="array" ref="D22">EVAL($AG$7,B22)</f>
        <v>1.9718402124378716</v>
      </c>
      <c r="E22" s="15"/>
      <c r="F22" s="15" cm="1">
        <f t="array" ref="F22">EVAL($AG$9,B22)</f>
        <v>0.20013933491291677</v>
      </c>
      <c r="G22" s="15" cm="1">
        <f t="array" ref="G22">EVAL($AG$10,B22)</f>
        <v>0.20013933491291677</v>
      </c>
      <c r="H22" s="15" cm="1">
        <f t="array" ref="H22">EVAL($AG$11,B22)</f>
        <v>0.20013933491291677</v>
      </c>
      <c r="I22" s="15" cm="1">
        <f t="array" ref="I22">EVAL($AG$12,B22)</f>
        <v>0.22636400756156361</v>
      </c>
      <c r="J22" s="15" cm="1">
        <f t="array" ref="J22">EVAL($AG$13,B22)</f>
        <v>21.981432782627426</v>
      </c>
      <c r="K22" s="15" cm="1">
        <f t="array" ref="K22">EVAL($AG$14,B22)</f>
        <v>0.20090621063622233</v>
      </c>
      <c r="L22" s="15" cm="1">
        <f t="array" ref="L22">EVAL($AG$15,B22)</f>
        <v>17.207200679025515</v>
      </c>
      <c r="M22" s="15" cm="1">
        <f t="array" ref="M22">EVAL($AG$16,B22)</f>
        <v>0.28161013576665728</v>
      </c>
      <c r="N22" s="15" cm="1">
        <f t="array" ref="N22">EVAL($AG$17,B22)</f>
        <v>15.613582179878883</v>
      </c>
      <c r="O22" s="15" cm="1">
        <f t="array" ref="O22">EVAL($AG$18,B22)</f>
        <v>3.1650043330558625E-2</v>
      </c>
      <c r="P22" s="15" cm="1">
        <f t="array" ref="P22">EVAL($AG$19,B22)</f>
        <v>3.1650043330558625E-2</v>
      </c>
      <c r="Q22" s="15" cm="1">
        <f t="array" ref="Q22">EVAL($AH$6,B22)</f>
        <v>0.45357856522286694</v>
      </c>
      <c r="R22" s="15" cm="1">
        <f t="array" ref="R22">EVAL($AH$7,B22)</f>
        <v>0.45357856522286694</v>
      </c>
      <c r="S22" s="15"/>
      <c r="T22" s="15" cm="1">
        <f t="array" ref="T22">EVAL($AH$9,B22)</f>
        <v>0.31548408364791081</v>
      </c>
      <c r="U22" s="15" cm="1">
        <f t="array" ref="U22">EVAL($AH$10,B22)</f>
        <v>0.31548408364791081</v>
      </c>
      <c r="V22" s="15" cm="1">
        <f t="array" ref="V22">EVAL($AH$11,B22)</f>
        <v>0.31548408364791081</v>
      </c>
      <c r="W22" s="15" cm="1">
        <f t="array" ref="W22">EVAL($AH$12,B22)</f>
        <v>1.1216243557997121</v>
      </c>
      <c r="X22" s="15" cm="1">
        <f t="array" ref="X22">EVAL($AH$13,B22)</f>
        <v>0.19821710682372379</v>
      </c>
      <c r="Y22" s="15" cm="1">
        <f t="array" ref="Y22">EVAL($AH$14,B22)</f>
        <v>0.19821710682372379</v>
      </c>
      <c r="Z22" s="15"/>
      <c r="AA22" s="15"/>
      <c r="AB22" s="15"/>
      <c r="AC22" s="15"/>
      <c r="AD22" s="15"/>
    </row>
    <row r="23" spans="1:33" x14ac:dyDescent="0.25">
      <c r="A23" s="20">
        <v>3</v>
      </c>
      <c r="B23" s="41">
        <f t="shared" si="0"/>
        <v>9.4247779607693793</v>
      </c>
      <c r="C23" s="15" cm="1">
        <f t="array" ref="C23">EVAL($AG$6,B23)</f>
        <v>67.690873783670568</v>
      </c>
      <c r="D23" s="15" cm="1">
        <f t="array" ref="D23">EVAL($AG$7,B23)</f>
        <v>1.9907413784946577</v>
      </c>
      <c r="E23" s="15"/>
      <c r="F23" s="15" cm="1">
        <f t="array" ref="F23">EVAL($AG$9,B23)</f>
        <v>0.20715372804618057</v>
      </c>
      <c r="G23" s="15" cm="1">
        <f t="array" ref="G23">EVAL($AG$10,B23)</f>
        <v>0.20715372804618057</v>
      </c>
      <c r="H23" s="15" cm="1">
        <f t="array" ref="H23">EVAL($AG$11,B23)</f>
        <v>0.20715372804618057</v>
      </c>
      <c r="I23" s="15" cm="1">
        <f t="array" ref="I23">EVAL($AG$12,B23)</f>
        <v>0.23372789380434958</v>
      </c>
      <c r="J23" s="15" cm="1">
        <f t="array" ref="J23">EVAL($AG$13,B23)</f>
        <v>22.547349405356005</v>
      </c>
      <c r="K23" s="15" cm="1">
        <f t="array" ref="K23">EVAL($AG$14,B23)</f>
        <v>0.20686535098219111</v>
      </c>
      <c r="L23" s="15" cm="1">
        <f t="array" ref="L23">EVAL($AG$15,B23)</f>
        <v>17.565498991634197</v>
      </c>
      <c r="M23" s="15" cm="1">
        <f t="array" ref="M23">EVAL($AG$16,B23)</f>
        <v>0.28651950902653889</v>
      </c>
      <c r="N23" s="15" cm="1">
        <f t="array" ref="N23">EVAL($AG$17,B23)</f>
        <v>15.831261825160478</v>
      </c>
      <c r="O23" s="15" cm="1">
        <f t="array" ref="O23">EVAL($AG$18,B23)</f>
        <v>3.1062209744339722E-2</v>
      </c>
      <c r="P23" s="15" cm="1">
        <f t="array" ref="P23">EVAL($AG$19,B23)</f>
        <v>3.1062209744339722E-2</v>
      </c>
      <c r="Q23" s="15" cm="1">
        <f t="array" ref="Q23">EVAL($AH$6,B23)</f>
        <v>0.45997861892491904</v>
      </c>
      <c r="R23" s="15" cm="1">
        <f t="array" ref="R23">EVAL($AH$7,B23)</f>
        <v>0.45997861892491904</v>
      </c>
      <c r="S23" s="15"/>
      <c r="T23" s="15" cm="1">
        <f t="array" ref="T23">EVAL($AH$9,B23)</f>
        <v>0.31968948930055119</v>
      </c>
      <c r="U23" s="15" cm="1">
        <f t="array" ref="U23">EVAL($AH$10,B23)</f>
        <v>0.31968948930055119</v>
      </c>
      <c r="V23" s="15" cm="1">
        <f t="array" ref="V23">EVAL($AH$11,B23)</f>
        <v>0.31968948930055119</v>
      </c>
      <c r="W23" s="15" cm="1">
        <f t="array" ref="W23">EVAL($AH$12,B23)</f>
        <v>1.1792648383545501</v>
      </c>
      <c r="X23" s="15" cm="1">
        <f t="array" ref="X23">EVAL($AH$13,B23)</f>
        <v>0.19997470691878402</v>
      </c>
      <c r="Y23" s="15" cm="1">
        <f t="array" ref="Y23">EVAL($AH$14,B23)</f>
        <v>0.19997470691878402</v>
      </c>
      <c r="Z23" s="15"/>
      <c r="AA23" s="15"/>
      <c r="AB23" s="15"/>
      <c r="AC23" s="15"/>
      <c r="AD23" s="15"/>
    </row>
    <row r="24" spans="1:33" x14ac:dyDescent="0.25">
      <c r="A24" s="20">
        <v>3.1</v>
      </c>
      <c r="B24" s="41">
        <f t="shared" si="0"/>
        <v>9.7389372261283587</v>
      </c>
      <c r="C24" s="15" cm="1">
        <f t="array" ref="C24">EVAL($AG$6,B24)</f>
        <v>69.243240453763363</v>
      </c>
      <c r="D24" s="15" cm="1">
        <f t="array" ref="D24">EVAL($AG$7,B24)</f>
        <v>2.0091950666407605</v>
      </c>
      <c r="E24" s="15"/>
      <c r="F24" s="15" cm="1">
        <f t="array" ref="F24">EVAL($AG$9,B24)</f>
        <v>0.21417188727289263</v>
      </c>
      <c r="G24" s="15" cm="1">
        <f t="array" ref="G24">EVAL($AG$10,B24)</f>
        <v>0.21417188727289263</v>
      </c>
      <c r="H24" s="15" cm="1">
        <f t="array" ref="H24">EVAL($AG$11,B24)</f>
        <v>0.21417188727289263</v>
      </c>
      <c r="I24" s="15" cm="1">
        <f t="array" ref="I24">EVAL($AG$12,B24)</f>
        <v>0.24107811785082378</v>
      </c>
      <c r="J24" s="15" cm="1">
        <f t="array" ref="J24">EVAL($AG$13,B24)</f>
        <v>23.10856493451065</v>
      </c>
      <c r="K24" s="15" cm="1">
        <f t="array" ref="K24">EVAL($AG$14,B24)</f>
        <v>0.21279717638322196</v>
      </c>
      <c r="L24" s="15" cm="1">
        <f t="array" ref="L24">EVAL($AG$15,B24)</f>
        <v>17.919143791256591</v>
      </c>
      <c r="M24" s="15" cm="1">
        <f t="array" ref="M24">EVAL($AG$16,B24)</f>
        <v>0.2913492967565422</v>
      </c>
      <c r="N24" s="15" cm="1">
        <f t="array" ref="N24">EVAL($AG$17,B24)</f>
        <v>16.044689865938121</v>
      </c>
      <c r="O24" s="15" cm="1">
        <f t="array" ref="O24">EVAL($AG$18,B24)</f>
        <v>3.0504041637689619E-2</v>
      </c>
      <c r="P24" s="15" cm="1">
        <f t="array" ref="P24">EVAL($AG$19,B24)</f>
        <v>3.0504041637689619E-2</v>
      </c>
      <c r="Q24" s="15" cm="1">
        <f t="array" ref="Q24">EVAL($AH$6,B24)</f>
        <v>0.46625469545003106</v>
      </c>
      <c r="R24" s="15" cm="1">
        <f t="array" ref="R24">EVAL($AH$7,B24)</f>
        <v>0.46625469545003106</v>
      </c>
      <c r="S24" s="15"/>
      <c r="T24" s="15" cm="1">
        <f t="array" ref="T24">EVAL($AH$9,B24)</f>
        <v>0.32381031070696259</v>
      </c>
      <c r="U24" s="15" cm="1">
        <f t="array" ref="U24">EVAL($AH$10,B24)</f>
        <v>0.32381031070696259</v>
      </c>
      <c r="V24" s="15" cm="1">
        <f t="array" ref="V24">EVAL($AH$11,B24)</f>
        <v>0.32381031070696259</v>
      </c>
      <c r="W24" s="15" cm="1">
        <f t="array" ref="W24">EVAL($AH$12,B24)</f>
        <v>1.2378316036051038</v>
      </c>
      <c r="X24" s="15" cm="1">
        <f t="array" ref="X24">EVAL($AH$13,B24)</f>
        <v>0.20168949534372935</v>
      </c>
      <c r="Y24" s="15" cm="1">
        <f t="array" ref="Y24">EVAL($AH$14,B24)</f>
        <v>0.20168949534372935</v>
      </c>
      <c r="Z24" s="15"/>
      <c r="AA24" s="15"/>
      <c r="AB24" s="15"/>
      <c r="AC24" s="15"/>
      <c r="AD24" s="15"/>
    </row>
    <row r="25" spans="1:33" x14ac:dyDescent="0.25">
      <c r="A25" s="20">
        <v>3.2</v>
      </c>
      <c r="B25" s="41">
        <f t="shared" si="0"/>
        <v>10.053096491487338</v>
      </c>
      <c r="C25" s="15" cm="1">
        <f t="array" ref="C25">EVAL($AG$6,B25)</f>
        <v>70.780232122996964</v>
      </c>
      <c r="D25" s="15" cm="1">
        <f t="array" ref="D25">EVAL($AG$7,B25)</f>
        <v>2.0272258076910701</v>
      </c>
      <c r="E25" s="15"/>
      <c r="F25" s="15" cm="1">
        <f t="array" ref="F25">EVAL($AG$9,B25)</f>
        <v>0.2211936929888591</v>
      </c>
      <c r="G25" s="15" cm="1">
        <f t="array" ref="G25">EVAL($AG$10,B25)</f>
        <v>0.2211936929888591</v>
      </c>
      <c r="H25" s="15" cm="1">
        <f t="array" ref="H25">EVAL($AG$11,B25)</f>
        <v>0.2211936929888591</v>
      </c>
      <c r="I25" s="15" cm="1">
        <f t="array" ref="I25">EVAL($AG$12,B25)</f>
        <v>0.24841514471102713</v>
      </c>
      <c r="J25" s="15" cm="1">
        <f t="array" ref="J25">EVAL($AG$13,B25)</f>
        <v>23.665268263960417</v>
      </c>
      <c r="K25" s="15" cm="1">
        <f t="array" ref="K25">EVAL($AG$14,B25)</f>
        <v>0.21870268751315247</v>
      </c>
      <c r="L25" s="15" cm="1">
        <f t="array" ref="L25">EVAL($AG$15,B25)</f>
        <v>18.268342807391946</v>
      </c>
      <c r="M25" s="15" cm="1">
        <f t="array" ref="M25">EVAL($AG$16,B25)</f>
        <v>0.29610329594840501</v>
      </c>
      <c r="N25" s="15" cm="1">
        <f t="array" ref="N25">EVAL($AG$17,B25)</f>
        <v>16.254082593605045</v>
      </c>
      <c r="O25" s="15" cm="1">
        <f t="array" ref="O25">EVAL($AG$18,B25)</f>
        <v>2.9973155289271847E-2</v>
      </c>
      <c r="P25" s="15" cm="1">
        <f t="array" ref="P25">EVAL($AG$19,B25)</f>
        <v>2.9973155289271847E-2</v>
      </c>
      <c r="Q25" s="15" cm="1">
        <f t="array" ref="Q25">EVAL($AH$6,B25)</f>
        <v>0.47241308295328427</v>
      </c>
      <c r="R25" s="15" cm="1">
        <f t="array" ref="R25">EVAL($AH$7,B25)</f>
        <v>0.47241308295328427</v>
      </c>
      <c r="S25" s="15"/>
      <c r="T25" s="15" cm="1">
        <f t="array" ref="T25">EVAL($AH$9,B25)</f>
        <v>0.32785089779036103</v>
      </c>
      <c r="U25" s="15" cm="1">
        <f t="array" ref="U25">EVAL($AH$10,B25)</f>
        <v>0.32785089779036103</v>
      </c>
      <c r="V25" s="15" cm="1">
        <f t="array" ref="V25">EVAL($AH$11,B25)</f>
        <v>0.32785089779036103</v>
      </c>
      <c r="W25" s="15" cm="1">
        <f t="array" ref="W25">EVAL($AH$12,B25)</f>
        <v>1.2973089336642296</v>
      </c>
      <c r="X25" s="15" cm="1">
        <f t="array" ref="X25">EVAL($AH$13,B25)</f>
        <v>0.20336384691770912</v>
      </c>
      <c r="Y25" s="15" cm="1">
        <f t="array" ref="Y25">EVAL($AH$14,B25)</f>
        <v>0.20336384691770912</v>
      </c>
      <c r="Z25" s="15"/>
      <c r="AA25" s="15"/>
      <c r="AB25" s="15"/>
      <c r="AC25" s="15"/>
      <c r="AD25" s="15"/>
    </row>
    <row r="26" spans="1:33" x14ac:dyDescent="0.25">
      <c r="A26" s="20">
        <v>3.3</v>
      </c>
      <c r="B26" s="41">
        <f t="shared" si="0"/>
        <v>10.367255756846317</v>
      </c>
      <c r="C26" s="15" cm="1">
        <f t="array" ref="C26">EVAL($AG$6,B26)</f>
        <v>72.302474670001885</v>
      </c>
      <c r="D26" s="15" cm="1">
        <f t="array" ref="D26">EVAL($AG$7,B26)</f>
        <v>2.0448560707374805</v>
      </c>
      <c r="E26" s="15"/>
      <c r="F26" s="15" cm="1">
        <f t="array" ref="F26">EVAL($AG$9,B26)</f>
        <v>0.2282190330105954</v>
      </c>
      <c r="G26" s="15" cm="1">
        <f t="array" ref="G26">EVAL($AG$10,B26)</f>
        <v>0.2282190330105954</v>
      </c>
      <c r="H26" s="15" cm="1">
        <f t="array" ref="H26">EVAL($AG$11,B26)</f>
        <v>0.2282190330105954</v>
      </c>
      <c r="I26" s="15" cm="1">
        <f t="array" ref="I26">EVAL($AG$12,B26)</f>
        <v>0.25573940953353747</v>
      </c>
      <c r="J26" s="15" cm="1">
        <f t="array" ref="J26">EVAL($AG$13,B26)</f>
        <v>24.217635050212511</v>
      </c>
      <c r="K26" s="15" cm="1">
        <f t="array" ref="K26">EVAL($AG$14,B26)</f>
        <v>0.22458281830546101</v>
      </c>
      <c r="L26" s="15" cm="1">
        <f t="array" ref="L26">EVAL($AG$15,B26)</f>
        <v>18.613288328627529</v>
      </c>
      <c r="M26" s="15" cm="1">
        <f t="array" ref="M26">EVAL($AG$16,B26)</f>
        <v>0.30078501023366433</v>
      </c>
      <c r="N26" s="15" cm="1">
        <f t="array" ref="N26">EVAL($AG$17,B26)</f>
        <v>16.459638935774841</v>
      </c>
      <c r="O26" s="15" cm="1">
        <f t="array" ref="O26">EVAL($AG$18,B26)</f>
        <v>2.9467425418329349E-2</v>
      </c>
      <c r="P26" s="15" cm="1">
        <f t="array" ref="P26">EVAL($AG$19,B26)</f>
        <v>2.9467425418329349E-2</v>
      </c>
      <c r="Q26" s="15" cm="1">
        <f t="array" ref="Q26">EVAL($AH$6,B26)</f>
        <v>0.47845956569515269</v>
      </c>
      <c r="R26" s="15" cm="1">
        <f t="array" ref="R26">EVAL($AH$7,B26)</f>
        <v>0.47845956569515269</v>
      </c>
      <c r="S26" s="15"/>
      <c r="T26" s="15" cm="1">
        <f t="array" ref="T26">EVAL($AH$9,B26)</f>
        <v>0.3318152489635684</v>
      </c>
      <c r="U26" s="15" cm="1">
        <f t="array" ref="U26">EVAL($AH$10,B26)</f>
        <v>0.3318152489635684</v>
      </c>
      <c r="V26" s="15" cm="1">
        <f t="array" ref="V26">EVAL($AH$11,B26)</f>
        <v>0.3318152489635684</v>
      </c>
      <c r="W26" s="15" cm="1">
        <f t="array" ref="W26">EVAL($AH$12,B26)</f>
        <v>1.3576818641546728</v>
      </c>
      <c r="X26" s="15" cm="1">
        <f t="array" ref="X26">EVAL($AH$13,B26)</f>
        <v>0.20499993538958017</v>
      </c>
      <c r="Y26" s="15" cm="1">
        <f t="array" ref="Y26">EVAL($AH$14,B26)</f>
        <v>0.20499993538958017</v>
      </c>
      <c r="Z26" s="15"/>
      <c r="AA26" s="15"/>
      <c r="AB26" s="15"/>
      <c r="AC26" s="15"/>
      <c r="AD26" s="15"/>
    </row>
    <row r="27" spans="1:33" x14ac:dyDescent="0.25">
      <c r="A27" s="20">
        <v>3.4</v>
      </c>
      <c r="B27" s="41">
        <f t="shared" si="0"/>
        <v>10.681415022205297</v>
      </c>
      <c r="C27" s="15" cm="1">
        <f t="array" ref="C27">EVAL($AG$6,B27)</f>
        <v>73.81055037486874</v>
      </c>
      <c r="D27" s="15" cm="1">
        <f t="array" ref="D27">EVAL($AG$7,B27)</f>
        <v>2.0621064930819784</v>
      </c>
      <c r="F27" s="15" cm="1">
        <f t="array" ref="F27">EVAL($AG$9,B27)</f>
        <v>0.23524780190373509</v>
      </c>
      <c r="G27" s="15" cm="1">
        <f t="array" ref="G27">EVAL($AG$10,B27)</f>
        <v>0.23524780190373509</v>
      </c>
      <c r="H27" s="15" cm="1">
        <f t="array" ref="H27">EVAL($AG$11,B27)</f>
        <v>0.23524780190373509</v>
      </c>
      <c r="I27" s="15" cm="1">
        <f t="array" ref="I27">EVAL($AG$12,B27)</f>
        <v>0.26305132036996148</v>
      </c>
      <c r="J27" s="15" cm="1">
        <f t="array" ref="J27">EVAL($AG$13,B27)</f>
        <v>24.765829012021076</v>
      </c>
      <c r="K27" s="15" cm="1">
        <f t="array" ref="K27">EVAL($AG$14,B27)</f>
        <v>0.2304384422899495</v>
      </c>
      <c r="L27" s="15" cm="1">
        <f t="array" ref="L27">EVAL($AG$15,B27)</f>
        <v>18.95415878134013</v>
      </c>
      <c r="M27" s="15" cm="1">
        <f t="array" ref="M27">EVAL($AG$16,B27)</f>
        <v>0.3053976806983999</v>
      </c>
      <c r="N27" s="15" cm="1">
        <f t="array" ref="N27">EVAL($AG$17,B27)</f>
        <v>16.661542330267427</v>
      </c>
      <c r="O27" s="15" cm="1">
        <f t="array" ref="O27">EVAL($AG$18,B27)</f>
        <v>2.8984950340659985E-2</v>
      </c>
      <c r="P27" s="15" cm="1">
        <f t="array" ref="P27">EVAL($AG$19,B27)</f>
        <v>2.8984950340659985E-2</v>
      </c>
      <c r="Q27" s="15" cm="1">
        <f t="array" ref="Q27">EVAL($AH$6,B27)</f>
        <v>0.48439947835420089</v>
      </c>
      <c r="R27" s="15" cm="1">
        <f t="array" ref="R27">EVAL($AH$7,B27)</f>
        <v>0.48439947835420089</v>
      </c>
      <c r="T27" s="15" cm="1">
        <f t="array" ref="T27">EVAL($AH$9,B27)</f>
        <v>0.33570704924342087</v>
      </c>
      <c r="U27" s="15" cm="1">
        <f t="array" ref="U27">EVAL($AH$10,B27)</f>
        <v>0.33570704924342087</v>
      </c>
      <c r="V27" s="15" cm="1">
        <f t="array" ref="V27">EVAL($AH$11,B27)</f>
        <v>0.33570704924342087</v>
      </c>
      <c r="W27" s="15" cm="1">
        <f t="array" ref="W27">EVAL($AH$12,B27)</f>
        <v>1.4189361261659408</v>
      </c>
      <c r="X27" s="15" cm="1">
        <f t="array" ref="X27">EVAL($AH$13,B27)</f>
        <v>0.20659975598162356</v>
      </c>
      <c r="Y27" s="15" cm="1">
        <f t="array" ref="Y27">EVAL($AH$14,B27)</f>
        <v>0.20659975598162356</v>
      </c>
    </row>
    <row r="28" spans="1:33" x14ac:dyDescent="0.25">
      <c r="A28" s="20">
        <v>3.5</v>
      </c>
      <c r="B28" s="41">
        <f t="shared" si="0"/>
        <v>10.995574287564276</v>
      </c>
      <c r="C28" s="15" cm="1">
        <f t="array" ref="C28">EVAL($AG$6,B28)</f>
        <v>75.305002144826958</v>
      </c>
      <c r="D28" s="15" cm="1">
        <f t="array" ref="D28">EVAL($AG$7,B28)</f>
        <v>2.0789960785752166</v>
      </c>
      <c r="F28" s="15" cm="1">
        <f t="array" ref="F28">EVAL($AG$9,B28)</f>
        <v>0.24227990039021849</v>
      </c>
      <c r="G28" s="15" cm="1">
        <f t="array" ref="G28">EVAL($AG$10,B28)</f>
        <v>0.24227990039021849</v>
      </c>
      <c r="H28" s="15" cm="1">
        <f t="array" ref="H28">EVAL($AG$11,B28)</f>
        <v>0.24227990039021849</v>
      </c>
      <c r="I28" s="15" cm="1">
        <f t="array" ref="I28">EVAL($AG$12,B28)</f>
        <v>0.27035126060969561</v>
      </c>
      <c r="J28" s="15" cm="1">
        <f t="array" ref="J28">EVAL($AG$13,B28)</f>
        <v>25.310003068019689</v>
      </c>
      <c r="K28" s="15" cm="1">
        <f t="array" ref="K28">EVAL($AG$14,B28)</f>
        <v>0.23627037815925461</v>
      </c>
      <c r="L28" s="15" cm="1">
        <f t="array" ref="L28">EVAL($AG$15,B28)</f>
        <v>19.291120105497111</v>
      </c>
      <c r="M28" s="15" cm="1">
        <f t="array" ref="M28">EVAL($AG$16,B28)</f>
        <v>0.3099443126550171</v>
      </c>
      <c r="N28" s="15" cm="1">
        <f t="array" ref="N28">EVAL($AG$17,B28)</f>
        <v>16.859962348051251</v>
      </c>
      <c r="O28" s="15" cm="1">
        <f t="array" ref="O28">EVAL($AG$18,B28)</f>
        <v>2.8524022689597368E-2</v>
      </c>
      <c r="P28" s="15" cm="1">
        <f t="array" ref="P28">EVAL($AG$19,B28)</f>
        <v>2.8524022689597368E-2</v>
      </c>
      <c r="Q28" s="15" cm="1">
        <f t="array" ref="Q28">EVAL($AH$6,B28)</f>
        <v>0.49023775307115425</v>
      </c>
      <c r="R28" s="15" cm="1">
        <f t="array" ref="R28">EVAL($AH$7,B28)</f>
        <v>0.49023775307115425</v>
      </c>
      <c r="T28" s="15" cm="1">
        <f t="array" ref="T28">EVAL($AH$9,B28)</f>
        <v>0.33952970324084464</v>
      </c>
      <c r="U28" s="15" cm="1">
        <f t="array" ref="U28">EVAL($AH$10,B28)</f>
        <v>0.33952970324084464</v>
      </c>
      <c r="V28" s="15" cm="1">
        <f t="array" ref="V28">EVAL($AH$11,B28)</f>
        <v>0.33952970324084464</v>
      </c>
      <c r="W28" s="15" cm="1">
        <f t="array" ref="W28">EVAL($AH$12,B28)</f>
        <v>1.4810580942713358</v>
      </c>
      <c r="X28" s="15" cm="1">
        <f t="array" ref="X28">EVAL($AH$13,B28)</f>
        <v>0.20816514482277329</v>
      </c>
      <c r="Y28" s="15" cm="1">
        <f t="array" ref="Y28">EVAL($AH$14,B28)</f>
        <v>0.20816514482277329</v>
      </c>
    </row>
    <row r="29" spans="1:33" x14ac:dyDescent="0.25">
      <c r="A29" s="20">
        <v>3.6</v>
      </c>
      <c r="B29" s="41">
        <f t="shared" si="0"/>
        <v>11.309733552923255</v>
      </c>
      <c r="C29" s="15" cm="1">
        <f t="array" ref="C29">EVAL($AG$6,B29)</f>
        <v>76.786337221688868</v>
      </c>
      <c r="D29" s="15" cm="1">
        <f t="array" ref="D29">EVAL($AG$7,B29)</f>
        <v>2.0955423694734456</v>
      </c>
      <c r="F29" s="15" cm="1">
        <f t="array" ref="F29">EVAL($AG$9,B29)</f>
        <v>0.24931523482301973</v>
      </c>
      <c r="G29" s="15" cm="1">
        <f t="array" ref="G29">EVAL($AG$10,B29)</f>
        <v>0.24931523482301973</v>
      </c>
      <c r="H29" s="15" cm="1">
        <f t="array" ref="H29">EVAL($AG$11,B29)</f>
        <v>0.24931523482301973</v>
      </c>
      <c r="I29" s="15" cm="1">
        <f t="array" ref="I29">EVAL($AG$12,B29)</f>
        <v>0.27763959113257136</v>
      </c>
      <c r="J29" s="15" cm="1">
        <f t="array" ref="J29">EVAL($AG$13,B29)</f>
        <v>25.850300336606772</v>
      </c>
      <c r="K29" s="15" cm="1">
        <f t="array" ref="K29">EVAL($AG$14,B29)</f>
        <v>0.24207939467810519</v>
      </c>
      <c r="L29" s="15" cm="1">
        <f t="array" ref="L29">EVAL($AG$15,B29)</f>
        <v>19.624326958664586</v>
      </c>
      <c r="M29" s="15" cm="1">
        <f t="array" ref="M29">EVAL($AG$16,B29)</f>
        <v>0.31442769900128847</v>
      </c>
      <c r="N29" s="15" cm="1">
        <f t="array" ref="N29">EVAL($AG$17,B29)</f>
        <v>17.05505610493892</v>
      </c>
      <c r="O29" s="15" cm="1">
        <f t="array" ref="O29">EVAL($AG$18,B29)</f>
        <v>2.8083104682436588E-2</v>
      </c>
      <c r="P29" s="15" cm="1">
        <f t="array" ref="P29">EVAL($AG$19,B29)</f>
        <v>2.8083104682436588E-2</v>
      </c>
      <c r="Q29" s="15" cm="1">
        <f t="array" ref="Q29">EVAL($AH$6,B29)</f>
        <v>0.49597896037568551</v>
      </c>
      <c r="R29" s="15" cm="1">
        <f t="array" ref="R29">EVAL($AH$7,B29)</f>
        <v>0.49597896037568551</v>
      </c>
      <c r="T29" s="15" cm="1">
        <f t="array" ref="T29">EVAL($AH$9,B29)</f>
        <v>0.34328636384131711</v>
      </c>
      <c r="U29" s="15" cm="1">
        <f t="array" ref="U29">EVAL($AH$10,B29)</f>
        <v>0.34328636384131711</v>
      </c>
      <c r="V29" s="15" cm="1">
        <f t="array" ref="V29">EVAL($AH$11,B29)</f>
        <v>0.34328636384131711</v>
      </c>
      <c r="W29" s="15" cm="1">
        <f t="array" ref="W29">EVAL($AH$12,B29)</f>
        <v>1.5440347398158945</v>
      </c>
      <c r="X29" s="15" cm="1">
        <f t="array" ref="X29">EVAL($AH$13,B29)</f>
        <v>0.20969779577641617</v>
      </c>
      <c r="Y29" s="15" cm="1">
        <f t="array" ref="Y29">EVAL($AH$14,B29)</f>
        <v>0.20969779577641617</v>
      </c>
    </row>
    <row r="30" spans="1:33" x14ac:dyDescent="0.25">
      <c r="A30" s="20">
        <v>3.7</v>
      </c>
      <c r="B30" s="41">
        <f t="shared" si="0"/>
        <v>11.623892818282235</v>
      </c>
      <c r="C30" s="15" cm="1">
        <f t="array" ref="C30">EVAL($AG$6,B30)</f>
        <v>78.25503044720783</v>
      </c>
      <c r="D30" s="15" cm="1">
        <f t="array" ref="D30">EVAL($AG$7,B30)</f>
        <v>2.1117615959813301</v>
      </c>
      <c r="F30" s="15" cm="1">
        <f t="array" ref="F30">EVAL($AG$9,B30)</f>
        <v>0.25635371671905299</v>
      </c>
      <c r="G30" s="15" cm="1">
        <f t="array" ref="G30">EVAL($AG$10,B30)</f>
        <v>0.25635371671905299</v>
      </c>
      <c r="H30" s="15" cm="1">
        <f t="array" ref="H30">EVAL($AG$11,B30)</f>
        <v>0.25635371671905299</v>
      </c>
      <c r="I30" s="15" cm="1">
        <f t="array" ref="I30">EVAL($AG$12,B30)</f>
        <v>0.28491665221901269</v>
      </c>
      <c r="J30" s="15" cm="1">
        <f t="array" ref="J30">EVAL($AG$13,B30)</f>
        <v>26.386855018118535</v>
      </c>
      <c r="K30" s="15" cm="1">
        <f t="array" ref="K30">EVAL($AG$14,B30)</f>
        <v>0.24786621502902553</v>
      </c>
      <c r="L30" s="15" cm="1">
        <f t="array" ref="L30">EVAL($AG$15,B30)</f>
        <v>19.953923773832756</v>
      </c>
      <c r="M30" s="15" cm="1">
        <f t="array" ref="M30">EVAL($AG$16,B30)</f>
        <v>0.31885044068395013</v>
      </c>
      <c r="N30" s="15" cm="1">
        <f t="array" ref="N30">EVAL($AG$17,B30)</f>
        <v>17.246969494601057</v>
      </c>
      <c r="O30" s="15" cm="1">
        <f t="array" ref="O30">EVAL($AG$18,B30)</f>
        <v>2.7660807122191614E-2</v>
      </c>
      <c r="P30" s="15" cm="1">
        <f t="array" ref="P30">EVAL($AG$19,B30)</f>
        <v>2.7660807122191614E-2</v>
      </c>
      <c r="Q30" s="15" cm="1">
        <f t="array" ref="Q30">EVAL($AH$6,B30)</f>
        <v>0.50162734493816874</v>
      </c>
      <c r="R30" s="15" cm="1">
        <f t="array" ref="R30">EVAL($AH$7,B30)</f>
        <v>0.50162734493816874</v>
      </c>
      <c r="T30" s="15" cm="1">
        <f t="array" ref="T30">EVAL($AH$9,B30)</f>
        <v>0.34697995724201064</v>
      </c>
      <c r="U30" s="15" cm="1">
        <f t="array" ref="U30">EVAL($AH$10,B30)</f>
        <v>0.34697995724201064</v>
      </c>
      <c r="V30" s="15" cm="1">
        <f t="array" ref="V30">EVAL($AH$11,B30)</f>
        <v>0.34697995724201064</v>
      </c>
      <c r="W30" s="15" cm="1">
        <f t="array" ref="W30">EVAL($AH$12,B30)</f>
        <v>1.607853588808148</v>
      </c>
      <c r="X30" s="15" cm="1">
        <f t="array" ref="X30">EVAL($AH$13,B30)</f>
        <v>0.21119927507417324</v>
      </c>
      <c r="Y30" s="15" cm="1">
        <f t="array" ref="Y30">EVAL($AH$14,B30)</f>
        <v>0.21119927507417324</v>
      </c>
    </row>
    <row r="31" spans="1:33" x14ac:dyDescent="0.25">
      <c r="A31" s="20">
        <v>3.8</v>
      </c>
      <c r="B31" s="41">
        <f t="shared" si="0"/>
        <v>11.938052083641214</v>
      </c>
      <c r="C31" s="15" cm="1">
        <f t="array" ref="C31">EVAL($AG$6,B31)</f>
        <v>79.711527149561164</v>
      </c>
      <c r="D31" s="15" cm="1">
        <f t="array" ref="D31">EVAL($AG$7,B31)</f>
        <v>2.127668806898201</v>
      </c>
      <c r="F31" s="15" cm="1">
        <f t="array" ref="F31">EVAL($AG$9,B31)</f>
        <v>0.26339526234242733</v>
      </c>
      <c r="G31" s="15" cm="1">
        <f t="array" ref="G31">EVAL($AG$10,B31)</f>
        <v>0.26339526234242733</v>
      </c>
      <c r="H31" s="15" cm="1">
        <f t="array" ref="H31">EVAL($AG$11,B31)</f>
        <v>0.26339526234242733</v>
      </c>
      <c r="I31" s="15" cm="1">
        <f t="array" ref="I31">EVAL($AG$12,B31)</f>
        <v>0.29218276525084813</v>
      </c>
      <c r="J31" s="15" cm="1">
        <f t="array" ref="J31">EVAL($AG$13,B31)</f>
        <v>26.919793175949181</v>
      </c>
      <c r="K31" s="15" cm="1">
        <f t="array" ref="K31">EVAL($AG$14,B31)</f>
        <v>0.25363152067265976</v>
      </c>
      <c r="L31" s="15" cm="1">
        <f t="array" ref="L31">EVAL($AG$15,B31)</f>
        <v>20.280045692264494</v>
      </c>
      <c r="M31" s="15" cm="1">
        <f t="array" ref="M31">EVAL($AG$16,B31)</f>
        <v>0.32321496469393979</v>
      </c>
      <c r="N31" s="15" cm="1">
        <f t="array" ref="N31">EVAL($AG$17,B31)</f>
        <v>17.43583826970378</v>
      </c>
      <c r="O31" s="15" cm="1">
        <f t="array" ref="O31">EVAL($AG$18,B31)</f>
        <v>2.7255871486583927E-2</v>
      </c>
      <c r="P31" s="15" cm="1">
        <f t="array" ref="P31">EVAL($AG$19,B31)</f>
        <v>2.7255871486583927E-2</v>
      </c>
      <c r="Q31" s="15" cm="1">
        <f t="array" ref="Q31">EVAL($AH$6,B31)</f>
        <v>0.50718685692211896</v>
      </c>
      <c r="R31" s="15" cm="1">
        <f t="array" ref="R31">EVAL($AH$7,B31)</f>
        <v>0.50718685692211896</v>
      </c>
      <c r="T31" s="15" cm="1">
        <f t="array" ref="T31">EVAL($AH$9,B31)</f>
        <v>0.35061320489378744</v>
      </c>
      <c r="U31" s="15" cm="1">
        <f t="array" ref="U31">EVAL($AH$10,B31)</f>
        <v>0.35061320489378744</v>
      </c>
      <c r="V31" s="15" cm="1">
        <f t="array" ref="V31">EVAL($AH$11,B31)</f>
        <v>0.35061320489378744</v>
      </c>
      <c r="W31" s="15" cm="1">
        <f t="array" ref="W31">EVAL($AH$12,B31)</f>
        <v>1.6725026838490111</v>
      </c>
      <c r="X31" s="15" cm="1">
        <f t="array" ref="X31">EVAL($AH$13,B31)</f>
        <v>0.21267103409282731</v>
      </c>
      <c r="Y31" s="15" cm="1">
        <f t="array" ref="Y31">EVAL($AH$14,B31)</f>
        <v>0.21267103409282731</v>
      </c>
    </row>
    <row r="32" spans="1:33" x14ac:dyDescent="0.25">
      <c r="A32" s="20">
        <v>3.9</v>
      </c>
      <c r="B32" s="41">
        <f t="shared" si="0"/>
        <v>12.252211349000193</v>
      </c>
      <c r="C32" s="15" cm="1">
        <f t="array" ref="C32">EVAL($AG$6,B32)</f>
        <v>81.156245703699923</v>
      </c>
      <c r="D32" s="15" cm="1">
        <f t="array" ref="D32">EVAL($AG$7,B32)</f>
        <v>2.1432779841862724</v>
      </c>
      <c r="F32" s="15" cm="1">
        <f t="array" ref="F32">EVAL($AG$9,B32)</f>
        <v>0.27043979233140775</v>
      </c>
      <c r="G32" s="15" cm="1">
        <f t="array" ref="G32">EVAL($AG$10,B32)</f>
        <v>0.27043979233140775</v>
      </c>
      <c r="H32" s="15" cm="1">
        <f t="array" ref="H32">EVAL($AG$11,B32)</f>
        <v>0.27043979233140775</v>
      </c>
      <c r="I32" s="15" cm="1">
        <f t="array" ref="I32">EVAL($AG$12,B32)</f>
        <v>0.29943823423060223</v>
      </c>
      <c r="J32" s="15" cm="1">
        <f t="array" ref="J32">EVAL($AG$13,B32)</f>
        <v>27.449233430541234</v>
      </c>
      <c r="K32" s="15" cm="1">
        <f t="array" ref="K32">EVAL($AG$14,B32)</f>
        <v>0.25937595478824904</v>
      </c>
      <c r="L32" s="15" cm="1">
        <f t="array" ref="L32">EVAL($AG$15,B32)</f>
        <v>20.602819389019874</v>
      </c>
      <c r="M32" s="15" cm="1">
        <f t="array" ref="M32">EVAL($AG$16,B32)</f>
        <v>0.32752353994781386</v>
      </c>
      <c r="N32" s="15" cm="1">
        <f t="array" ref="N32">EVAL($AG$17,B32)</f>
        <v>17.621788993357299</v>
      </c>
      <c r="O32" s="15" cm="1">
        <f t="array" ref="O32">EVAL($AG$18,B32)</f>
        <v>2.686715458243363E-2</v>
      </c>
      <c r="P32" s="15" cm="1">
        <f t="array" ref="P32">EVAL($AG$19,B32)</f>
        <v>2.686715458243363E-2</v>
      </c>
      <c r="Q32" s="15" cm="1">
        <f t="array" ref="Q32">EVAL($AH$6,B32)</f>
        <v>0.5126611795794892</v>
      </c>
      <c r="R32" s="15" cm="1">
        <f t="array" ref="R32">EVAL($AH$7,B32)</f>
        <v>0.5126611795794892</v>
      </c>
      <c r="T32" s="15" cm="1">
        <f t="array" ref="T32">EVAL($AH$9,B32)</f>
        <v>0.35418864280154411</v>
      </c>
      <c r="U32" s="15" cm="1">
        <f t="array" ref="U32">EVAL($AH$10,B32)</f>
        <v>0.35418864280154411</v>
      </c>
      <c r="V32" s="15" cm="1">
        <f t="array" ref="V32">EVAL($AH$11,B32)</f>
        <v>0.35418864280154411</v>
      </c>
      <c r="W32" s="15" cm="1">
        <f t="array" ref="W32">EVAL($AH$12,B32)</f>
        <v>1.7379705496136559</v>
      </c>
      <c r="X32" s="15" cm="1">
        <f t="array" ref="X32">EVAL($AH$13,B32)</f>
        <v>0.21411442055229621</v>
      </c>
      <c r="Y32" s="15" cm="1">
        <f t="array" ref="Y32">EVAL($AH$14,B32)</f>
        <v>0.21411442055229621</v>
      </c>
    </row>
    <row r="33" spans="1:25" x14ac:dyDescent="0.25">
      <c r="A33" s="20">
        <v>4</v>
      </c>
      <c r="B33" s="41">
        <f t="shared" si="0"/>
        <v>12.566370614359172</v>
      </c>
      <c r="C33" s="15" cm="1">
        <f t="array" ref="C33">EVAL($AG$6,B33)</f>
        <v>82.589579809818034</v>
      </c>
      <c r="D33" s="15" cm="1">
        <f t="array" ref="D33">EVAL($AG$7,B33)</f>
        <v>2.1586021437980802</v>
      </c>
      <c r="F33" s="15" cm="1">
        <f t="array" ref="F33">EVAL($AG$9,B33)</f>
        <v>0.27748723136353221</v>
      </c>
      <c r="G33" s="15" cm="1">
        <f t="array" ref="G33">EVAL($AG$10,B33)</f>
        <v>0.27748723136353221</v>
      </c>
      <c r="H33" s="15" cm="1">
        <f t="array" ref="H33">EVAL($AG$11,B33)</f>
        <v>0.27748723136353221</v>
      </c>
      <c r="I33" s="15" cm="1">
        <f t="array" ref="I33">EVAL($AG$12,B33)</f>
        <v>0.30668334714283324</v>
      </c>
      <c r="J33" s="15" cm="1">
        <f t="array" ref="J33">EVAL($AG$13,B33)</f>
        <v>27.975287577948521</v>
      </c>
      <c r="K33" s="15" cm="1">
        <f t="array" ref="K33">EVAL($AG$14,B33)</f>
        <v>0.26510012534953853</v>
      </c>
      <c r="L33" s="15" cm="1">
        <f t="array" ref="L33">EVAL($AG$15,B33)</f>
        <v>20.922363805931408</v>
      </c>
      <c r="M33" s="15" cm="1">
        <f t="array" ref="M33">EVAL($AG$16,B33)</f>
        <v>0.33177829135124809</v>
      </c>
      <c r="N33" s="15" cm="1">
        <f t="array" ref="N33">EVAL($AG$17,B33)</f>
        <v>17.80493987934074</v>
      </c>
      <c r="O33" s="15" cm="1">
        <f t="array" ref="O33">EVAL($AG$18,B33)</f>
        <v>2.6493615342729846E-2</v>
      </c>
      <c r="P33" s="15" cm="1">
        <f t="array" ref="P33">EVAL($AG$19,B33)</f>
        <v>2.6493615342729846E-2</v>
      </c>
      <c r="Q33" s="15" cm="1">
        <f t="array" ref="Q33">EVAL($AH$6,B33)</f>
        <v>0.51805375362332895</v>
      </c>
      <c r="R33" s="15" cm="1">
        <f t="array" ref="R33">EVAL($AH$7,B33)</f>
        <v>0.51805375362332895</v>
      </c>
      <c r="T33" s="15" cm="1">
        <f t="array" ref="T33">EVAL($AH$9,B33)</f>
        <v>0.3577086385601328</v>
      </c>
      <c r="U33" s="15" cm="1">
        <f t="array" ref="U33">EVAL($AH$10,B33)</f>
        <v>0.3577086385601328</v>
      </c>
      <c r="V33" s="15" cm="1">
        <f t="array" ref="V33">EVAL($AH$11,B33)</f>
        <v>0.3577086385601328</v>
      </c>
      <c r="W33" s="15" cm="1">
        <f t="array" ref="W33">EVAL($AH$12,B33)</f>
        <v>1.8042461614719096</v>
      </c>
      <c r="X33" s="15" cm="1">
        <f t="array" ref="X33">EVAL($AH$13,B33)</f>
        <v>0.21553068836496331</v>
      </c>
      <c r="Y33" s="15" cm="1">
        <f t="array" ref="Y33">EVAL($AH$14,B33)</f>
        <v>0.21553068836496331</v>
      </c>
    </row>
    <row r="34" spans="1:25" x14ac:dyDescent="0.25">
      <c r="A34" s="20">
        <v>4.0999999999999996</v>
      </c>
      <c r="B34" s="41">
        <f t="shared" si="0"/>
        <v>12.88052987971815</v>
      </c>
      <c r="C34" s="15" cm="1">
        <f t="array" ref="C34">EVAL($AG$6,B34)</f>
        <v>84.011900527222366</v>
      </c>
      <c r="D34" s="15" cm="1">
        <f t="array" ref="D34">EVAL($AG$7,B34)</f>
        <v>2.1736534247109836</v>
      </c>
      <c r="F34" s="15" cm="1">
        <f t="array" ref="F34">EVAL($AG$9,B34)</f>
        <v>0.28453750785409693</v>
      </c>
      <c r="G34" s="15" cm="1">
        <f t="array" ref="G34">EVAL($AG$10,B34)</f>
        <v>0.28453750785409693</v>
      </c>
      <c r="H34" s="15" cm="1">
        <f t="array" ref="H34">EVAL($AG$11,B34)</f>
        <v>0.28453750785409693</v>
      </c>
      <c r="I34" s="15" cm="1">
        <f t="array" ref="I34">EVAL($AG$12,B34)</f>
        <v>0.31391837717745363</v>
      </c>
      <c r="J34" s="15" cm="1">
        <f t="array" ref="J34">EVAL($AG$13,B34)</f>
        <v>28.498061142844904</v>
      </c>
      <c r="K34" s="15" cm="1">
        <f t="array" ref="K34">EVAL($AG$14,B34)</f>
        <v>0.27080460788287142</v>
      </c>
      <c r="L34" s="15" cm="1">
        <f t="array" ref="L34">EVAL($AG$15,B34)</f>
        <v>21.238790804450964</v>
      </c>
      <c r="M34" s="15" cm="1">
        <f t="array" ref="M34">EVAL($AG$16,B34)</f>
        <v>0.33598121229273853</v>
      </c>
      <c r="N34" s="15" cm="1">
        <f t="array" ref="N34">EVAL($AG$17,B34)</f>
        <v>17.985401536544146</v>
      </c>
      <c r="O34" s="15" cm="1">
        <f t="array" ref="O34">EVAL($AG$18,B34)</f>
        <v>2.6134303421978634E-2</v>
      </c>
      <c r="P34" s="15" cm="1">
        <f t="array" ref="P34">EVAL($AG$19,B34)</f>
        <v>2.6134303421978634E-2</v>
      </c>
      <c r="Q34" s="15" cm="1">
        <f t="array" ref="Q34">EVAL($AH$6,B34)</f>
        <v>0.52336779882483664</v>
      </c>
      <c r="R34" s="15" cm="1">
        <f t="array" ref="R34">EVAL($AH$7,B34)</f>
        <v>0.52336779882483664</v>
      </c>
      <c r="T34" s="15" cm="1">
        <f t="array" ref="T34">EVAL($AH$9,B34)</f>
        <v>0.36117540644115542</v>
      </c>
      <c r="U34" s="15" cm="1">
        <f t="array" ref="U34">EVAL($AH$10,B34)</f>
        <v>0.36117540644115542</v>
      </c>
      <c r="V34" s="15" cm="1">
        <f t="array" ref="V34">EVAL($AH$11,B34)</f>
        <v>0.36117540644115542</v>
      </c>
      <c r="W34" s="15" cm="1">
        <f t="array" ref="W34">EVAL($AH$12,B34)</f>
        <v>1.8713189168897186</v>
      </c>
      <c r="X34" s="15" cm="1">
        <f t="array" ref="X34">EVAL($AH$13,B34)</f>
        <v>0.2169210063281945</v>
      </c>
      <c r="Y34" s="15" cm="1">
        <f t="array" ref="Y34">EVAL($AH$14,B34)</f>
        <v>0.2169210063281945</v>
      </c>
    </row>
    <row r="35" spans="1:25" x14ac:dyDescent="0.25">
      <c r="A35" s="20">
        <v>4.2</v>
      </c>
      <c r="B35" s="41">
        <f t="shared" si="0"/>
        <v>13.194689145077131</v>
      </c>
      <c r="C35" s="15" cm="1">
        <f t="array" ref="C35">EVAL($AG$6,B35)</f>
        <v>85.423558095176674</v>
      </c>
      <c r="D35" s="15" cm="1">
        <f t="array" ref="D35">EVAL($AG$7,B35)</f>
        <v>2.1884431678000573</v>
      </c>
      <c r="F35" s="15" cm="1">
        <f t="array" ref="F35">EVAL($AG$9,B35)</f>
        <v>0.2915905536839713</v>
      </c>
      <c r="G35" s="15" cm="1">
        <f t="array" ref="G35">EVAL($AG$10,B35)</f>
        <v>0.2915905536839713</v>
      </c>
      <c r="H35" s="15" cm="1">
        <f t="array" ref="H35">EVAL($AG$11,B35)</f>
        <v>0.2915905536839713</v>
      </c>
      <c r="I35" s="15" cm="1">
        <f t="array" ref="I35">EVAL($AG$12,B35)</f>
        <v>0.32114358383207109</v>
      </c>
      <c r="J35" s="15" cm="1">
        <f t="array" ref="J35">EVAL($AG$13,B35)</f>
        <v>29.017653874354068</v>
      </c>
      <c r="K35" s="15" cm="1">
        <f t="array" ref="K35">EVAL($AG$14,B35)</f>
        <v>0.27648994794726611</v>
      </c>
      <c r="L35" s="15" cm="1">
        <f t="array" ref="L35">EVAL($AG$15,B35)</f>
        <v>21.552205748862761</v>
      </c>
      <c r="M35" s="15" cm="1">
        <f t="array" ref="M35">EVAL($AG$16,B35)</f>
        <v>0.34013417577658117</v>
      </c>
      <c r="N35" s="15" cm="1">
        <f t="array" ref="N35">EVAL($AG$17,B35)</f>
        <v>18.163277630603904</v>
      </c>
      <c r="O35" s="15" cm="1">
        <f t="array" ref="O35">EVAL($AG$18,B35)</f>
        <v>2.5788349307702824E-2</v>
      </c>
      <c r="P35" s="15" cm="1">
        <f t="array" ref="P35">EVAL($AG$19,B35)</f>
        <v>2.5788349307702824E-2</v>
      </c>
      <c r="Q35" s="15" cm="1">
        <f t="array" ref="Q35">EVAL($AH$6,B35)</f>
        <v>0.52860633321052375</v>
      </c>
      <c r="R35" s="15" cm="1">
        <f t="array" ref="R35">EVAL($AH$7,B35)</f>
        <v>0.52860633321052375</v>
      </c>
      <c r="T35" s="15" cm="1">
        <f t="array" ref="T35">EVAL($AH$9,B35)</f>
        <v>0.36459102079547068</v>
      </c>
      <c r="U35" s="15" cm="1">
        <f t="array" ref="U35">EVAL($AH$10,B35)</f>
        <v>0.36459102079547068</v>
      </c>
      <c r="V35" s="15" cm="1">
        <f t="array" ref="V35">EVAL($AH$11,B35)</f>
        <v>0.36459102079547068</v>
      </c>
      <c r="W35" s="15" cm="1">
        <f t="array" ref="W35">EVAL($AH$12,B35)</f>
        <v>1.9391786093031149</v>
      </c>
      <c r="X35" s="15" cm="1">
        <f t="array" ref="X35">EVAL($AH$13,B35)</f>
        <v>0.21828646582061126</v>
      </c>
      <c r="Y35" s="15" cm="1">
        <f t="array" ref="Y35">EVAL($AH$14,B35)</f>
        <v>0.21828646582061126</v>
      </c>
    </row>
    <row r="36" spans="1:25" x14ac:dyDescent="0.25">
      <c r="A36" s="20">
        <v>4.3</v>
      </c>
      <c r="B36" s="41">
        <f t="shared" si="0"/>
        <v>13.50884841043611</v>
      </c>
      <c r="C36" s="15" cm="1">
        <f t="array" ref="C36">EVAL($AG$6,B36)</f>
        <v>86.824883567553996</v>
      </c>
      <c r="D36" s="15" cm="1">
        <f t="array" ref="D36">EVAL($AG$7,B36)</f>
        <v>2.2029819859217579</v>
      </c>
      <c r="F36" s="15" cm="1">
        <f t="array" ref="F36">EVAL($AG$9,B36)</f>
        <v>0.29864630395322972</v>
      </c>
      <c r="G36" s="15" cm="1">
        <f t="array" ref="G36">EVAL($AG$10,B36)</f>
        <v>0.29864630395322972</v>
      </c>
      <c r="H36" s="15" cm="1">
        <f t="array" ref="H36">EVAL($AG$11,B36)</f>
        <v>0.29864630395322972</v>
      </c>
      <c r="I36" s="15" cm="1">
        <f t="array" ref="I36">EVAL($AG$12,B36)</f>
        <v>0.32835921390788114</v>
      </c>
      <c r="J36" s="15" cm="1">
        <f t="array" ref="J36">EVAL($AG$13,B36)</f>
        <v>29.534160191828562</v>
      </c>
      <c r="K36" s="15" cm="1">
        <f t="array" ref="K36">EVAL($AG$14,B36)</f>
        <v>0.28215666337042855</v>
      </c>
      <c r="L36" s="15" cm="1">
        <f t="array" ref="L36">EVAL($AG$15,B36)</f>
        <v>21.862708028764011</v>
      </c>
      <c r="M36" s="15" cm="1">
        <f t="array" ref="M36">EVAL($AG$16,B36)</f>
        <v>0.34423894437203906</v>
      </c>
      <c r="N36" s="15" cm="1">
        <f t="array" ref="N36">EVAL($AG$17,B36)</f>
        <v>18.338665473683147</v>
      </c>
      <c r="O36" s="15" cm="1">
        <f t="array" ref="O36">EVAL($AG$18,B36)</f>
        <v>2.5454955715794651E-2</v>
      </c>
      <c r="P36" s="15" cm="1">
        <f t="array" ref="P36">EVAL($AG$19,B36)</f>
        <v>2.5454955715794651E-2</v>
      </c>
      <c r="Q36" s="15" cm="1">
        <f t="array" ref="Q36">EVAL($AH$6,B36)</f>
        <v>0.53377219017662603</v>
      </c>
      <c r="R36" s="15" cm="1">
        <f t="array" ref="R36">EVAL($AH$7,B36)</f>
        <v>0.53377219017662603</v>
      </c>
      <c r="T36" s="15" cm="1">
        <f t="array" ref="T36">EVAL($AH$9,B36)</f>
        <v>0.3679574279948305</v>
      </c>
      <c r="U36" s="15" cm="1">
        <f t="array" ref="U36">EVAL($AH$10,B36)</f>
        <v>0.3679574279948305</v>
      </c>
      <c r="V36" s="15" cm="1">
        <f t="array" ref="V36">EVAL($AH$11,B36)</f>
        <v>0.3679574279948305</v>
      </c>
      <c r="W36" s="15" cm="1">
        <f t="array" ref="W36">EVAL($AH$12,B36)</f>
        <v>2.0078154041965055</v>
      </c>
      <c r="X36" s="15" cm="1">
        <f t="array" ref="X36">EVAL($AH$13,B36)</f>
        <v>0.21962808763712768</v>
      </c>
      <c r="Y36" s="15" cm="1">
        <f t="array" ref="Y36">EVAL($AH$14,B36)</f>
        <v>0.21962808763712768</v>
      </c>
    </row>
    <row r="37" spans="1:25" x14ac:dyDescent="0.25">
      <c r="A37" s="20">
        <v>4.4000000000000004</v>
      </c>
      <c r="B37" s="41">
        <f t="shared" si="0"/>
        <v>13.823007675795091</v>
      </c>
      <c r="C37" s="15" cm="1">
        <f t="array" ref="C37">EVAL($AG$6,B37)</f>
        <v>88.216190284221</v>
      </c>
      <c r="D37" s="15" cm="1">
        <f t="array" ref="D37">EVAL($AG$7,B37)</f>
        <v>2.2172798263681091</v>
      </c>
      <c r="F37" s="15" cm="1">
        <f t="array" ref="F37">EVAL($AG$9,B37)</f>
        <v>0.30570469675764222</v>
      </c>
      <c r="G37" s="15" cm="1">
        <f t="array" ref="G37">EVAL($AG$10,B37)</f>
        <v>0.30570469675764222</v>
      </c>
      <c r="H37" s="15" cm="1">
        <f t="array" ref="H37">EVAL($AG$11,B37)</f>
        <v>0.30570469675764222</v>
      </c>
      <c r="I37" s="15" cm="1">
        <f t="array" ref="I37">EVAL($AG$12,B37)</f>
        <v>0.33556550241166599</v>
      </c>
      <c r="J37" s="15" cm="1">
        <f t="array" ref="J37">EVAL($AG$13,B37)</f>
        <v>30.047669586677252</v>
      </c>
      <c r="K37" s="15" cm="1">
        <f t="array" ref="K37">EVAL($AG$14,B37)</f>
        <v>0.28780524626985921</v>
      </c>
      <c r="L37" s="15" cm="1">
        <f t="array" ref="L37">EVAL($AG$15,B37)</f>
        <v>22.170391528399811</v>
      </c>
      <c r="M37" s="15" cm="1">
        <f t="array" ref="M37">EVAL($AG$16,B37)</f>
        <v>0.3482971791290812</v>
      </c>
      <c r="N37" s="15" cm="1">
        <f t="array" ref="N37">EVAL($AG$17,B37)</f>
        <v>18.511656551682126</v>
      </c>
      <c r="O37" s="15" cm="1">
        <f t="array" ref="O37">EVAL($AG$18,B37)</f>
        <v>2.5133390077505983E-2</v>
      </c>
      <c r="P37" s="15" cm="1">
        <f t="array" ref="P37">EVAL($AG$19,B37)</f>
        <v>2.5133390077505983E-2</v>
      </c>
      <c r="Q37" s="15" cm="1">
        <f t="array" ref="Q37">EVAL($AH$6,B37)</f>
        <v>0.53886803378967574</v>
      </c>
      <c r="R37" s="15" cm="1">
        <f t="array" ref="R37">EVAL($AH$7,B37)</f>
        <v>0.53886803378967574</v>
      </c>
      <c r="T37" s="15" cm="1">
        <f t="array" ref="T37">EVAL($AH$9,B37)</f>
        <v>0.37127645710197876</v>
      </c>
      <c r="U37" s="15" cm="1">
        <f t="array" ref="U37">EVAL($AH$10,B37)</f>
        <v>0.37127645710197876</v>
      </c>
      <c r="V37" s="15" cm="1">
        <f t="array" ref="V37">EVAL($AH$11,B37)</f>
        <v>0.37127645710197876</v>
      </c>
      <c r="W37" s="15" cm="1">
        <f t="array" ref="W37">EVAL($AH$12,B37)</f>
        <v>2.0772198171524039</v>
      </c>
      <c r="X37" s="15" cm="1">
        <f t="array" ref="X37">EVAL($AH$13,B37)</f>
        <v>0.2209468280767809</v>
      </c>
      <c r="Y37" s="15" cm="1">
        <f t="array" ref="Y37">EVAL($AH$14,B37)</f>
        <v>0.2209468280767809</v>
      </c>
    </row>
    <row r="38" spans="1:25" x14ac:dyDescent="0.25">
      <c r="A38" s="20">
        <v>4.5</v>
      </c>
      <c r="B38" s="41">
        <f t="shared" si="0"/>
        <v>14.137166941154069</v>
      </c>
      <c r="C38" s="15" cm="1">
        <f t="array" ref="C38">EVAL($AG$6,B38)</f>
        <v>89.597775198786962</v>
      </c>
      <c r="D38" s="15" cm="1">
        <f t="array" ref="D38">EVAL($AG$7,B38)</f>
        <v>2.231346026675292</v>
      </c>
      <c r="F38" s="15" cm="1">
        <f t="array" ref="F38">EVAL($AG$9,B38)</f>
        <v>0.31276567298540731</v>
      </c>
      <c r="G38" s="15" cm="1">
        <f t="array" ref="G38">EVAL($AG$10,B38)</f>
        <v>0.31276567298540731</v>
      </c>
      <c r="H38" s="15" cm="1">
        <f t="array" ref="H38">EVAL($AG$11,B38)</f>
        <v>0.31276567298540731</v>
      </c>
      <c r="I38" s="15" cm="1">
        <f t="array" ref="I38">EVAL($AG$12,B38)</f>
        <v>0.34276267337465771</v>
      </c>
      <c r="J38" s="15" cm="1">
        <f t="array" ref="J38">EVAL($AG$13,B38)</f>
        <v>30.558266985471572</v>
      </c>
      <c r="K38" s="15" cm="1">
        <f t="array" ref="K38">EVAL($AG$14,B38)</f>
        <v>0.29343616488410224</v>
      </c>
      <c r="L38" s="15" cm="1">
        <f t="array" ref="L38">EVAL($AG$15,B38)</f>
        <v>22.475345049338006</v>
      </c>
      <c r="M38" s="15" cm="1">
        <f t="array" ref="M38">EVAL($AG$16,B38)</f>
        <v>0.35231044758896929</v>
      </c>
      <c r="N38" s="15" cm="1">
        <f t="array" ref="N38">EVAL($AG$17,B38)</f>
        <v>18.682336996779668</v>
      </c>
      <c r="O38" s="15" cm="1">
        <f t="array" ref="O38">EVAL($AG$18,B38)</f>
        <v>2.4822977958293177E-2</v>
      </c>
      <c r="P38" s="15" cm="1">
        <f t="array" ref="P38">EVAL($AG$19,B38)</f>
        <v>2.4822977958293177E-2</v>
      </c>
      <c r="Q38" s="15" cm="1">
        <f t="array" ref="Q38">EVAL($AH$6,B38)</f>
        <v>0.54389637250208833</v>
      </c>
      <c r="R38" s="15" cm="1">
        <f t="array" ref="R38">EVAL($AH$7,B38)</f>
        <v>0.54389637250208833</v>
      </c>
      <c r="T38" s="15" cm="1">
        <f t="array" ref="T38">EVAL($AH$9,B38)</f>
        <v>0.37454982943025472</v>
      </c>
      <c r="U38" s="15" cm="1">
        <f t="array" ref="U38">EVAL($AH$10,B38)</f>
        <v>0.37454982943025472</v>
      </c>
      <c r="V38" s="15" cm="1">
        <f t="array" ref="V38">EVAL($AH$11,B38)</f>
        <v>0.37454982943025472</v>
      </c>
      <c r="W38" s="15" cm="1">
        <f t="array" ref="W38">EVAL($AH$12,B38)</f>
        <v>2.1473826936684786</v>
      </c>
      <c r="X38" s="15" cm="1">
        <f t="array" ref="X38">EVAL($AH$13,B38)</f>
        <v>0.22224358438004471</v>
      </c>
      <c r="Y38" s="15" cm="1">
        <f t="array" ref="Y38">EVAL($AH$14,B38)</f>
        <v>0.22224358438004471</v>
      </c>
    </row>
    <row r="39" spans="1:25" x14ac:dyDescent="0.25">
      <c r="A39" s="20">
        <v>4.5999999999999996</v>
      </c>
      <c r="B39" s="41">
        <f t="shared" si="0"/>
        <v>14.451326206513047</v>
      </c>
      <c r="C39" s="15" cm="1">
        <f t="array" ref="C39">EVAL($AG$6,B39)</f>
        <v>90.969920079613701</v>
      </c>
      <c r="D39" s="15" cm="1">
        <f t="array" ref="D39">EVAL($AG$7,B39)</f>
        <v>2.2451893646248062</v>
      </c>
      <c r="F39" s="15" cm="1">
        <f t="array" ref="F39">EVAL($AG$9,B39)</f>
        <v>0.31982917613189099</v>
      </c>
      <c r="G39" s="15" cm="1">
        <f t="array" ref="G39">EVAL($AG$10,B39)</f>
        <v>0.31982917613189099</v>
      </c>
      <c r="H39" s="15" cm="1">
        <f t="array" ref="H39">EVAL($AG$11,B39)</f>
        <v>0.31982917613189099</v>
      </c>
      <c r="I39" s="15" cm="1">
        <f t="array" ref="I39">EVAL($AG$12,B39)</f>
        <v>0.34995094059761311</v>
      </c>
      <c r="J39" s="15" cm="1">
        <f t="array" ref="J39">EVAL($AG$13,B39)</f>
        <v>31.066033078838274</v>
      </c>
      <c r="K39" s="15" cm="1">
        <f t="array" ref="K39">EVAL($AG$14,B39)</f>
        <v>0.2990498652357963</v>
      </c>
      <c r="L39" s="15" cm="1">
        <f t="array" ref="L39">EVAL($AG$15,B39)</f>
        <v>22.777652692053685</v>
      </c>
      <c r="M39" s="15" cm="1">
        <f t="array" ref="M39">EVAL($AG$16,B39)</f>
        <v>0.3562802309995759</v>
      </c>
      <c r="N39" s="15" cm="1">
        <f t="array" ref="N39">EVAL($AG$17,B39)</f>
        <v>18.850788012057283</v>
      </c>
      <c r="O39" s="15" cm="1">
        <f t="array" ref="O39">EVAL($AG$18,B39)</f>
        <v>2.4523097275099874E-2</v>
      </c>
      <c r="P39" s="15" cm="1">
        <f t="array" ref="P39">EVAL($AG$19,B39)</f>
        <v>2.4523097275099874E-2</v>
      </c>
      <c r="Q39" s="15" cm="1">
        <f t="array" ref="Q39">EVAL($AH$6,B39)</f>
        <v>0.54885957147834996</v>
      </c>
      <c r="R39" s="15" cm="1">
        <f t="array" ref="R39">EVAL($AH$7,B39)</f>
        <v>0.54885957147834996</v>
      </c>
      <c r="T39" s="15" cm="1">
        <f t="array" ref="T39">EVAL($AH$9,B39)</f>
        <v>0.37777916713025572</v>
      </c>
      <c r="U39" s="15" cm="1">
        <f t="array" ref="U39">EVAL($AH$10,B39)</f>
        <v>0.37777916713025572</v>
      </c>
      <c r="V39" s="15" cm="1">
        <f t="array" ref="V39">EVAL($AH$11,B39)</f>
        <v>0.37777916713025572</v>
      </c>
      <c r="W39" s="15" cm="1">
        <f t="array" ref="W39">EVAL($AH$12,B39)</f>
        <v>2.2182951905633823</v>
      </c>
      <c r="X39" s="15" cm="1">
        <f t="array" ref="X39">EVAL($AH$13,B39)</f>
        <v>0.2235191995979533</v>
      </c>
      <c r="Y39" s="15" cm="1">
        <f t="array" ref="Y39">EVAL($AH$14,B39)</f>
        <v>0.2235191995979533</v>
      </c>
    </row>
    <row r="40" spans="1:25" x14ac:dyDescent="0.25">
      <c r="A40" s="20">
        <v>4.7</v>
      </c>
      <c r="B40" s="41">
        <f t="shared" si="0"/>
        <v>14.765485471872028</v>
      </c>
      <c r="C40" s="15" cm="1">
        <f t="array" ref="C40">EVAL($AG$6,B40)</f>
        <v>92.332892598671634</v>
      </c>
      <c r="D40" s="15" cm="1">
        <f t="array" ref="D40">EVAL($AG$7,B40)</f>
        <v>2.2588181031538417</v>
      </c>
      <c r="F40" s="15" cm="1">
        <f t="array" ref="F40">EVAL($AG$9,B40)</f>
        <v>0.32689515213042958</v>
      </c>
      <c r="G40" s="15" cm="1">
        <f t="array" ref="G40">EVAL($AG$10,B40)</f>
        <v>0.32689515213042958</v>
      </c>
      <c r="H40" s="15" cm="1">
        <f t="array" ref="H40">EVAL($AG$11,B40)</f>
        <v>0.32689515213042958</v>
      </c>
      <c r="I40" s="15" cm="1">
        <f t="array" ref="I40">EVAL($AG$12,B40)</f>
        <v>0.35713050833022358</v>
      </c>
      <c r="J40" s="15" cm="1">
        <f t="array" ref="J40">EVAL($AG$13,B40)</f>
        <v>31.571044620035572</v>
      </c>
      <c r="K40" s="15" cm="1">
        <f t="array" ref="K40">EVAL($AG$14,B40)</f>
        <v>0.30464677264530365</v>
      </c>
      <c r="L40" s="15" cm="1">
        <f t="array" ref="L40">EVAL($AG$15,B40)</f>
        <v>23.077394201221999</v>
      </c>
      <c r="M40" s="15" cm="1">
        <f t="array" ref="M40">EVAL($AG$16,B40)</f>
        <v>0.36020793082989533</v>
      </c>
      <c r="N40" s="15" cm="1">
        <f t="array" ref="N40">EVAL($AG$17,B40)</f>
        <v>19.017086253995892</v>
      </c>
      <c r="O40" s="15" cm="1">
        <f t="array" ref="O40">EVAL($AG$18,B40)</f>
        <v>2.4233173200207254E-2</v>
      </c>
      <c r="P40" s="15" cm="1">
        <f t="array" ref="P40">EVAL($AG$19,B40)</f>
        <v>2.4233173200207254E-2</v>
      </c>
      <c r="Q40" s="15" cm="1">
        <f t="array" ref="Q40">EVAL($AH$6,B40)</f>
        <v>0.55375986369954922</v>
      </c>
      <c r="R40" s="15" cm="1">
        <f t="array" ref="R40">EVAL($AH$7,B40)</f>
        <v>0.55375986369954922</v>
      </c>
      <c r="T40" s="15" cm="1">
        <f t="array" ref="T40">EVAL($AH$9,B40)</f>
        <v>0.38096600092147359</v>
      </c>
      <c r="U40" s="15" cm="1">
        <f t="array" ref="U40">EVAL($AH$10,B40)</f>
        <v>0.38096600092147359</v>
      </c>
      <c r="V40" s="15" cm="1">
        <f t="array" ref="V40">EVAL($AH$11,B40)</f>
        <v>0.38096600092147359</v>
      </c>
      <c r="W40" s="15" cm="1">
        <f t="array" ref="W40">EVAL($AH$12,B40)</f>
        <v>2.2899487588143659</v>
      </c>
      <c r="X40" s="15" cm="1">
        <f t="array" ref="X40">EVAL($AH$13,B40)</f>
        <v>0.22477446696339107</v>
      </c>
      <c r="Y40" s="15" cm="1">
        <f t="array" ref="Y40">EVAL($AH$14,B40)</f>
        <v>0.22477446696339107</v>
      </c>
    </row>
    <row r="41" spans="1:25" x14ac:dyDescent="0.25">
      <c r="A41" s="20">
        <v>4.8</v>
      </c>
      <c r="B41" s="41">
        <f t="shared" si="0"/>
        <v>15.079644737231007</v>
      </c>
      <c r="C41" s="15" cm="1">
        <f t="array" ref="C41">EVAL($AG$6,B41)</f>
        <v>93.686947320867645</v>
      </c>
      <c r="D41" s="15" cm="1">
        <f t="array" ref="D41">EVAL($AG$7,B41)</f>
        <v>2.272240030789725</v>
      </c>
      <c r="F41" s="15" cm="1">
        <f t="array" ref="F41">EVAL($AG$9,B41)</f>
        <v>0.33396354919746135</v>
      </c>
      <c r="G41" s="15" cm="1">
        <f t="array" ref="G41">EVAL($AG$10,B41)</f>
        <v>0.33396354919746135</v>
      </c>
      <c r="H41" s="15" cm="1">
        <f t="array" ref="H41">EVAL($AG$11,B41)</f>
        <v>0.33396354919746135</v>
      </c>
      <c r="I41" s="15" cm="1">
        <f t="array" ref="I41">EVAL($AG$12,B41)</f>
        <v>0.36430157189188517</v>
      </c>
      <c r="J41" s="15" cm="1">
        <f t="array" ref="J41">EVAL($AG$13,B41)</f>
        <v>32.073374696589624</v>
      </c>
      <c r="K41" s="15" cm="1">
        <f t="array" ref="K41">EVAL($AG$14,B41)</f>
        <v>0.310227293111211</v>
      </c>
      <c r="L41" s="15" cm="1">
        <f t="array" ref="L41">EVAL($AG$15,B41)</f>
        <v>23.37464527886592</v>
      </c>
      <c r="M41" s="15" cm="1">
        <f t="array" ref="M41">EVAL($AG$16,B41)</f>
        <v>0.36409487466519774</v>
      </c>
      <c r="N41" s="15" cm="1">
        <f t="array" ref="N41">EVAL($AG$17,B41)</f>
        <v>19.18130417782676</v>
      </c>
      <c r="O41" s="15" cm="1">
        <f t="array" ref="O41">EVAL($AG$18,B41)</f>
        <v>2.3952673657471266E-2</v>
      </c>
      <c r="P41" s="15" cm="1">
        <f t="array" ref="P41">EVAL($AG$19,B41)</f>
        <v>2.3952673657471266E-2</v>
      </c>
      <c r="Q41" s="15" cm="1">
        <f t="array" ref="Q41">EVAL($AH$6,B41)</f>
        <v>0.55859935999059929</v>
      </c>
      <c r="R41" s="15" cm="1">
        <f t="array" ref="R41">EVAL($AH$7,B41)</f>
        <v>0.55859935999059929</v>
      </c>
      <c r="T41" s="15" cm="1">
        <f t="array" ref="T41">EVAL($AH$9,B41)</f>
        <v>0.38411177707031335</v>
      </c>
      <c r="U41" s="15" cm="1">
        <f t="array" ref="U41">EVAL($AH$10,B41)</f>
        <v>0.38411177707031335</v>
      </c>
      <c r="V41" s="15" cm="1">
        <f t="array" ref="V41">EVAL($AH$11,B41)</f>
        <v>0.38411177707031335</v>
      </c>
      <c r="W41" s="15" cm="1">
        <f t="array" ref="W41">EVAL($AH$12,B41)</f>
        <v>2.3623351276878437</v>
      </c>
      <c r="X41" s="15" cm="1">
        <f t="array" ref="X41">EVAL($AH$13,B41)</f>
        <v>0.2260101338248843</v>
      </c>
      <c r="Y41" s="15" cm="1">
        <f t="array" ref="Y41">EVAL($AH$14,B41)</f>
        <v>0.2260101338248843</v>
      </c>
    </row>
    <row r="42" spans="1:25" x14ac:dyDescent="0.25">
      <c r="A42" s="20">
        <v>4.9000000000000004</v>
      </c>
      <c r="B42" s="41">
        <f t="shared" si="0"/>
        <v>15.393804002589988</v>
      </c>
      <c r="C42" s="15" cm="1">
        <f t="array" ref="C42">EVAL($AG$6,B42)</f>
        <v>95.032326604828967</v>
      </c>
      <c r="D42" s="15" cm="1">
        <f t="array" ref="D42">EVAL($AG$7,B42)</f>
        <v>2.2854624981379796</v>
      </c>
      <c r="F42" s="15" cm="1">
        <f t="array" ref="F42">EVAL($AG$9,B42)</f>
        <v>0.34103431769054232</v>
      </c>
      <c r="G42" s="15" cm="1">
        <f t="array" ref="G42">EVAL($AG$10,B42)</f>
        <v>0.34103431769054232</v>
      </c>
      <c r="H42" s="15" cm="1">
        <f t="array" ref="H42">EVAL($AG$11,B42)</f>
        <v>0.34103431769054232</v>
      </c>
      <c r="I42" s="15" cm="1">
        <f t="array" ref="I42">EVAL($AG$12,B42)</f>
        <v>0.37146431824005194</v>
      </c>
      <c r="J42" s="15" cm="1">
        <f t="array" ref="J42">EVAL($AG$13,B42)</f>
        <v>32.573092977934436</v>
      </c>
      <c r="K42" s="15" cm="1">
        <f t="array" ref="K42">EVAL($AG$14,B42)</f>
        <v>0.31579181457196842</v>
      </c>
      <c r="L42" s="15" cm="1">
        <f t="array" ref="L42">EVAL($AG$15,B42)</f>
        <v>23.669477868958424</v>
      </c>
      <c r="M42" s="15" cm="1">
        <f t="array" ref="M42">EVAL($AG$16,B42)</f>
        <v>0.36794232155335882</v>
      </c>
      <c r="N42" s="15" cm="1">
        <f t="array" ref="N42">EVAL($AG$17,B42)</f>
        <v>19.343510350039914</v>
      </c>
      <c r="O42" s="15" cm="1">
        <f t="array" ref="O42">EVAL($AG$18,B42)</f>
        <v>2.3681105331349421E-2</v>
      </c>
      <c r="P42" s="15" cm="1">
        <f t="array" ref="P42">EVAL($AG$19,B42)</f>
        <v>2.3681105331349421E-2</v>
      </c>
      <c r="Q42" s="15" cm="1">
        <f t="array" ref="Q42">EVAL($AH$6,B42)</f>
        <v>0.5633800580948487</v>
      </c>
      <c r="R42" s="15" cm="1">
        <f t="array" ref="R42">EVAL($AH$7,B42)</f>
        <v>0.5633800580948487</v>
      </c>
      <c r="T42" s="15" cm="1">
        <f t="array" ref="T42">EVAL($AH$9,B42)</f>
        <v>0.38721786370206274</v>
      </c>
      <c r="U42" s="15" cm="1">
        <f t="array" ref="U42">EVAL($AH$10,B42)</f>
        <v>0.38721786370206274</v>
      </c>
      <c r="V42" s="15" cm="1">
        <f t="array" ref="V42">EVAL($AH$11,B42)</f>
        <v>0.38721786370206274</v>
      </c>
      <c r="W42" s="15" cm="1">
        <f t="array" ref="W42">EVAL($AH$12,B42)</f>
        <v>2.4354462900408533</v>
      </c>
      <c r="X42" s="15" cm="1">
        <f t="array" ref="X42">EVAL($AH$13,B42)</f>
        <v>0.22722690519483227</v>
      </c>
      <c r="Y42" s="15" cm="1">
        <f t="array" ref="Y42">EVAL($AH$14,B42)</f>
        <v>0.22722690519483227</v>
      </c>
    </row>
    <row r="43" spans="1:25" x14ac:dyDescent="0.25">
      <c r="A43" s="20">
        <v>5</v>
      </c>
      <c r="B43" s="41">
        <f t="shared" si="0"/>
        <v>15.707963267948966</v>
      </c>
      <c r="C43" s="15" cm="1">
        <f t="array" ref="C43">EVAL($AG$6,B43)</f>
        <v>96.369261424703282</v>
      </c>
      <c r="D43" s="15" cm="1">
        <f t="array" ref="D43">EVAL($AG$7,B43)</f>
        <v>2.2984924508812945</v>
      </c>
      <c r="F43" s="15" cm="1">
        <f t="array" ref="F43">EVAL($AG$9,B43)</f>
        <v>0.3481074099778978</v>
      </c>
      <c r="G43" s="15" cm="1">
        <f t="array" ref="G43">EVAL($AG$10,B43)</f>
        <v>0.3481074099778978</v>
      </c>
      <c r="H43" s="15" cm="1">
        <f t="array" ref="H43">EVAL($AG$11,B43)</f>
        <v>0.3481074099778978</v>
      </c>
      <c r="I43" s="15" cm="1">
        <f t="array" ref="I43">EVAL($AG$12,B43)</f>
        <v>0.37861892649154577</v>
      </c>
      <c r="J43" s="15" cm="1">
        <f t="array" ref="J43">EVAL($AG$13,B43)</f>
        <v>33.070265941618587</v>
      </c>
      <c r="K43" s="15" cm="1">
        <f t="array" ref="K43">EVAL($AG$14,B43)</f>
        <v>0.3213407080610946</v>
      </c>
      <c r="L43" s="15" cm="1">
        <f t="array" ref="L43">EVAL($AG$15,B43)</f>
        <v>23.961960416607774</v>
      </c>
      <c r="M43" s="15" cm="1">
        <f t="array" ref="M43">EVAL($AG$16,B43)</f>
        <v>0.37175146686355631</v>
      </c>
      <c r="N43" s="15" cm="1">
        <f t="array" ref="N43">EVAL($AG$17,B43)</f>
        <v>19.50376973177578</v>
      </c>
      <c r="O43" s="15" cm="1">
        <f t="array" ref="O43">EVAL($AG$18,B43)</f>
        <v>2.3418010121202169E-2</v>
      </c>
      <c r="P43" s="15" cm="1">
        <f t="array" ref="P43">EVAL($AG$19,B43)</f>
        <v>2.3418010121202169E-2</v>
      </c>
      <c r="Q43" s="15" cm="1">
        <f t="array" ref="Q43">EVAL($AH$6,B43)</f>
        <v>0.56810385090406057</v>
      </c>
      <c r="R43" s="15" cm="1">
        <f t="array" ref="R43">EVAL($AH$7,B43)</f>
        <v>0.56810385090406057</v>
      </c>
      <c r="T43" s="15" cm="1">
        <f t="array" ref="T43">EVAL($AH$9,B43)</f>
        <v>0.39028555652259489</v>
      </c>
      <c r="U43" s="15" cm="1">
        <f t="array" ref="U43">EVAL($AH$10,B43)</f>
        <v>0.39028555652259489</v>
      </c>
      <c r="V43" s="15" cm="1">
        <f t="array" ref="V43">EVAL($AH$11,B43)</f>
        <v>0.39028555652259489</v>
      </c>
      <c r="W43" s="15" cm="1">
        <f t="array" ref="W43">EVAL($AH$12,B43)</f>
        <v>2.5092744886844609</v>
      </c>
      <c r="X43" s="15" cm="1">
        <f t="array" ref="X43">EVAL($AH$13,B43)</f>
        <v>0.22842544695701092</v>
      </c>
      <c r="Y43" s="15" cm="1">
        <f t="array" ref="Y43">EVAL($AH$14,B43)</f>
        <v>0.22842544695701092</v>
      </c>
    </row>
    <row r="44" spans="1:25" x14ac:dyDescent="0.25">
      <c r="A44" s="20">
        <v>5.0999999999999996</v>
      </c>
      <c r="B44" s="41">
        <f t="shared" si="0"/>
        <v>16.022122533307943</v>
      </c>
      <c r="C44" s="15" cm="1">
        <f t="array" ref="C44">EVAL($AG$6,B44)</f>
        <v>97.697972121340214</v>
      </c>
      <c r="D44" s="15" cm="1">
        <f t="array" ref="D44">EVAL($AG$7,B44)</f>
        <v>2.3113364596857577</v>
      </c>
      <c r="F44" s="15" cm="1">
        <f t="array" ref="F44">EVAL($AG$9,B44)</f>
        <v>0.35518278031837586</v>
      </c>
      <c r="G44" s="15" cm="1">
        <f t="array" ref="G44">EVAL($AG$10,B44)</f>
        <v>0.35518278031837586</v>
      </c>
      <c r="H44" s="15" cm="1">
        <f t="array" ref="H44">EVAL($AG$11,B44)</f>
        <v>0.35518278031837586</v>
      </c>
      <c r="I44" s="15" cm="1">
        <f t="array" ref="I44">EVAL($AG$12,B44)</f>
        <v>0.38576556840158888</v>
      </c>
      <c r="J44" s="15" cm="1">
        <f t="array" ref="J44">EVAL($AG$13,B44)</f>
        <v>33.564957080325414</v>
      </c>
      <c r="K44" s="15" cm="1">
        <f t="array" ref="K44">EVAL($AG$14,B44)</f>
        <v>0.32687432876688127</v>
      </c>
      <c r="L44" s="15" cm="1">
        <f t="array" ref="L44">EVAL($AG$15,B44)</f>
        <v>24.252158104557513</v>
      </c>
      <c r="M44" s="15" cm="1">
        <f t="array" ref="M44">EVAL($AG$16,B44)</f>
        <v>0.37552344671063964</v>
      </c>
      <c r="N44" s="15" cm="1">
        <f t="array" ref="N44">EVAL($AG$17,B44)</f>
        <v>19.662143936338421</v>
      </c>
      <c r="O44" s="15" cm="1">
        <f t="array" ref="O44">EVAL($AG$18,B44)</f>
        <v>2.3162961983396433E-2</v>
      </c>
      <c r="P44" s="15" cm="1">
        <f t="array" ref="P44">EVAL($AG$19,B44)</f>
        <v>2.3162961983396433E-2</v>
      </c>
      <c r="Q44" s="15" cm="1">
        <f t="array" ref="Q44">EVAL($AH$6,B44)</f>
        <v>0.57277253393762084</v>
      </c>
      <c r="R44" s="15" cm="1">
        <f t="array" ref="R44">EVAL($AH$7,B44)</f>
        <v>0.57277253393762084</v>
      </c>
      <c r="T44" s="15" cm="1">
        <f t="array" ref="T44">EVAL($AH$9,B44)</f>
        <v>0.39331608401565415</v>
      </c>
      <c r="U44" s="15" cm="1">
        <f t="array" ref="U44">EVAL($AH$10,B44)</f>
        <v>0.39331608401565415</v>
      </c>
      <c r="V44" s="15" cm="1">
        <f t="array" ref="V44">EVAL($AH$11,B44)</f>
        <v>0.39331608401565415</v>
      </c>
      <c r="W44" s="15" cm="1">
        <f t="array" ref="W44">EVAL($AH$12,B44)</f>
        <v>2.5838122037126499</v>
      </c>
      <c r="X44" s="15" cm="1">
        <f t="array" ref="X44">EVAL($AH$13,B44)</f>
        <v>0.22960638877218731</v>
      </c>
      <c r="Y44" s="15" cm="1">
        <f t="array" ref="Y44">EVAL($AH$14,B44)</f>
        <v>0.22960638877218731</v>
      </c>
    </row>
    <row r="45" spans="1:25" x14ac:dyDescent="0.25">
      <c r="A45" s="20">
        <v>5.2</v>
      </c>
      <c r="B45" s="41">
        <f t="shared" si="0"/>
        <v>16.336281798666924</v>
      </c>
      <c r="C45" s="15" cm="1">
        <f t="array" ref="C45">EVAL($AG$6,B45)</f>
        <v>99.018669090187245</v>
      </c>
      <c r="D45" s="15" cm="1">
        <f t="array" ref="D45">EVAL($AG$7,B45)</f>
        <v>2.3240007473588191</v>
      </c>
      <c r="F45" s="15" cm="1">
        <f t="array" ref="F45">EVAL($AG$9,B45)</f>
        <v>0.36226038475079347</v>
      </c>
      <c r="G45" s="15" cm="1">
        <f t="array" ref="G45">EVAL($AG$10,B45)</f>
        <v>0.36226038475079347</v>
      </c>
      <c r="H45" s="15" cm="1">
        <f t="array" ref="H45">EVAL($AG$11,B45)</f>
        <v>0.36226038475079347</v>
      </c>
      <c r="I45" s="15" cm="1">
        <f t="array" ref="I45">EVAL($AG$12,B45)</f>
        <v>0.39290440880476318</v>
      </c>
      <c r="J45" s="15" cm="1">
        <f t="array" ref="J45">EVAL($AG$13,B45)</f>
        <v>34.057227091678293</v>
      </c>
      <c r="K45" s="15" cm="1">
        <f t="array" ref="K45">EVAL($AG$14,B45)</f>
        <v>0.33239301700621848</v>
      </c>
      <c r="L45" s="15" cm="1">
        <f t="array" ref="L45">EVAL($AG$15,B45)</f>
        <v>24.540133069391771</v>
      </c>
      <c r="M45" s="15" cm="1">
        <f t="array" ref="M45">EVAL($AG$16,B45)</f>
        <v>0.37925934199172656</v>
      </c>
      <c r="N45" s="15" cm="1">
        <f t="array" ref="N45">EVAL($AG$17,B45)</f>
        <v>19.818691463652435</v>
      </c>
      <c r="O45" s="15" cm="1">
        <f t="array" ref="O45">EVAL($AG$18,B45)</f>
        <v>2.2915564112124007E-2</v>
      </c>
      <c r="P45" s="15" cm="1">
        <f t="array" ref="P45">EVAL($AG$19,B45)</f>
        <v>2.2915564112124007E-2</v>
      </c>
      <c r="Q45" s="15" cm="1">
        <f t="array" ref="Q45">EVAL($AH$6,B45)</f>
        <v>0.57738781215278234</v>
      </c>
      <c r="R45" s="15" cm="1">
        <f t="array" ref="R45">EVAL($AH$7,B45)</f>
        <v>0.57738781215278234</v>
      </c>
      <c r="T45" s="15" cm="1">
        <f t="array" ref="T45">EVAL($AH$9,B45)</f>
        <v>0.39631061217308178</v>
      </c>
      <c r="U45" s="15" cm="1">
        <f t="array" ref="U45">EVAL($AH$10,B45)</f>
        <v>0.39631061217308178</v>
      </c>
      <c r="V45" s="15" cm="1">
        <f t="array" ref="V45">EVAL($AH$11,B45)</f>
        <v>0.39631061217308178</v>
      </c>
      <c r="W45" s="15" cm="1">
        <f t="array" ref="W45">EVAL($AH$12,B45)</f>
        <v>2.6590521407108012</v>
      </c>
      <c r="X45" s="15" cm="1">
        <f t="array" ref="X45">EVAL($AH$13,B45)</f>
        <v>0.23077032671558723</v>
      </c>
      <c r="Y45" s="15" cm="1">
        <f t="array" ref="Y45">EVAL($AH$14,B45)</f>
        <v>0.23077032671558723</v>
      </c>
    </row>
    <row r="46" spans="1:25" x14ac:dyDescent="0.25">
      <c r="A46" s="20">
        <v>5.3</v>
      </c>
      <c r="B46" s="41">
        <f t="shared" si="0"/>
        <v>16.650441064025902</v>
      </c>
      <c r="C46" s="15" cm="1">
        <f t="array" ref="C46">EVAL($AG$6,B46)</f>
        <v>100.33155341233756</v>
      </c>
      <c r="D46" s="15" cm="1">
        <f t="array" ref="D46">EVAL($AG$7,B46)</f>
        <v>2.3364912135591847</v>
      </c>
      <c r="F46" s="15" cm="1">
        <f t="array" ref="F46">EVAL($AG$9,B46)</f>
        <v>0.36934018099174182</v>
      </c>
      <c r="G46" s="15" cm="1">
        <f t="array" ref="G46">EVAL($AG$10,B46)</f>
        <v>0.36934018099174182</v>
      </c>
      <c r="H46" s="15" cm="1">
        <f t="array" ref="H46">EVAL($AG$11,B46)</f>
        <v>0.36934018099174182</v>
      </c>
      <c r="I46" s="15" cm="1">
        <f t="array" ref="I46">EVAL($AG$12,B46)</f>
        <v>0.40003560602156096</v>
      </c>
      <c r="J46" s="15" cm="1">
        <f t="array" ref="J46">EVAL($AG$13,B46)</f>
        <v>34.547134052563635</v>
      </c>
      <c r="K46" s="15" cm="1">
        <f t="array" ref="K46">EVAL($AG$14,B46)</f>
        <v>0.33789709912098975</v>
      </c>
      <c r="L46" s="15" cm="1">
        <f t="array" ref="L46">EVAL($AG$15,B46)</f>
        <v>24.825944599541813</v>
      </c>
      <c r="M46" s="15" cm="1">
        <f t="array" ref="M46">EVAL($AG$16,B46)</f>
        <v>0.38296018207577143</v>
      </c>
      <c r="N46" s="15" cm="1">
        <f t="array" ref="N46">EVAL($AG$17,B46)</f>
        <v>19.973467914128722</v>
      </c>
      <c r="O46" s="15" cm="1">
        <f t="array" ref="O46">EVAL($AG$18,B46)</f>
        <v>2.2675446416874842E-2</v>
      </c>
      <c r="P46" s="15" cm="1">
        <f t="array" ref="P46">EVAL($AG$19,B46)</f>
        <v>2.2675446416874842E-2</v>
      </c>
      <c r="Q46" s="15" cm="1">
        <f t="array" ref="Q46">EVAL($AH$6,B46)</f>
        <v>0.58195130615740898</v>
      </c>
      <c r="R46" s="15" cm="1">
        <f t="array" ref="R46">EVAL($AH$7,B46)</f>
        <v>0.58195130615740898</v>
      </c>
      <c r="T46" s="15" cm="1">
        <f t="array" ref="T46">EVAL($AH$9,B46)</f>
        <v>0.39927024880807332</v>
      </c>
      <c r="U46" s="15" cm="1">
        <f t="array" ref="U46">EVAL($AH$10,B46)</f>
        <v>0.39927024880807332</v>
      </c>
      <c r="V46" s="15" cm="1">
        <f t="array" ref="V46">EVAL($AH$11,B46)</f>
        <v>0.39927024880807332</v>
      </c>
      <c r="W46" s="15" cm="1">
        <f t="array" ref="W46">EVAL($AH$12,B46)</f>
        <v>2.7349872197665128</v>
      </c>
      <c r="X46" s="15" cm="1">
        <f t="array" ref="X46">EVAL($AH$13,B46)</f>
        <v>0.23191782567560676</v>
      </c>
      <c r="Y46" s="15" cm="1">
        <f t="array" ref="Y46">EVAL($AH$14,B46)</f>
        <v>0.23191782567560676</v>
      </c>
    </row>
    <row r="47" spans="1:25" x14ac:dyDescent="0.25">
      <c r="A47" s="20">
        <v>5.4</v>
      </c>
      <c r="B47" s="41">
        <f t="shared" si="0"/>
        <v>16.964600329384883</v>
      </c>
      <c r="C47" s="15" cm="1">
        <f t="array" ref="C47">EVAL($AG$6,B47)</f>
        <v>101.63681743441722</v>
      </c>
      <c r="D47" s="15" cm="1">
        <f t="array" ref="D47">EVAL($AG$7,B47)</f>
        <v>2.3488134573211426</v>
      </c>
      <c r="F47" s="15" cm="1">
        <f t="array" ref="F47">EVAL($AG$9,B47)</f>
        <v>0.37642212834109773</v>
      </c>
      <c r="G47" s="15" cm="1">
        <f t="array" ref="G47">EVAL($AG$10,B47)</f>
        <v>0.37642212834109773</v>
      </c>
      <c r="H47" s="15" cm="1">
        <f t="array" ref="H47">EVAL($AG$11,B47)</f>
        <v>0.37642212834109773</v>
      </c>
      <c r="I47" s="15" cm="1">
        <f t="array" ref="I47">EVAL($AG$12,B47)</f>
        <v>0.4071593122338556</v>
      </c>
      <c r="J47" s="15" cm="1">
        <f t="array" ref="J47">EVAL($AG$13,B47)</f>
        <v>35.03473357950476</v>
      </c>
      <c r="K47" s="15" cm="1">
        <f t="array" ref="K47">EVAL($AG$14,B47)</f>
        <v>0.34338688830457254</v>
      </c>
      <c r="L47" s="15" cm="1">
        <f t="array" ref="L47">EVAL($AG$15,B47)</f>
        <v>25.109649316940761</v>
      </c>
      <c r="M47" s="15" cm="1">
        <f t="array" ref="M47">EVAL($AG$16,B47)</f>
        <v>0.38662694818192195</v>
      </c>
      <c r="N47" s="15" cm="1">
        <f t="array" ref="N47">EVAL($AG$17,B47)</f>
        <v>20.12652618410111</v>
      </c>
      <c r="O47" s="15" cm="1">
        <f t="array" ref="O47">EVAL($AG$18,B47)</f>
        <v>2.2442263260410659E-2</v>
      </c>
      <c r="P47" s="15" cm="1">
        <f t="array" ref="P47">EVAL($AG$19,B47)</f>
        <v>2.2442263260410659E-2</v>
      </c>
      <c r="Q47" s="15" cm="1">
        <f t="array" ref="Q47">EVAL($AH$6,B47)</f>
        <v>0.58646455788790508</v>
      </c>
      <c r="R47" s="15" cm="1">
        <f t="array" ref="R47">EVAL($AH$7,B47)</f>
        <v>0.58646455788790508</v>
      </c>
      <c r="T47" s="15" cm="1">
        <f t="array" ref="T47">EVAL($AH$9,B47)</f>
        <v>0.40219604749537752</v>
      </c>
      <c r="U47" s="15" cm="1">
        <f t="array" ref="U47">EVAL($AH$10,B47)</f>
        <v>0.40219604749537752</v>
      </c>
      <c r="V47" s="15" cm="1">
        <f t="array" ref="V47">EVAL($AH$11,B47)</f>
        <v>0.40219604749537752</v>
      </c>
      <c r="W47" s="15" cm="1">
        <f t="array" ref="W47">EVAL($AH$12,B47)</f>
        <v>2.8116105652144308</v>
      </c>
      <c r="X47" s="15" cm="1">
        <f t="array" ref="X47">EVAL($AH$13,B47)</f>
        <v>0.23304942153945798</v>
      </c>
      <c r="Y47" s="15" cm="1">
        <f t="array" ref="Y47">EVAL($AH$14,B47)</f>
        <v>0.23304942153945798</v>
      </c>
    </row>
    <row r="48" spans="1:25" x14ac:dyDescent="0.25">
      <c r="A48" s="20">
        <v>5.5</v>
      </c>
      <c r="B48" s="41">
        <f t="shared" si="0"/>
        <v>17.27875959474386</v>
      </c>
      <c r="C48" s="15" cm="1">
        <f t="array" ref="C48">EVAL($AG$6,B48)</f>
        <v>102.93464530232244</v>
      </c>
      <c r="D48" s="15" cm="1">
        <f t="array" ref="D48">EVAL($AG$7,B48)</f>
        <v>2.3609727976232455</v>
      </c>
      <c r="F48" s="15" cm="1">
        <f t="array" ref="F48">EVAL($AG$9,B48)</f>
        <v>0.38350618759450139</v>
      </c>
      <c r="G48" s="15" cm="1">
        <f t="array" ref="G48">EVAL($AG$10,B48)</f>
        <v>0.38350618759450139</v>
      </c>
      <c r="H48" s="15" cm="1">
        <f t="array" ref="H48">EVAL($AG$11,B48)</f>
        <v>0.38350618759450139</v>
      </c>
      <c r="I48" s="15" cm="1">
        <f t="array" ref="I48">EVAL($AG$12,B48)</f>
        <v>0.41427567383216607</v>
      </c>
      <c r="J48" s="15" cm="1">
        <f t="array" ref="J48">EVAL($AG$13,B48)</f>
        <v>35.520078976438214</v>
      </c>
      <c r="K48" s="15" cm="1">
        <f t="array" ref="K48">EVAL($AG$14,B48)</f>
        <v>0.34886268536506121</v>
      </c>
      <c r="L48" s="15" cm="1">
        <f t="array" ref="L48">EVAL($AG$15,B48)</f>
        <v>25.39130134395268</v>
      </c>
      <c r="M48" s="15" cm="1">
        <f t="array" ref="M48">EVAL($AG$16,B48)</f>
        <v>0.39026057647815365</v>
      </c>
      <c r="N48" s="15" cm="1">
        <f t="array" ref="N48">EVAL($AG$17,B48)</f>
        <v>20.277916644731473</v>
      </c>
      <c r="O48" s="15" cm="1">
        <f t="array" ref="O48">EVAL($AG$18,B48)</f>
        <v>2.2215691426072902E-2</v>
      </c>
      <c r="P48" s="15" cm="1">
        <f t="array" ref="P48">EVAL($AG$19,B48)</f>
        <v>2.2215691426072902E-2</v>
      </c>
      <c r="Q48" s="15" cm="1">
        <f t="array" ref="Q48">EVAL($AH$6,B48)</f>
        <v>0.59092903580735401</v>
      </c>
      <c r="R48" s="15" cm="1">
        <f t="array" ref="R48">EVAL($AH$7,B48)</f>
        <v>0.59092903580735401</v>
      </c>
      <c r="T48" s="15" cm="1">
        <f t="array" ref="T48">EVAL($AH$9,B48)</f>
        <v>0.40508901117696677</v>
      </c>
      <c r="U48" s="15" cm="1">
        <f t="array" ref="U48">EVAL($AH$10,B48)</f>
        <v>0.40508901117696677</v>
      </c>
      <c r="V48" s="15" cm="1">
        <f t="array" ref="V48">EVAL($AH$11,B48)</f>
        <v>0.40508901117696677</v>
      </c>
      <c r="W48" s="15" cm="1">
        <f t="array" ref="W48">EVAL($AH$12,B48)</f>
        <v>2.8889154960529972</v>
      </c>
      <c r="X48" s="15" cm="1">
        <f t="array" ref="X48">EVAL($AH$13,B48)</f>
        <v>0.23416562318824261</v>
      </c>
      <c r="Y48" s="15" cm="1">
        <f t="array" ref="Y48">EVAL($AH$14,B48)</f>
        <v>0.23416562318824261</v>
      </c>
    </row>
    <row r="49" spans="1:25" x14ac:dyDescent="0.25">
      <c r="A49" s="20">
        <v>5.6</v>
      </c>
      <c r="B49" s="41">
        <f t="shared" si="0"/>
        <v>17.592918860102841</v>
      </c>
      <c r="C49" s="15" cm="1">
        <f t="array" ref="C49">EVAL($AG$6,B49)</f>
        <v>104.22521345325212</v>
      </c>
      <c r="D49" s="15" cm="1">
        <f t="array" ref="D49">EVAL($AG$7,B49)</f>
        <v>2.3729742922034411</v>
      </c>
      <c r="F49" s="15" cm="1">
        <f t="array" ref="F49">EVAL($AG$9,B49)</f>
        <v>0.39059232096217306</v>
      </c>
      <c r="G49" s="15" cm="1">
        <f t="array" ref="G49">EVAL($AG$10,B49)</f>
        <v>0.39059232096217306</v>
      </c>
      <c r="H49" s="15" cm="1">
        <f t="array" ref="H49">EVAL($AG$11,B49)</f>
        <v>0.39059232096217306</v>
      </c>
      <c r="I49" s="15" cm="1">
        <f t="array" ref="I49">EVAL($AG$12,B49)</f>
        <v>0.42138483173732189</v>
      </c>
      <c r="J49" s="15" cm="1">
        <f t="array" ref="J49">EVAL($AG$13,B49)</f>
        <v>36.003221371093531</v>
      </c>
      <c r="K49" s="15" cm="1">
        <f t="array" ref="K49">EVAL($AG$14,B49)</f>
        <v>0.35432477943112689</v>
      </c>
      <c r="L49" s="15" cm="1">
        <f t="array" ref="L49">EVAL($AG$15,B49)</f>
        <v>25.670952457015353</v>
      </c>
      <c r="M49" s="15" cm="1">
        <f t="array" ref="M49">EVAL($AG$16,B49)</f>
        <v>0.3938619609279953</v>
      </c>
      <c r="N49" s="15" cm="1">
        <f t="array" ref="N49">EVAL($AG$17,B49)</f>
        <v>20.427687306055823</v>
      </c>
      <c r="O49" s="15" cm="1">
        <f t="array" ref="O49">EVAL($AG$18,B49)</f>
        <v>2.1995428287478261E-2</v>
      </c>
      <c r="P49" s="15" cm="1">
        <f t="array" ref="P49">EVAL($AG$19,B49)</f>
        <v>2.1995428287478261E-2</v>
      </c>
      <c r="Q49" s="15" cm="1">
        <f t="array" ref="Q49">EVAL($AH$6,B49)</f>
        <v>0.59534613967236349</v>
      </c>
      <c r="R49" s="15" cm="1">
        <f t="array" ref="R49">EVAL($AH$7,B49)</f>
        <v>0.59534613967236349</v>
      </c>
      <c r="T49" s="15" cm="1">
        <f t="array" ref="T49">EVAL($AH$9,B49)</f>
        <v>0.40795009546712663</v>
      </c>
      <c r="U49" s="15" cm="1">
        <f t="array" ref="U49">EVAL($AH$10,B49)</f>
        <v>0.40795009546712663</v>
      </c>
      <c r="V49" s="15" cm="1">
        <f t="array" ref="V49">EVAL($AH$11,B49)</f>
        <v>0.40795009546712663</v>
      </c>
      <c r="W49" s="15" cm="1">
        <f t="array" ref="W49">EVAL($AH$12,B49)</f>
        <v>2.9668955169777211</v>
      </c>
      <c r="X49" s="15" cm="1">
        <f t="array" ref="X49">EVAL($AH$13,B49)</f>
        <v>0.2352669143212136</v>
      </c>
      <c r="Y49" s="15" cm="1">
        <f t="array" ref="Y49">EVAL($AH$14,B49)</f>
        <v>0.2352669143212136</v>
      </c>
    </row>
    <row r="50" spans="1:25" x14ac:dyDescent="0.25">
      <c r="A50" s="20">
        <v>5.7</v>
      </c>
      <c r="B50" s="41">
        <f t="shared" si="0"/>
        <v>17.907078125461823</v>
      </c>
      <c r="C50" s="15" cm="1">
        <f t="array" ref="C50">EVAL($AG$6,B50)</f>
        <v>105.50869106998105</v>
      </c>
      <c r="D50" s="15" cm="1">
        <f t="array" ref="D50">EVAL($AG$7,B50)</f>
        <v>2.3848227547986336</v>
      </c>
      <c r="F50" s="15" cm="1">
        <f t="array" ref="F50">EVAL($AG$9,B50)</f>
        <v>0.39768049199352073</v>
      </c>
      <c r="G50" s="15" cm="1">
        <f t="array" ref="G50">EVAL($AG$10,B50)</f>
        <v>0.39768049199352073</v>
      </c>
      <c r="H50" s="15" cm="1">
        <f t="array" ref="H50">EVAL($AG$11,B50)</f>
        <v>0.39768049199352073</v>
      </c>
      <c r="I50" s="15" cm="1">
        <f t="array" ref="I50">EVAL($AG$12,B50)</f>
        <v>0.42848692169884611</v>
      </c>
      <c r="J50" s="15" cm="1">
        <f t="array" ref="J50">EVAL($AG$13,B50)</f>
        <v>36.484209841043238</v>
      </c>
      <c r="K50" s="15" cm="1">
        <f t="array" ref="K50">EVAL($AG$14,B50)</f>
        <v>0.35977344860578048</v>
      </c>
      <c r="L50" s="15" cm="1">
        <f t="array" ref="L50">EVAL($AG$15,B50)</f>
        <v>25.948652228272376</v>
      </c>
      <c r="M50" s="15" cm="1">
        <f t="array" ref="M50">EVAL($AG$16,B50)</f>
        <v>0.39743195590994579</v>
      </c>
      <c r="N50" s="15" cm="1">
        <f t="array" ref="N50">EVAL($AG$17,B50)</f>
        <v>20.575883967647755</v>
      </c>
      <c r="O50" s="15" cm="1">
        <f t="array" ref="O50">EVAL($AG$18,B50)</f>
        <v>2.1781190157240265E-2</v>
      </c>
      <c r="P50" s="15" cm="1">
        <f t="array" ref="P50">EVAL($AG$19,B50)</f>
        <v>2.1781190157240265E-2</v>
      </c>
      <c r="Q50" s="15" cm="1">
        <f t="array" ref="Q50">EVAL($AH$6,B50)</f>
        <v>0.59971720491143821</v>
      </c>
      <c r="R50" s="15" cm="1">
        <f t="array" ref="R50">EVAL($AH$7,B50)</f>
        <v>0.59971720491143821</v>
      </c>
      <c r="T50" s="15" cm="1">
        <f t="array" ref="T50">EVAL($AH$9,B50)</f>
        <v>0.41078021168691731</v>
      </c>
      <c r="U50" s="15" cm="1">
        <f t="array" ref="U50">EVAL($AH$10,B50)</f>
        <v>0.41078021168691731</v>
      </c>
      <c r="V50" s="15" cm="1">
        <f t="array" ref="V50">EVAL($AH$11,B50)</f>
        <v>0.41078021168691731</v>
      </c>
      <c r="W50" s="15" cm="1">
        <f t="array" ref="W50">EVAL($AH$12,B50)</f>
        <v>3.0455443099810644</v>
      </c>
      <c r="X50" s="15" cm="1">
        <f t="array" ref="X50">EVAL($AH$13,B50)</f>
        <v>0.23635375512662363</v>
      </c>
      <c r="Y50" s="15" cm="1">
        <f t="array" ref="Y50">EVAL($AH$14,B50)</f>
        <v>0.23635375512662363</v>
      </c>
    </row>
    <row r="51" spans="1:25" x14ac:dyDescent="0.25">
      <c r="A51" s="20">
        <v>5.8</v>
      </c>
      <c r="B51" s="41">
        <f t="shared" si="0"/>
        <v>18.2212373908208</v>
      </c>
      <c r="C51" s="15" cm="1">
        <f t="array" ref="C51">EVAL($AG$6,B51)</f>
        <v>106.78524050087651</v>
      </c>
      <c r="D51" s="15" cm="1">
        <f t="array" ref="D51">EVAL($AG$7,B51)</f>
        <v>2.3965227709657388</v>
      </c>
      <c r="F51" s="15" cm="1">
        <f t="array" ref="F51">EVAL($AG$9,B51)</f>
        <v>0.4047706655069967</v>
      </c>
      <c r="G51" s="15" cm="1">
        <f t="array" ref="G51">EVAL($AG$10,B51)</f>
        <v>0.4047706655069967</v>
      </c>
      <c r="H51" s="15" cm="1">
        <f t="array" ref="H51">EVAL($AG$11,B51)</f>
        <v>0.4047706655069967</v>
      </c>
      <c r="I51" s="15" cm="1">
        <f t="array" ref="I51">EVAL($AG$12,B51)</f>
        <v>0.43558207457209314</v>
      </c>
      <c r="J51" s="15" cm="1">
        <f t="array" ref="J51">EVAL($AG$13,B51)</f>
        <v>36.963091530370953</v>
      </c>
      <c r="K51" s="15" cm="1">
        <f t="array" ref="K51">EVAL($AG$14,B51)</f>
        <v>0.36520896057270591</v>
      </c>
      <c r="L51" s="15" cm="1">
        <f t="array" ref="L51">EVAL($AG$15,B51)</f>
        <v>26.224448156326037</v>
      </c>
      <c r="M51" s="15" cm="1">
        <f t="array" ref="M51">EVAL($AG$16,B51)</f>
        <v>0.40097137863137328</v>
      </c>
      <c r="N51" s="15" cm="1">
        <f t="array" ref="N51">EVAL($AG$17,B51)</f>
        <v>20.722550357205041</v>
      </c>
      <c r="O51" s="15" cm="1">
        <f t="array" ref="O51">EVAL($AG$18,B51)</f>
        <v>2.1572710794410931E-2</v>
      </c>
      <c r="P51" s="15" cm="1">
        <f t="array" ref="P51">EVAL($AG$19,B51)</f>
        <v>2.1572710794410931E-2</v>
      </c>
      <c r="Q51" s="15" cm="1">
        <f t="array" ref="Q51">EVAL($AH$6,B51)</f>
        <v>0.60404350665274786</v>
      </c>
      <c r="R51" s="15" cm="1">
        <f t="array" ref="R51">EVAL($AH$7,B51)</f>
        <v>0.60404350665274786</v>
      </c>
      <c r="T51" s="15" cm="1">
        <f t="array" ref="T51">EVAL($AH$9,B51)</f>
        <v>0.41358022965449626</v>
      </c>
      <c r="U51" s="15" cm="1">
        <f t="array" ref="U51">EVAL($AH$10,B51)</f>
        <v>0.41358022965449626</v>
      </c>
      <c r="V51" s="15" cm="1">
        <f t="array" ref="V51">EVAL($AH$11,B51)</f>
        <v>0.41358022965449626</v>
      </c>
      <c r="W51" s="15" cm="1">
        <f t="array" ref="W51">EVAL($AH$12,B51)</f>
        <v>3.1248557264734513</v>
      </c>
      <c r="X51" s="15" cm="1">
        <f t="array" ref="X51">EVAL($AH$13,B51)</f>
        <v>0.2374265838145069</v>
      </c>
      <c r="Y51" s="15" cm="1">
        <f t="array" ref="Y51">EVAL($AH$14,B51)</f>
        <v>0.2374265838145069</v>
      </c>
    </row>
    <row r="52" spans="1:25" x14ac:dyDescent="0.25">
      <c r="A52" s="20">
        <v>5.9</v>
      </c>
      <c r="B52" s="41">
        <f t="shared" si="0"/>
        <v>18.535396656179781</v>
      </c>
      <c r="C52" s="15" cm="1">
        <f t="array" ref="C52">EVAL($AG$6,B52)</f>
        <v>108.05501764879347</v>
      </c>
      <c r="D52" s="15" cm="1">
        <f t="array" ref="D52">EVAL($AG$7,B52)</f>
        <v>2.4080787126233405</v>
      </c>
      <c r="F52" s="15" cm="1">
        <f t="array" ref="F52">EVAL($AG$9,B52)</f>
        <v>0.41186280752479615</v>
      </c>
      <c r="G52" s="15" cm="1">
        <f t="array" ref="G52">EVAL($AG$10,B52)</f>
        <v>0.41186280752479615</v>
      </c>
      <c r="H52" s="15" cm="1">
        <f t="array" ref="H52">EVAL($AG$11,B52)</f>
        <v>0.41186280752479615</v>
      </c>
      <c r="I52" s="15" cm="1">
        <f t="array" ref="I52">EVAL($AG$12,B52)</f>
        <v>0.44267041657603162</v>
      </c>
      <c r="J52" s="15" cm="1">
        <f t="array" ref="J52">EVAL($AG$13,B52)</f>
        <v>37.439911757807963</v>
      </c>
      <c r="K52" s="15" cm="1">
        <f t="array" ref="K52">EVAL($AG$14,B52)</f>
        <v>0.37063157315939388</v>
      </c>
      <c r="L52" s="15" cm="1">
        <f t="array" ref="L52">EVAL($AG$15,B52)</f>
        <v>26.498385787120711</v>
      </c>
      <c r="M52" s="15" cm="1">
        <f t="array" ref="M52">EVAL($AG$16,B52)</f>
        <v>0.40448101135629394</v>
      </c>
      <c r="N52" s="15" cm="1">
        <f t="array" ref="N52">EVAL($AG$17,B52)</f>
        <v>20.867728258218786</v>
      </c>
      <c r="O52" s="15" cm="1">
        <f t="array" ref="O52">EVAL($AG$18,B52)</f>
        <v>2.1369740052944008E-2</v>
      </c>
      <c r="P52" s="15" cm="1">
        <f t="array" ref="P52">EVAL($AG$19,B52)</f>
        <v>2.1369740052944008E-2</v>
      </c>
      <c r="Q52" s="15" cm="1">
        <f t="array" ref="Q52">EVAL($AH$6,B52)</f>
        <v>0.60832626343492902</v>
      </c>
      <c r="R52" s="15" cm="1">
        <f t="array" ref="R52">EVAL($AH$7,B52)</f>
        <v>0.60832626343492902</v>
      </c>
      <c r="T52" s="15" cm="1">
        <f t="array" ref="T52">EVAL($AH$9,B52)</f>
        <v>0.41635098025480854</v>
      </c>
      <c r="U52" s="15" cm="1">
        <f t="array" ref="U52">EVAL($AH$10,B52)</f>
        <v>0.41635098025480854</v>
      </c>
      <c r="V52" s="15" cm="1">
        <f t="array" ref="V52">EVAL($AH$11,B52)</f>
        <v>0.41635098025480854</v>
      </c>
      <c r="W52" s="15" cm="1">
        <f t="array" ref="W52">EVAL($AH$12,B52)</f>
        <v>3.2048237798850345</v>
      </c>
      <c r="X52" s="15" cm="1">
        <f t="array" ref="X52">EVAL($AH$13,B52)</f>
        <v>0.23848581802497981</v>
      </c>
      <c r="Y52" s="15" cm="1">
        <f t="array" ref="Y52">EVAL($AH$14,B52)</f>
        <v>0.23848581802497981</v>
      </c>
    </row>
    <row r="53" spans="1:25" x14ac:dyDescent="0.25">
      <c r="A53" s="20">
        <v>6</v>
      </c>
      <c r="B53" s="41">
        <f t="shared" si="0"/>
        <v>18.849555921538759</v>
      </c>
      <c r="C53" s="15" cm="1">
        <f t="array" ref="C53">EVAL($AG$6,B53)</f>
        <v>109.31817233163632</v>
      </c>
      <c r="D53" s="15" cm="1">
        <f t="array" ref="D53">EVAL($AG$7,B53)</f>
        <v>2.4194947514371652</v>
      </c>
      <c r="F53" s="15" cm="1">
        <f t="array" ref="F53">EVAL($AG$9,B53)</f>
        <v>0.41895688521195601</v>
      </c>
      <c r="G53" s="15" cm="1">
        <f t="array" ref="G53">EVAL($AG$10,B53)</f>
        <v>0.41895688521195601</v>
      </c>
      <c r="H53" s="15" cm="1">
        <f t="array" ref="H53">EVAL($AG$11,B53)</f>
        <v>0.41895688521195601</v>
      </c>
      <c r="I53" s="15" cm="1">
        <f t="array" ref="I53">EVAL($AG$12,B53)</f>
        <v>0.4497520695332996</v>
      </c>
      <c r="J53" s="15" cm="1">
        <f t="array" ref="J53">EVAL($AG$13,B53)</f>
        <v>37.914714117093716</v>
      </c>
      <c r="K53" s="15" cm="1">
        <f t="array" ref="K53">EVAL($AG$14,B53)</f>
        <v>0.37604153486080971</v>
      </c>
      <c r="L53" s="15" cm="1">
        <f t="array" ref="L53">EVAL($AG$15,B53)</f>
        <v>26.7705088258549</v>
      </c>
      <c r="M53" s="15" cm="1">
        <f t="array" ref="M53">EVAL($AG$16,B53)</f>
        <v>0.4079616034642678</v>
      </c>
      <c r="N53" s="15" cm="1">
        <f t="array" ref="N53">EVAL($AG$17,B53)</f>
        <v>21.011457627754389</v>
      </c>
      <c r="O53" s="15" cm="1">
        <f t="array" ref="O53">EVAL($AG$18,B53)</f>
        <v>2.117204265571998E-2</v>
      </c>
      <c r="P53" s="15" cm="1">
        <f t="array" ref="P53">EVAL($AG$19,B53)</f>
        <v>2.117204265571998E-2</v>
      </c>
      <c r="Q53" s="15" cm="1">
        <f t="array" ref="Q53">EVAL($AH$6,B53)</f>
        <v>0.61256664063077038</v>
      </c>
      <c r="R53" s="15" cm="1">
        <f t="array" ref="R53">EVAL($AH$7,B53)</f>
        <v>0.61256664063077038</v>
      </c>
      <c r="T53" s="15" cm="1">
        <f t="array" ref="T53">EVAL($AH$9,B53)</f>
        <v>0.41909325780950935</v>
      </c>
      <c r="U53" s="15" cm="1">
        <f t="array" ref="U53">EVAL($AH$10,B53)</f>
        <v>0.41909325780950935</v>
      </c>
      <c r="V53" s="15" cm="1">
        <f t="array" ref="V53">EVAL($AH$11,B53)</f>
        <v>0.41909325780950935</v>
      </c>
      <c r="W53" s="15" cm="1">
        <f t="array" ref="W53">EVAL($AH$12,B53)</f>
        <v>3.2854426387108968</v>
      </c>
      <c r="X53" s="15" cm="1">
        <f t="array" ref="X53">EVAL($AH$13,B53)</f>
        <v>0.23953185612409286</v>
      </c>
      <c r="Y53" s="15" cm="1">
        <f t="array" ref="Y53">EVAL($AH$14,B53)</f>
        <v>0.23953185612409286</v>
      </c>
    </row>
    <row r="54" spans="1:25" x14ac:dyDescent="0.25">
      <c r="A54" s="20">
        <v>6.1</v>
      </c>
      <c r="B54" s="41">
        <f t="shared" si="0"/>
        <v>19.163715186897736</v>
      </c>
      <c r="C54" s="15" cm="1">
        <f t="array" ref="C54">EVAL($AG$6,B54)</f>
        <v>110.57484861709025</v>
      </c>
      <c r="D54" s="15" cm="1">
        <f t="array" ref="D54">EVAL($AG$7,B54)</f>
        <v>2.430774871158969</v>
      </c>
      <c r="F54" s="15" cm="1">
        <f t="array" ref="F54">EVAL($AG$9,B54)</f>
        <v>0.426052866819498</v>
      </c>
      <c r="G54" s="15" cm="1">
        <f t="array" ref="G54">EVAL($AG$10,B54)</f>
        <v>0.426052866819498</v>
      </c>
      <c r="H54" s="15" cm="1">
        <f t="array" ref="H54">EVAL($AG$11,B54)</f>
        <v>0.426052866819498</v>
      </c>
      <c r="I54" s="15" cm="1">
        <f t="array" ref="I54">EVAL($AG$12,B54)</f>
        <v>0.45682715109404054</v>
      </c>
      <c r="J54" s="15" cm="1">
        <f t="array" ref="J54">EVAL($AG$13,B54)</f>
        <v>38.387540570240681</v>
      </c>
      <c r="K54" s="15" cm="1">
        <f t="array" ref="K54">EVAL($AG$14,B54)</f>
        <v>0.38143908532698168</v>
      </c>
      <c r="L54" s="15" cm="1">
        <f t="array" ref="L54">EVAL($AG$15,B54)</f>
        <v>27.040859240726185</v>
      </c>
      <c r="M54" s="15" cm="1">
        <f t="array" ref="M54">EVAL($AG$16,B54)</f>
        <v>0.41141387335580926</v>
      </c>
      <c r="N54" s="15" cm="1">
        <f t="array" ref="N54">EVAL($AG$17,B54)</f>
        <v>21.153776705261599</v>
      </c>
      <c r="O54" s="15" cm="1">
        <f t="array" ref="O54">EVAL($AG$18,B54)</f>
        <v>2.0979397080593071E-2</v>
      </c>
      <c r="P54" s="15" cm="1">
        <f t="array" ref="P54">EVAL($AG$19,B54)</f>
        <v>2.0979397080593071E-2</v>
      </c>
      <c r="Q54" s="15" cm="1">
        <f t="array" ref="Q54">EVAL($AH$6,B54)</f>
        <v>0.61676575361039832</v>
      </c>
      <c r="R54" s="15" cm="1">
        <f t="array" ref="R54">EVAL($AH$7,B54)</f>
        <v>0.61676575361039832</v>
      </c>
      <c r="T54" s="15" cm="1">
        <f t="array" ref="T54">EVAL($AH$9,B54)</f>
        <v>0.42180782226570701</v>
      </c>
      <c r="U54" s="15" cm="1">
        <f t="array" ref="U54">EVAL($AH$10,B54)</f>
        <v>0.42180782226570701</v>
      </c>
      <c r="V54" s="15" cm="1">
        <f t="array" ref="V54">EVAL($AH$11,B54)</f>
        <v>0.42180782226570701</v>
      </c>
      <c r="W54" s="15" cm="1">
        <f t="array" ref="W54">EVAL($AH$12,B54)</f>
        <v>3.3667066199662123</v>
      </c>
      <c r="X54" s="15" cm="1">
        <f t="array" ref="X54">EVAL($AH$13,B54)</f>
        <v>0.24056507839792862</v>
      </c>
      <c r="Y54" s="15" cm="1">
        <f t="array" ref="Y54">EVAL($AH$14,B54)</f>
        <v>0.24056507839792862</v>
      </c>
    </row>
    <row r="55" spans="1:25" x14ac:dyDescent="0.25">
      <c r="A55" s="20">
        <v>6.2</v>
      </c>
      <c r="B55" s="41">
        <f t="shared" si="0"/>
        <v>19.477874452256717</v>
      </c>
      <c r="C55" s="15" cm="1">
        <f t="array" ref="C55">EVAL($AG$6,B55)</f>
        <v>111.82518513376705</v>
      </c>
      <c r="D55" s="15" cm="1">
        <f t="array" ref="D55">EVAL($AG$7,B55)</f>
        <v>2.4419228790164045</v>
      </c>
      <c r="F55" s="15" cm="1">
        <f t="array" ref="F55">EVAL($AG$9,B55)</f>
        <v>0.43315072163129925</v>
      </c>
      <c r="G55" s="15" cm="1">
        <f t="array" ref="G55">EVAL($AG$10,B55)</f>
        <v>0.43315072163129925</v>
      </c>
      <c r="H55" s="15" cm="1">
        <f t="array" ref="H55">EVAL($AG$11,B55)</f>
        <v>0.43315072163129925</v>
      </c>
      <c r="I55" s="15" cm="1">
        <f t="array" ref="I55">EVAL($AG$12,B55)</f>
        <v>0.46389577494486711</v>
      </c>
      <c r="J55" s="15" cm="1">
        <f t="array" ref="J55">EVAL($AG$13,B55)</f>
        <v>38.858431534313311</v>
      </c>
      <c r="K55" s="15" cm="1">
        <f t="array" ref="K55">EVAL($AG$14,B55)</f>
        <v>0.3868244558175522</v>
      </c>
      <c r="L55" s="15" cm="1">
        <f t="array" ref="L55">EVAL($AG$15,B55)</f>
        <v>27.309477359229167</v>
      </c>
      <c r="M55" s="15" cm="1">
        <f t="array" ref="M55">EVAL($AG$16,B55)</f>
        <v>0.41483851021808155</v>
      </c>
      <c r="N55" s="15" cm="1">
        <f t="array" ref="N55">EVAL($AG$17,B55)</f>
        <v>21.29472211323252</v>
      </c>
      <c r="O55" s="15" cm="1">
        <f t="array" ref="O55">EVAL($AG$18,B55)</f>
        <v>2.079159454657634E-2</v>
      </c>
      <c r="P55" s="15" cm="1">
        <f t="array" ref="P55">EVAL($AG$19,B55)</f>
        <v>2.079159454657634E-2</v>
      </c>
      <c r="Q55" s="15" cm="1">
        <f t="array" ref="Q55">EVAL($AH$6,B55)</f>
        <v>0.62092467066772017</v>
      </c>
      <c r="R55" s="15" cm="1">
        <f t="array" ref="R55">EVAL($AH$7,B55)</f>
        <v>0.62092467066772017</v>
      </c>
      <c r="T55" s="15" cm="1">
        <f t="array" ref="T55">EVAL($AH$9,B55)</f>
        <v>0.4244954012201122</v>
      </c>
      <c r="U55" s="15" cm="1">
        <f t="array" ref="U55">EVAL($AH$10,B55)</f>
        <v>0.4244954012201122</v>
      </c>
      <c r="V55" s="15" cm="1">
        <f t="array" ref="V55">EVAL($AH$11,B55)</f>
        <v>0.4244954012201122</v>
      </c>
      <c r="W55" s="15" cm="1">
        <f t="array" ref="W55">EVAL($AH$12,B55)</f>
        <v>3.4486101830209659</v>
      </c>
      <c r="X55" s="15" cm="1">
        <f t="array" ref="X55">EVAL($AH$13,B55)</f>
        <v>0.24158584815446521</v>
      </c>
      <c r="Y55" s="15" cm="1">
        <f t="array" ref="Y55">EVAL($AH$14,B55)</f>
        <v>0.24158584815446521</v>
      </c>
    </row>
    <row r="56" spans="1:25" x14ac:dyDescent="0.25">
      <c r="A56" s="20">
        <v>6.3</v>
      </c>
      <c r="B56" s="41">
        <f t="shared" si="0"/>
        <v>19.792033717615695</v>
      </c>
      <c r="C56" s="15" cm="1">
        <f t="array" ref="C56">EVAL($AG$6,B56)</f>
        <v>113.06931536077343</v>
      </c>
      <c r="D56" s="15" cm="1">
        <f t="array" ref="D56">EVAL($AG$7,B56)</f>
        <v>2.4529424162408611</v>
      </c>
      <c r="F56" s="15" cm="1">
        <f t="array" ref="F56">EVAL($AG$9,B56)</f>
        <v>0.44025041991435415</v>
      </c>
      <c r="G56" s="15" cm="1">
        <f t="array" ref="G56">EVAL($AG$10,B56)</f>
        <v>0.44025041991435415</v>
      </c>
      <c r="H56" s="15" cm="1">
        <f t="array" ref="H56">EVAL($AG$11,B56)</f>
        <v>0.44025041991435415</v>
      </c>
      <c r="I56" s="15" cm="1">
        <f t="array" ref="I56">EVAL($AG$12,B56)</f>
        <v>0.47095805100414045</v>
      </c>
      <c r="J56" s="15" cm="1">
        <f t="array" ref="J56">EVAL($AG$13,B56)</f>
        <v>39.327425962267569</v>
      </c>
      <c r="K56" s="15" cm="1">
        <f t="array" ref="K56">EVAL($AG$14,B56)</f>
        <v>0.39219786962600367</v>
      </c>
      <c r="L56" s="15" cm="1">
        <f t="array" ref="L56">EVAL($AG$15,B56)</f>
        <v>27.57640195765094</v>
      </c>
      <c r="M56" s="15" cm="1">
        <f t="array" ref="M56">EVAL($AG$16,B56)</f>
        <v>0.41823617566318311</v>
      </c>
      <c r="N56" s="15" cm="1">
        <f t="array" ref="N56">EVAL($AG$17,B56)</f>
        <v>21.43432895043868</v>
      </c>
      <c r="O56" s="15" cm="1">
        <f t="array" ref="O56">EVAL($AG$18,B56)</f>
        <v>2.0608438089711942E-2</v>
      </c>
      <c r="P56" s="15" cm="1">
        <f t="array" ref="P56">EVAL($AG$19,B56)</f>
        <v>2.0608438089711942E-2</v>
      </c>
      <c r="Q56" s="15" cm="1">
        <f t="array" ref="Q56">EVAL($AH$6,B56)</f>
        <v>0.62504441573133862</v>
      </c>
      <c r="R56" s="15" cm="1">
        <f t="array" ref="R56">EVAL($AH$7,B56)</f>
        <v>0.62504441573133862</v>
      </c>
      <c r="T56" s="15" cm="1">
        <f t="array" ref="T56">EVAL($AH$9,B56)</f>
        <v>0.42715669179340321</v>
      </c>
      <c r="U56" s="15" cm="1">
        <f t="array" ref="U56">EVAL($AH$10,B56)</f>
        <v>0.42715669179340321</v>
      </c>
      <c r="V56" s="15" cm="1">
        <f t="array" ref="V56">EVAL($AH$11,B56)</f>
        <v>0.42715669179340321</v>
      </c>
      <c r="W56" s="15" cm="1">
        <f t="array" ref="W56">EVAL($AH$12,B56)</f>
        <v>3.531147923786099</v>
      </c>
      <c r="X56" s="15" cm="1">
        <f t="array" ref="X56">EVAL($AH$13,B56)</f>
        <v>0.24259451274169047</v>
      </c>
      <c r="Y56" s="15" cm="1">
        <f t="array" ref="Y56">EVAL($AH$14,B56)</f>
        <v>0.24259451274169047</v>
      </c>
    </row>
    <row r="57" spans="1:25" x14ac:dyDescent="0.25">
      <c r="A57" s="20">
        <v>6.4</v>
      </c>
      <c r="B57" s="41">
        <f t="shared" si="0"/>
        <v>20.106192982974676</v>
      </c>
      <c r="C57" s="15" cm="1">
        <f t="array" ref="C57">EVAL($AG$6,B57)</f>
        <v>114.30736789752581</v>
      </c>
      <c r="D57" s="15" cm="1">
        <f t="array" ref="D57">EVAL($AG$7,B57)</f>
        <v>2.4638369678111753</v>
      </c>
      <c r="F57" s="15" cm="1">
        <f t="array" ref="F57">EVAL($AG$9,B57)</f>
        <v>0.4473519328722067</v>
      </c>
      <c r="G57" s="15" cm="1">
        <f t="array" ref="G57">EVAL($AG$10,B57)</f>
        <v>0.4473519328722067</v>
      </c>
      <c r="H57" s="15" cm="1">
        <f t="array" ref="H57">EVAL($AG$11,B57)</f>
        <v>0.4473519328722067</v>
      </c>
      <c r="I57" s="15" cm="1">
        <f t="array" ref="I57">EVAL($AG$12,B57)</f>
        <v>0.47801408560470116</v>
      </c>
      <c r="J57" s="15" cm="1">
        <f t="array" ref="J57">EVAL($AG$13,B57)</f>
        <v>39.794561418348003</v>
      </c>
      <c r="K57" s="15" cm="1">
        <f t="array" ref="K57">EVAL($AG$14,B57)</f>
        <v>0.39755954247606284</v>
      </c>
      <c r="L57" s="15" cm="1">
        <f t="array" ref="L57">EVAL($AG$15,B57)</f>
        <v>27.841670344346479</v>
      </c>
      <c r="M57" s="15" cm="1">
        <f t="array" ref="M57">EVAL($AG$16,B57)</f>
        <v>0.42160750525011231</v>
      </c>
      <c r="N57" s="15" cm="1">
        <f t="array" ref="N57">EVAL($AG$17,B57)</f>
        <v>21.572630878403839</v>
      </c>
      <c r="O57" s="15" cm="1">
        <f t="array" ref="O57">EVAL($AG$18,B57)</f>
        <v>2.042974171940937E-2</v>
      </c>
      <c r="P57" s="15" cm="1">
        <f t="array" ref="P57">EVAL($AG$19,B57)</f>
        <v>2.042974171940937E-2</v>
      </c>
      <c r="Q57" s="15" cm="1">
        <f t="array" ref="Q57">EVAL($AH$6,B57)</f>
        <v>0.62912597087899524</v>
      </c>
      <c r="R57" s="15" cm="1">
        <f t="array" ref="R57">EVAL($AH$7,B57)</f>
        <v>0.62912597087899524</v>
      </c>
      <c r="T57" s="15" cm="1">
        <f t="array" ref="T57">EVAL($AH$9,B57)</f>
        <v>0.4297923623680992</v>
      </c>
      <c r="U57" s="15" cm="1">
        <f t="array" ref="U57">EVAL($AH$10,B57)</f>
        <v>0.4297923623680992</v>
      </c>
      <c r="V57" s="15" cm="1">
        <f t="array" ref="V57">EVAL($AH$11,B57)</f>
        <v>0.4297923623680992</v>
      </c>
      <c r="W57" s="15" cm="1">
        <f t="array" ref="W57">EVAL($AH$12,B57)</f>
        <v>3.6143145692262135</v>
      </c>
      <c r="X57" s="15" cm="1">
        <f t="array" ref="X57">EVAL($AH$13,B57)</f>
        <v>0.24359140448956029</v>
      </c>
      <c r="Y57" s="15" cm="1">
        <f t="array" ref="Y57">EVAL($AH$14,B57)</f>
        <v>0.24359140448956029</v>
      </c>
    </row>
    <row r="58" spans="1:25" x14ac:dyDescent="0.25">
      <c r="A58" s="20">
        <v>6.5000000000000098</v>
      </c>
      <c r="B58" s="41">
        <f t="shared" si="0"/>
        <v>20.420352248333685</v>
      </c>
      <c r="C58" s="15" cm="1">
        <f t="array" ref="C58">EVAL($AG$6,B58)</f>
        <v>115.53946671543784</v>
      </c>
      <c r="D58" s="15" cm="1">
        <f t="array" ref="D58">EVAL($AG$7,B58)</f>
        <v>2.4746098714828344</v>
      </c>
      <c r="F58" s="15" cm="1">
        <f t="array" ref="F58">EVAL($AG$9,B58)</f>
        <v>0.45445523260126813</v>
      </c>
      <c r="G58" s="15" cm="1">
        <f t="array" ref="G58">EVAL($AG$10,B58)</f>
        <v>0.45445523260126813</v>
      </c>
      <c r="H58" s="15" cm="1">
        <f t="array" ref="H58">EVAL($AG$11,B58)</f>
        <v>0.45445523260126813</v>
      </c>
      <c r="I58" s="15" cm="1">
        <f t="array" ref="I58">EVAL($AG$12,B58)</f>
        <v>0.48506398166501075</v>
      </c>
      <c r="J58" s="15" cm="1">
        <f t="array" ref="J58">EVAL($AG$13,B58)</f>
        <v>40.259874148485665</v>
      </c>
      <c r="K58" s="15" cm="1">
        <f t="array" ref="K58">EVAL($AG$14,B58)</f>
        <v>0.40290968289249046</v>
      </c>
      <c r="L58" s="15" cm="1">
        <f t="array" ref="L58">EVAL($AG$15,B58)</f>
        <v>28.105318437314928</v>
      </c>
      <c r="M58" s="15" cm="1">
        <f t="array" ref="M58">EVAL($AG$16,B58)</f>
        <v>0.42495310990033347</v>
      </c>
      <c r="N58" s="15" cm="1">
        <f t="array" ref="N58">EVAL($AG$17,B58)</f>
        <v>21.709660201700174</v>
      </c>
      <c r="O58" s="15" cm="1">
        <f t="array" ref="O58">EVAL($AG$18,B58)</f>
        <v>2.0255329647111957E-2</v>
      </c>
      <c r="P58" s="15" cm="1">
        <f t="array" ref="P58">EVAL($AG$19,B58)</f>
        <v>2.0255329647111957E-2</v>
      </c>
      <c r="Q58" s="15" cm="1">
        <f t="array" ref="Q58">EVAL($AH$6,B58)</f>
        <v>0.63317027867259401</v>
      </c>
      <c r="R58" s="15" cm="1">
        <f t="array" ref="R58">EVAL($AH$7,B58)</f>
        <v>0.63317027867259401</v>
      </c>
      <c r="T58" s="15" cm="1">
        <f t="array" ref="T58">EVAL($AH$9,B58)</f>
        <v>0.43240305420183511</v>
      </c>
      <c r="U58" s="15" cm="1">
        <f t="array" ref="U58">EVAL($AH$10,B58)</f>
        <v>0.43240305420183511</v>
      </c>
      <c r="V58" s="15" cm="1">
        <f t="array" ref="V58">EVAL($AH$11,B58)</f>
        <v>0.43240305420183511</v>
      </c>
      <c r="W58" s="15" cm="1">
        <f t="array" ref="W58">EVAL($AH$12,B58)</f>
        <v>3.6981049721752957</v>
      </c>
      <c r="X58" s="15" cm="1">
        <f t="array" ref="X58">EVAL($AH$13,B58)</f>
        <v>0.24457684158258677</v>
      </c>
      <c r="Y58" s="15" cm="1">
        <f t="array" ref="Y58">EVAL($AH$14,B58)</f>
        <v>0.24457684158258677</v>
      </c>
    </row>
    <row r="59" spans="1:25" x14ac:dyDescent="0.25">
      <c r="A59" s="20">
        <v>6.6</v>
      </c>
      <c r="B59" s="41">
        <f t="shared" si="0"/>
        <v>20.734511513692635</v>
      </c>
      <c r="C59" s="15" cm="1">
        <f t="array" ref="C59">EVAL($AG$6,B59)</f>
        <v>116.76573139296279</v>
      </c>
      <c r="D59" s="15" cm="1">
        <f t="array" ref="D59">EVAL($AG$7,B59)</f>
        <v>2.4852643261652241</v>
      </c>
      <c r="F59" s="15" cm="1">
        <f t="array" ref="F59">EVAL($AG$9,B59)</f>
        <v>0.4615602920498168</v>
      </c>
      <c r="G59" s="15" cm="1">
        <f t="array" ref="G59">EVAL($AG$10,B59)</f>
        <v>0.4615602920498168</v>
      </c>
      <c r="H59" s="15" cm="1">
        <f t="array" ref="H59">EVAL($AG$11,B59)</f>
        <v>0.4615602920498168</v>
      </c>
      <c r="I59" s="15" cm="1">
        <f t="array" ref="I59">EVAL($AG$12,B59)</f>
        <v>0.49210783884962145</v>
      </c>
      <c r="J59" s="15" cm="1">
        <f t="array" ref="J59">EVAL($AG$13,B59)</f>
        <v>40.723399146100952</v>
      </c>
      <c r="K59" s="15" cm="1">
        <f t="array" ref="K59">EVAL($AG$14,B59)</f>
        <v>0.40824849254828677</v>
      </c>
      <c r="L59" s="15" cm="1">
        <f t="array" ref="L59">EVAL($AG$15,B59)</f>
        <v>28.367380836548996</v>
      </c>
      <c r="M59" s="15" cm="1">
        <f t="array" ref="M59">EVAL($AG$16,B59)</f>
        <v>0.42827357721590897</v>
      </c>
      <c r="N59" s="15" cm="1">
        <f t="array" ref="N59">EVAL($AG$17,B59)</f>
        <v>21.845447942597165</v>
      </c>
      <c r="O59" s="15" cm="1">
        <f t="array" ref="O59">EVAL($AG$18,B59)</f>
        <v>2.0085035580084697E-2</v>
      </c>
      <c r="P59" s="15" cm="1">
        <f t="array" ref="P59">EVAL($AG$19,B59)</f>
        <v>2.0085035580084697E-2</v>
      </c>
      <c r="Q59" s="15" cm="1">
        <f t="array" ref="Q59">EVAL($AH$6,B59)</f>
        <v>0.63717824432917114</v>
      </c>
      <c r="R59" s="15" cm="1">
        <f t="array" ref="R59">EVAL($AH$7,B59)</f>
        <v>0.63717824432917114</v>
      </c>
      <c r="T59" s="15" cm="1">
        <f t="array" ref="T59">EVAL($AH$9,B59)</f>
        <v>0.43498938292675182</v>
      </c>
      <c r="U59" s="15" cm="1">
        <f t="array" ref="U59">EVAL($AH$10,B59)</f>
        <v>0.43498938292675182</v>
      </c>
      <c r="V59" s="15" cm="1">
        <f t="array" ref="V59">EVAL($AH$11,B59)</f>
        <v>0.43498938292675182</v>
      </c>
      <c r="W59" s="15" cm="1">
        <f t="array" ref="W59">EVAL($AH$12,B59)</f>
        <v>3.7825141064344643</v>
      </c>
      <c r="X59" s="15" cm="1">
        <f t="array" ref="X59">EVAL($AH$13,B59)</f>
        <v>0.2455511288691519</v>
      </c>
      <c r="Y59" s="15" cm="1">
        <f t="array" ref="Y59">EVAL($AH$14,B59)</f>
        <v>0.2455511288691519</v>
      </c>
    </row>
    <row r="60" spans="1:25" x14ac:dyDescent="0.25">
      <c r="A60" s="20">
        <v>6.7</v>
      </c>
      <c r="B60" s="41">
        <f t="shared" si="0"/>
        <v>21.048670779051616</v>
      </c>
      <c r="C60" s="15" cm="1">
        <f t="array" ref="C60">EVAL($AG$6,B60)</f>
        <v>117.98627733532636</v>
      </c>
      <c r="D60" s="15" cm="1">
        <f t="array" ref="D60">EVAL($AG$7,B60)</f>
        <v>2.4958033997031293</v>
      </c>
      <c r="F60" s="15" cm="1">
        <f t="array" ref="F60">EVAL($AG$9,B60)</f>
        <v>0.46866708497948212</v>
      </c>
      <c r="G60" s="15" cm="1">
        <f t="array" ref="G60">EVAL($AG$10,B60)</f>
        <v>0.46866708497948212</v>
      </c>
      <c r="H60" s="15" cm="1">
        <f t="array" ref="H60">EVAL($AG$11,B60)</f>
        <v>0.46866708497948212</v>
      </c>
      <c r="I60" s="15" cm="1">
        <f t="array" ref="I60">EVAL($AG$12,B60)</f>
        <v>0.49914575371979442</v>
      </c>
      <c r="J60" s="15" cm="1">
        <f t="array" ref="J60">EVAL($AG$13,B60)</f>
        <v>41.18517021367694</v>
      </c>
      <c r="K60" s="15" cm="1">
        <f t="array" ref="K60">EVAL($AG$14,B60)</f>
        <v>0.41357616659015767</v>
      </c>
      <c r="L60" s="15" cm="1">
        <f t="array" ref="L60">EVAL($AG$15,B60)</f>
        <v>28.627890891583554</v>
      </c>
      <c r="M60" s="15" cm="1">
        <f t="array" ref="M60">EVAL($AG$16,B60)</f>
        <v>0.43156947270827506</v>
      </c>
      <c r="N60" s="15" cm="1">
        <f t="array" ref="N60">EVAL($AG$17,B60)</f>
        <v>21.980023910539785</v>
      </c>
      <c r="O60" s="15" cm="1">
        <f t="array" ref="O60">EVAL($AG$18,B60)</f>
        <v>1.991870207393253E-2</v>
      </c>
      <c r="P60" s="15" cm="1">
        <f t="array" ref="P60">EVAL($AG$19,B60)</f>
        <v>1.991870207393253E-2</v>
      </c>
      <c r="Q60" s="15" cm="1">
        <f t="array" ref="Q60">EVAL($AH$6,B60)</f>
        <v>0.64115073774164311</v>
      </c>
      <c r="R60" s="15" cm="1">
        <f t="array" ref="R60">EVAL($AH$7,B60)</f>
        <v>0.64115073774164311</v>
      </c>
      <c r="T60" s="15" cm="1">
        <f t="array" ref="T60">EVAL($AH$9,B60)</f>
        <v>0.43755193994463687</v>
      </c>
      <c r="U60" s="15" cm="1">
        <f t="array" ref="U60">EVAL($AH$10,B60)</f>
        <v>0.43755193994463687</v>
      </c>
      <c r="V60" s="15" cm="1">
        <f t="array" ref="V60">EVAL($AH$11,B60)</f>
        <v>0.43755193994463687</v>
      </c>
      <c r="W60" s="15" cm="1">
        <f t="array" ref="W60">EVAL($AH$12,B60)</f>
        <v>3.8675370621324361</v>
      </c>
      <c r="X60" s="15" cm="1">
        <f t="array" ref="X60">EVAL($AH$13,B60)</f>
        <v>0.24651455861301877</v>
      </c>
      <c r="Y60" s="15" cm="1">
        <f t="array" ref="Y60">EVAL($AH$14,B60)</f>
        <v>0.24651455861301877</v>
      </c>
    </row>
    <row r="61" spans="1:25" x14ac:dyDescent="0.25">
      <c r="A61" s="20">
        <v>6.8000000000000096</v>
      </c>
      <c r="B61" s="41">
        <f t="shared" si="0"/>
        <v>21.362830044410622</v>
      </c>
      <c r="C61" s="15" cm="1">
        <f t="array" ref="C61">EVAL($AG$6,B61)</f>
        <v>119.20121598015622</v>
      </c>
      <c r="D61" s="15" cm="1">
        <f t="array" ref="D61">EVAL($AG$7,B61)</f>
        <v>2.5062300361130165</v>
      </c>
      <c r="F61" s="15" cm="1">
        <f t="array" ref="F61">EVAL($AG$9,B61)</f>
        <v>0.4757755859289981</v>
      </c>
      <c r="G61" s="15" cm="1">
        <f t="array" ref="G61">EVAL($AG$10,B61)</f>
        <v>0.4757755859289981</v>
      </c>
      <c r="H61" s="15" cm="1">
        <f t="array" ref="H61">EVAL($AG$11,B61)</f>
        <v>0.4757755859289981</v>
      </c>
      <c r="I61" s="15" cm="1">
        <f t="array" ref="I61">EVAL($AG$12,B61)</f>
        <v>0.506177819874982</v>
      </c>
      <c r="J61" s="15" cm="1">
        <f t="array" ref="J61">EVAL($AG$13,B61)</f>
        <v>41.645220020431807</v>
      </c>
      <c r="K61" s="15" cm="1">
        <f t="array" ref="K61">EVAL($AG$14,B61)</f>
        <v>0.41889289394388046</v>
      </c>
      <c r="L61" s="15" cm="1">
        <f t="array" ref="L61">EVAL($AG$15,B61)</f>
        <v>28.886880764627431</v>
      </c>
      <c r="M61" s="15" cm="1">
        <f t="array" ref="M61">EVAL($AG$16,B61)</f>
        <v>0.43484134094494531</v>
      </c>
      <c r="N61" s="15" cm="1">
        <f t="array" ref="N61">EVAL($AG$17,B61)</f>
        <v>22.113416766884978</v>
      </c>
      <c r="O61" s="15" cm="1">
        <f t="array" ref="O61">EVAL($AG$18,B61)</f>
        <v>1.9756179938170849E-2</v>
      </c>
      <c r="P61" s="15" cm="1">
        <f t="array" ref="P61">EVAL($AG$19,B61)</f>
        <v>1.9756179938170849E-2</v>
      </c>
      <c r="Q61" s="15" cm="1">
        <f t="array" ref="Q61">EVAL($AH$6,B61)</f>
        <v>0.64508859536178575</v>
      </c>
      <c r="R61" s="15" cm="1">
        <f t="array" ref="R61">EVAL($AH$7,B61)</f>
        <v>0.64508859536178575</v>
      </c>
      <c r="T61" s="15" cm="1">
        <f t="array" ref="T61">EVAL($AH$9,B61)</f>
        <v>0.44009129372649647</v>
      </c>
      <c r="U61" s="15" cm="1">
        <f t="array" ref="U61">EVAL($AH$10,B61)</f>
        <v>0.44009129372649647</v>
      </c>
      <c r="V61" s="15" cm="1">
        <f t="array" ref="V61">EVAL($AH$11,B61)</f>
        <v>0.44009129372649647</v>
      </c>
      <c r="W61" s="15" cm="1">
        <f t="array" ref="W61">EVAL($AH$12,B61)</f>
        <v>3.9531690413305074</v>
      </c>
      <c r="X61" s="15" cm="1">
        <f t="array" ref="X61">EVAL($AH$13,B61)</f>
        <v>0.24746741119196253</v>
      </c>
      <c r="Y61" s="15" cm="1">
        <f t="array" ref="Y61">EVAL($AH$14,B61)</f>
        <v>0.24746741119196253</v>
      </c>
    </row>
    <row r="62" spans="1:25" x14ac:dyDescent="0.25">
      <c r="A62" s="20">
        <v>6.9000000000000101</v>
      </c>
      <c r="B62" s="41">
        <f t="shared" si="0"/>
        <v>21.676989309769603</v>
      </c>
      <c r="C62" s="15" cm="1">
        <f t="array" ref="C62">EVAL($AG$6,B62)</f>
        <v>120.41065499011324</v>
      </c>
      <c r="D62" s="15" cm="1">
        <f t="array" ref="D62">EVAL($AG$7,B62)</f>
        <v>2.5165470623197943</v>
      </c>
      <c r="F62" s="15" cm="1">
        <f t="array" ref="F62">EVAL($AG$9,B62)</f>
        <v>0.48288577018010326</v>
      </c>
      <c r="G62" s="15" cm="1">
        <f t="array" ref="G62">EVAL($AG$10,B62)</f>
        <v>0.48288577018010326</v>
      </c>
      <c r="H62" s="15" cm="1">
        <f t="array" ref="H62">EVAL($AG$11,B62)</f>
        <v>0.48288577018010326</v>
      </c>
      <c r="I62" s="15" cm="1">
        <f t="array" ref="I62">EVAL($AG$12,B62)</f>
        <v>0.51320412808589622</v>
      </c>
      <c r="J62" s="15" cm="1">
        <f t="array" ref="J62">EVAL($AG$13,B62)</f>
        <v>42.10358015639418</v>
      </c>
      <c r="K62" s="15" cm="1">
        <f t="array" ref="K62">EVAL($AG$14,B62)</f>
        <v>0.42419885760111847</v>
      </c>
      <c r="L62" s="15" cm="1">
        <f t="array" ref="L62">EVAL($AG$15,B62)</f>
        <v>29.144381489629541</v>
      </c>
      <c r="M62" s="15" cm="1">
        <f t="array" ref="M62">EVAL($AG$16,B62)</f>
        <v>0.43808970662076518</v>
      </c>
      <c r="N62" s="15" cm="1">
        <f t="array" ref="N62">EVAL($AG$17,B62)</f>
        <v>22.245654085285704</v>
      </c>
      <c r="O62" s="15" cm="1">
        <f t="array" ref="O62">EVAL($AG$18,B62)</f>
        <v>1.9597327689792225E-2</v>
      </c>
      <c r="P62" s="15" cm="1">
        <f t="array" ref="P62">EVAL($AG$19,B62)</f>
        <v>1.9597327689792225E-2</v>
      </c>
      <c r="Q62" s="15" cm="1">
        <f t="array" ref="Q62">EVAL($AH$6,B62)</f>
        <v>0.64899262195674456</v>
      </c>
      <c r="R62" s="15" cm="1">
        <f t="array" ref="R62">EVAL($AH$7,B62)</f>
        <v>0.64899262195674456</v>
      </c>
      <c r="T62" s="15" cm="1">
        <f t="array" ref="T62">EVAL($AH$9,B62)</f>
        <v>0.44260799102442422</v>
      </c>
      <c r="U62" s="15" cm="1">
        <f t="array" ref="U62">EVAL($AH$10,B62)</f>
        <v>0.44260799102442422</v>
      </c>
      <c r="V62" s="15" cm="1">
        <f t="array" ref="V62">EVAL($AH$11,B62)</f>
        <v>0.44260799102442422</v>
      </c>
      <c r="W62" s="15" cm="1">
        <f t="array" ref="W62">EVAL($AH$12,B62)</f>
        <v>4.039405353856294</v>
      </c>
      <c r="X62" s="15" cm="1">
        <f t="array" ref="X62">EVAL($AH$13,B62)</f>
        <v>0.24840995574796704</v>
      </c>
      <c r="Y62" s="15" cm="1">
        <f t="array" ref="Y62">EVAL($AH$14,B62)</f>
        <v>0.24840995574796704</v>
      </c>
    </row>
    <row r="63" spans="1:25" x14ac:dyDescent="0.25">
      <c r="A63" s="20">
        <v>7.0000000000000098</v>
      </c>
      <c r="B63" s="41">
        <f t="shared" si="0"/>
        <v>21.991148575128584</v>
      </c>
      <c r="C63" s="15" cm="1">
        <f t="array" ref="C63">EVAL($AG$6,B63)</f>
        <v>121.61469843351799</v>
      </c>
      <c r="D63" s="15" cm="1">
        <f t="array" ref="D63">EVAL($AG$7,B63)</f>
        <v>2.526757194435179</v>
      </c>
      <c r="F63" s="15" cm="1">
        <f t="array" ref="F63">EVAL($AG$9,B63)</f>
        <v>0.48999761372539874</v>
      </c>
      <c r="G63" s="15" cm="1">
        <f t="array" ref="G63">EVAL($AG$10,B63)</f>
        <v>0.48999761372539874</v>
      </c>
      <c r="H63" s="15" cm="1">
        <f t="array" ref="H63">EVAL($AG$11,B63)</f>
        <v>0.48999761372539874</v>
      </c>
      <c r="I63" s="15" cm="1">
        <f t="array" ref="I63">EVAL($AG$12,B63)</f>
        <v>0.52022476641974524</v>
      </c>
      <c r="J63" s="15" cm="1">
        <f t="array" ref="J63">EVAL($AG$13,B63)</f>
        <v>42.560281183152156</v>
      </c>
      <c r="K63" s="15" cm="1">
        <f t="array" ref="K63">EVAL($AG$14,B63)</f>
        <v>0.42949423488904465</v>
      </c>
      <c r="L63" s="15" cm="1">
        <f t="array" ref="L63">EVAL($AG$15,B63)</f>
        <v>29.400423027594886</v>
      </c>
      <c r="M63" s="15" cm="1">
        <f t="array" ref="M63">EVAL($AG$16,B63)</f>
        <v>0.44131507555968535</v>
      </c>
      <c r="N63" s="15" cm="1">
        <f t="array" ref="N63">EVAL($AG$17,B63)</f>
        <v>22.376762408073045</v>
      </c>
      <c r="O63" s="15" cm="1">
        <f t="array" ref="O63">EVAL($AG$18,B63)</f>
        <v>1.9442011050322266E-2</v>
      </c>
      <c r="P63" s="15" cm="1">
        <f t="array" ref="P63">EVAL($AG$19,B63)</f>
        <v>1.9442011050322266E-2</v>
      </c>
      <c r="Q63" s="15" cm="1">
        <f t="array" ref="Q63">EVAL($AH$6,B63)</f>
        <v>0.65286359224925505</v>
      </c>
      <c r="R63" s="15" cm="1">
        <f t="array" ref="R63">EVAL($AH$7,B63)</f>
        <v>0.65286359224925505</v>
      </c>
      <c r="T63" s="15" cm="1">
        <f t="array" ref="T63">EVAL($AH$9,B63)</f>
        <v>0.44510255800285414</v>
      </c>
      <c r="U63" s="15" cm="1">
        <f t="array" ref="U63">EVAL($AH$10,B63)</f>
        <v>0.44510255800285414</v>
      </c>
      <c r="V63" s="15" cm="1">
        <f t="array" ref="V63">EVAL($AH$11,B63)</f>
        <v>0.44510255800285414</v>
      </c>
      <c r="W63" s="15" cm="1">
        <f t="array" ref="W63">EVAL($AH$12,B63)</f>
        <v>4.1262414133507628</v>
      </c>
      <c r="X63" s="15" cm="1">
        <f t="array" ref="X63">EVAL($AH$13,B63)</f>
        <v>0.24934245079298975</v>
      </c>
      <c r="Y63" s="15" cm="1">
        <f t="array" ref="Y63">EVAL($AH$14,B63)</f>
        <v>0.24934245079298975</v>
      </c>
    </row>
    <row r="64" spans="1:25" x14ac:dyDescent="0.25">
      <c r="A64" s="20">
        <v>7.1</v>
      </c>
      <c r="B64" s="41">
        <f t="shared" si="0"/>
        <v>22.305307840487529</v>
      </c>
      <c r="C64" s="15" cm="1">
        <f t="array" ref="C64">EVAL($AG$6,B64)</f>
        <v>122.81344695388218</v>
      </c>
      <c r="D64" s="15" cm="1">
        <f t="array" ref="D64">EVAL($AG$7,B64)</f>
        <v>2.5368630436149595</v>
      </c>
      <c r="F64" s="15" cm="1">
        <f t="array" ref="F64">EVAL($AG$9,B64)</f>
        <v>0.49711109323803637</v>
      </c>
      <c r="G64" s="15" cm="1">
        <f t="array" ref="G64">EVAL($AG$10,B64)</f>
        <v>0.49711109323803637</v>
      </c>
      <c r="H64" s="15" cm="1">
        <f t="array" ref="H64">EVAL($AG$11,B64)</f>
        <v>0.49711109323803637</v>
      </c>
      <c r="I64" s="15" cm="1">
        <f t="array" ref="I64">EVAL($AG$12,B64)</f>
        <v>0.52723982035821648</v>
      </c>
      <c r="J64" s="15" cm="1">
        <f t="array" ref="J64">EVAL($AG$13,B64)</f>
        <v>43.01535268152611</v>
      </c>
      <c r="K64" s="15" cm="1">
        <f t="array" ref="K64">EVAL($AG$14,B64)</f>
        <v>0.43477919772403889</v>
      </c>
      <c r="L64" s="15" cm="1">
        <f t="array" ref="L64">EVAL($AG$15,B64)</f>
        <v>29.655034318438869</v>
      </c>
      <c r="M64" s="15" cm="1">
        <f t="array" ref="M64">EVAL($AG$16,B64)</f>
        <v>0.44451793565249048</v>
      </c>
      <c r="N64" s="15" cm="1">
        <f t="array" ref="N64">EVAL($AG$17,B64)</f>
        <v>22.506767298955083</v>
      </c>
      <c r="O64" s="15" cm="1">
        <f t="array" ref="O64">EVAL($AG$18,B64)</f>
        <v>1.9290102482337573E-2</v>
      </c>
      <c r="P64" s="15" cm="1">
        <f t="array" ref="P64">EVAL($AG$19,B64)</f>
        <v>1.9290102482337573E-2</v>
      </c>
      <c r="Q64" s="15" cm="1">
        <f t="array" ref="Q64">EVAL($AH$6,B64)</f>
        <v>0.65670225245082059</v>
      </c>
      <c r="R64" s="15" cm="1">
        <f t="array" ref="R64">EVAL($AH$7,B64)</f>
        <v>0.65670225245082059</v>
      </c>
      <c r="T64" s="15" cm="1">
        <f t="array" ref="T64">EVAL($AH$9,B64)</f>
        <v>0.44757550129563478</v>
      </c>
      <c r="U64" s="15" cm="1">
        <f t="array" ref="U64">EVAL($AH$10,B64)</f>
        <v>0.44757550129563478</v>
      </c>
      <c r="V64" s="15" cm="1">
        <f t="array" ref="V64">EVAL($AH$11,B64)</f>
        <v>0.44757550129563478</v>
      </c>
      <c r="W64" s="15" cm="1">
        <f t="array" ref="W64">EVAL($AH$12,B64)</f>
        <v>4.2136727335148674</v>
      </c>
      <c r="X64" s="15" cm="1">
        <f t="array" ref="X64">EVAL($AH$13,B64)</f>
        <v>0.25026514477392214</v>
      </c>
      <c r="Y64" s="15" cm="1">
        <f t="array" ref="Y64">EVAL($AH$14,B64)</f>
        <v>0.25026514477392214</v>
      </c>
    </row>
    <row r="65" spans="1:25" x14ac:dyDescent="0.25">
      <c r="A65" s="20">
        <v>7.2000000000000099</v>
      </c>
      <c r="B65" s="41">
        <f t="shared" si="0"/>
        <v>22.619467105846542</v>
      </c>
      <c r="C65" s="15" cm="1">
        <f t="array" ref="C65">EVAL($AG$6,B65)</f>
        <v>124.00699792917503</v>
      </c>
      <c r="D65" s="15" cm="1">
        <f t="array" ref="D65">EVAL($AG$7,B65)</f>
        <v>2.5468671215289151</v>
      </c>
      <c r="F65" s="15" cm="1">
        <f t="array" ref="F65">EVAL($AG$9,B65)</f>
        <v>0.50422618604311853</v>
      </c>
      <c r="G65" s="15" cm="1">
        <f t="array" ref="G65">EVAL($AG$10,B65)</f>
        <v>0.50422618604311853</v>
      </c>
      <c r="H65" s="15" cm="1">
        <f t="array" ref="H65">EVAL($AG$11,B65)</f>
        <v>0.50422618604311853</v>
      </c>
      <c r="I65" s="15" cm="1">
        <f t="array" ref="I65">EVAL($AG$12,B65)</f>
        <v>0.53424937290873153</v>
      </c>
      <c r="J65" s="15" cm="1">
        <f t="array" ref="J65">EVAL($AG$13,B65)</f>
        <v>43.468823296393026</v>
      </c>
      <c r="K65" s="15" cm="1">
        <f t="array" ref="K65">EVAL($AG$14,B65)</f>
        <v>0.44005391285061923</v>
      </c>
      <c r="L65" s="15" cm="1">
        <f t="array" ref="L65">EVAL($AG$15,B65)</f>
        <v>29.908243329642787</v>
      </c>
      <c r="M65" s="15" cm="1">
        <f t="array" ref="M65">EVAL($AG$16,B65)</f>
        <v>0.447698757735425</v>
      </c>
      <c r="N65" s="15" cm="1">
        <f t="array" ref="N65">EVAL($AG$17,B65)</f>
        <v>22.635693392321521</v>
      </c>
      <c r="O65" s="15" cm="1">
        <f t="array" ref="O65">EVAL($AG$18,B65)</f>
        <v>1.9141480761842623E-2</v>
      </c>
      <c r="P65" s="15" cm="1">
        <f t="array" ref="P65">EVAL($AG$19,B65)</f>
        <v>1.9141480761842623E-2</v>
      </c>
      <c r="Q65" s="15" cm="1">
        <f t="array" ref="Q65">EVAL($AH$6,B65)</f>
        <v>0.66050932169624721</v>
      </c>
      <c r="R65" s="15" cm="1">
        <f t="array" ref="R65">EVAL($AH$7,B65)</f>
        <v>0.66050932169624721</v>
      </c>
      <c r="T65" s="15" cm="1">
        <f t="array" ref="T65">EVAL($AH$9,B65)</f>
        <v>0.45002730899476506</v>
      </c>
      <c r="U65" s="15" cm="1">
        <f t="array" ref="U65">EVAL($AH$10,B65)</f>
        <v>0.45002730899476506</v>
      </c>
      <c r="V65" s="15" cm="1">
        <f t="array" ref="V65">EVAL($AH$11,B65)</f>
        <v>0.45002730899476506</v>
      </c>
      <c r="W65" s="15" cm="1">
        <f t="array" ref="W65">EVAL($AH$12,B65)</f>
        <v>4.3016949245431579</v>
      </c>
      <c r="X65" s="15" cm="1">
        <f t="array" ref="X65">EVAL($AH$13,B65)</f>
        <v>0.25117827660002789</v>
      </c>
      <c r="Y65" s="15" cm="1">
        <f t="array" ref="Y65">EVAL($AH$14,B65)</f>
        <v>0.25117827660002789</v>
      </c>
    </row>
    <row r="66" spans="1:25" x14ac:dyDescent="0.25">
      <c r="A66" s="20">
        <v>7.3000000000000096</v>
      </c>
      <c r="B66" s="41">
        <f t="shared" si="0"/>
        <v>22.93362637120552</v>
      </c>
      <c r="C66" s="15" cm="1">
        <f t="array" ref="C66">EVAL($AG$6,B66)</f>
        <v>125.19544562157439</v>
      </c>
      <c r="D66" s="15" cm="1">
        <f t="array" ref="D66">EVAL($AG$7,B66)</f>
        <v>2.5567718454739672</v>
      </c>
      <c r="F66" s="15" cm="1">
        <f t="array" ref="F66">EVAL($AG$9,B66)</f>
        <v>0.51134287009066093</v>
      </c>
      <c r="G66" s="15" cm="1">
        <f t="array" ref="G66">EVAL($AG$10,B66)</f>
        <v>0.51134287009066093</v>
      </c>
      <c r="H66" s="15" cm="1">
        <f t="array" ref="H66">EVAL($AG$11,B66)</f>
        <v>0.51134287009066093</v>
      </c>
      <c r="I66" s="15" cm="1">
        <f t="array" ref="I66">EVAL($AG$12,B66)</f>
        <v>0.54125350470941613</v>
      </c>
      <c r="J66" s="15" cm="1">
        <f t="array" ref="J66">EVAL($AG$13,B66)</f>
        <v>43.920720778867498</v>
      </c>
      <c r="K66" s="15" cm="1">
        <f t="array" ref="K66">EVAL($AG$14,B66)</f>
        <v>0.44531854206663962</v>
      </c>
      <c r="L66" s="15" cm="1">
        <f t="array" ref="L66">EVAL($AG$15,B66)</f>
        <v>30.160077101947984</v>
      </c>
      <c r="M66" s="15" cm="1">
        <f t="array" ref="M66">EVAL($AG$16,B66)</f>
        <v>0.45085799641419277</v>
      </c>
      <c r="N66" s="15" cm="1">
        <f t="array" ref="N66">EVAL($AG$17,B66)</f>
        <v>22.763564439416225</v>
      </c>
      <c r="O66" s="15" cm="1">
        <f t="array" ref="O66">EVAL($AG$18,B66)</f>
        <v>1.8996030583277208E-2</v>
      </c>
      <c r="P66" s="15" cm="1">
        <f t="array" ref="P66">EVAL($AG$19,B66)</f>
        <v>1.8996030583277208E-2</v>
      </c>
      <c r="Q66" s="15" cm="1">
        <f t="array" ref="Q66">EVAL($AH$6,B66)</f>
        <v>0.66428549338713871</v>
      </c>
      <c r="R66" s="15" cm="1">
        <f t="array" ref="R66">EVAL($AH$7,B66)</f>
        <v>0.66428549338713871</v>
      </c>
      <c r="T66" s="15" cm="1">
        <f t="array" ref="T66">EVAL($AH$9,B66)</f>
        <v>0.45245845157608322</v>
      </c>
      <c r="U66" s="15" cm="1">
        <f t="array" ref="U66">EVAL($AH$10,B66)</f>
        <v>0.45245845157608322</v>
      </c>
      <c r="V66" s="15" cm="1">
        <f t="array" ref="V66">EVAL($AH$11,B66)</f>
        <v>0.45245845157608322</v>
      </c>
      <c r="W66" s="15" cm="1">
        <f t="array" ref="W66">EVAL($AH$12,B66)</f>
        <v>4.3903036897321828</v>
      </c>
      <c r="X66" s="15" cm="1">
        <f t="array" ref="X66">EVAL($AH$13,B66)</f>
        <v>0.25208207613583228</v>
      </c>
      <c r="Y66" s="15" cm="1">
        <f t="array" ref="Y66">EVAL($AH$14,B66)</f>
        <v>0.25208207613583228</v>
      </c>
    </row>
    <row r="67" spans="1:25" x14ac:dyDescent="0.25">
      <c r="A67" s="20">
        <v>7.4000000000000101</v>
      </c>
      <c r="B67" s="41">
        <f t="shared" si="0"/>
        <v>23.247785636564501</v>
      </c>
      <c r="C67" s="15" cm="1">
        <f t="array" ref="C67">EVAL($AG$6,B67)</f>
        <v>126.37888131840043</v>
      </c>
      <c r="D67" s="15" cm="1">
        <f t="array" ref="D67">EVAL($AG$7,B67)</f>
        <v>2.5665795431584306</v>
      </c>
      <c r="F67" s="15" cm="1">
        <f t="array" ref="F67">EVAL($AG$9,B67)</f>
        <v>0.51846112393005062</v>
      </c>
      <c r="G67" s="15" cm="1">
        <f t="array" ref="G67">EVAL($AG$10,B67)</f>
        <v>0.51846112393005062</v>
      </c>
      <c r="H67" s="15" cm="1">
        <f t="array" ref="H67">EVAL($AG$11,B67)</f>
        <v>0.51846112393005062</v>
      </c>
      <c r="I67" s="15" cm="1">
        <f t="array" ref="I67">EVAL($AG$12,B67)</f>
        <v>0.54825229412825827</v>
      </c>
      <c r="J67" s="15" cm="1">
        <f t="array" ref="J67">EVAL($AG$13,B67)</f>
        <v>44.371072026032209</v>
      </c>
      <c r="K67" s="15" cm="1">
        <f t="array" ref="K67">EVAL($AG$14,B67)</f>
        <v>0.45057324243574554</v>
      </c>
      <c r="L67" s="15" cm="1">
        <f t="array" ref="L67">EVAL($AG$15,B67)</f>
        <v>30.410561792308613</v>
      </c>
      <c r="M67" s="15" cm="1">
        <f t="array" ref="M67">EVAL($AG$16,B67)</f>
        <v>0.45399609083744541</v>
      </c>
      <c r="N67" s="15" cm="1">
        <f t="array" ref="N67">EVAL($AG$17,B67)</f>
        <v>22.890403351617206</v>
      </c>
      <c r="O67" s="15" cm="1">
        <f t="array" ref="O67">EVAL($AG$18,B67)</f>
        <v>1.8853642194255039E-2</v>
      </c>
      <c r="P67" s="15" cm="1">
        <f t="array" ref="P67">EVAL($AG$19,B67)</f>
        <v>1.8853642194255039E-2</v>
      </c>
      <c r="Q67" s="15" cm="1">
        <f t="array" ref="Q67">EVAL($AH$6,B67)</f>
        <v>0.66803143645131768</v>
      </c>
      <c r="R67" s="15" cm="1">
        <f t="array" ref="R67">EVAL($AH$7,B67)</f>
        <v>0.66803143645131768</v>
      </c>
      <c r="T67" s="15" cm="1">
        <f t="array" ref="T67">EVAL($AH$9,B67)</f>
        <v>0.45486938276674804</v>
      </c>
      <c r="U67" s="15" cm="1">
        <f t="array" ref="U67">EVAL($AH$10,B67)</f>
        <v>0.45486938276674804</v>
      </c>
      <c r="V67" s="15" cm="1">
        <f t="array" ref="V67">EVAL($AH$11,B67)</f>
        <v>0.45486938276674804</v>
      </c>
      <c r="W67" s="15" cm="1">
        <f t="array" ref="W67">EVAL($AH$12,B67)</f>
        <v>4.4794948222533524</v>
      </c>
      <c r="X67" s="15" cm="1">
        <f t="array" ref="X67">EVAL($AH$13,B67)</f>
        <v>0.25297676466216973</v>
      </c>
      <c r="Y67" s="15" cm="1">
        <f t="array" ref="Y67">EVAL($AH$14,B67)</f>
        <v>0.25297676466216973</v>
      </c>
    </row>
    <row r="68" spans="1:25" x14ac:dyDescent="0.25">
      <c r="A68" s="20">
        <v>7.5000000000000098</v>
      </c>
      <c r="B68" s="41">
        <f t="shared" ref="B68:B131" si="1">A68*PI()</f>
        <v>23.561944901923479</v>
      </c>
      <c r="C68" s="15" cm="1">
        <f t="array" ref="C68">EVAL($AG$6,B68)</f>
        <v>127.55739346485768</v>
      </c>
      <c r="D68" s="15" cm="1">
        <f t="array" ref="D68">EVAL($AG$7,B68)</f>
        <v>2.5762924571826256</v>
      </c>
      <c r="F68" s="15" cm="1">
        <f t="array" ref="F68">EVAL($AG$9,B68)</f>
        <v>0.52558092668586898</v>
      </c>
      <c r="G68" s="15" cm="1">
        <f t="array" ref="G68">EVAL($AG$10,B68)</f>
        <v>0.52558092668586898</v>
      </c>
      <c r="H68" s="15" cm="1">
        <f t="array" ref="H68">EVAL($AG$11,B68)</f>
        <v>0.52558092668586898</v>
      </c>
      <c r="I68" s="15" cm="1">
        <f t="array" ref="I68">EVAL($AG$12,B68)</f>
        <v>0.55524581735682366</v>
      </c>
      <c r="J68" s="15" cm="1">
        <f t="array" ref="J68">EVAL($AG$13,B68)</f>
        <v>44.81990311838922</v>
      </c>
      <c r="K68" s="15" cm="1">
        <f t="array" ref="K68">EVAL($AG$14,B68)</f>
        <v>0.45581816648795365</v>
      </c>
      <c r="L68" s="15" cm="1">
        <f t="array" ref="L68">EVAL($AG$15,B68)</f>
        <v>30.659722714300997</v>
      </c>
      <c r="M68" s="15" cm="1">
        <f t="array" ref="M68">EVAL($AG$16,B68)</f>
        <v>0.4571134654234803</v>
      </c>
      <c r="N68" s="15" cm="1">
        <f t="array" ref="N68">EVAL($AG$17,B68)</f>
        <v>23.016232241041354</v>
      </c>
      <c r="O68" s="15" cm="1">
        <f t="array" ref="O68">EVAL($AG$18,B68)</f>
        <v>1.8714211057428591E-2</v>
      </c>
      <c r="P68" s="15" cm="1">
        <f t="array" ref="P68">EVAL($AG$19,B68)</f>
        <v>1.8714211057428591E-2</v>
      </c>
      <c r="Q68" s="15" cm="1">
        <f t="array" ref="Q68">EVAL($AH$6,B68)</f>
        <v>0.67174779652447492</v>
      </c>
      <c r="R68" s="15" cm="1">
        <f t="array" ref="R68">EVAL($AH$7,B68)</f>
        <v>0.67174779652447492</v>
      </c>
      <c r="T68" s="15" cm="1">
        <f t="array" ref="T68">EVAL($AH$9,B68)</f>
        <v>0.45726054035889702</v>
      </c>
      <c r="U68" s="15" cm="1">
        <f t="array" ref="U68">EVAL($AH$10,B68)</f>
        <v>0.45726054035889702</v>
      </c>
      <c r="V68" s="15" cm="1">
        <f t="array" ref="V68">EVAL($AH$11,B68)</f>
        <v>0.45726054035889702</v>
      </c>
      <c r="W68" s="15" cm="1">
        <f t="array" ref="W68">EVAL($AH$12,B68)</f>
        <v>4.5692642020797596</v>
      </c>
      <c r="X68" s="15" cm="1">
        <f t="array" ref="X68">EVAL($AH$13,B68)</f>
        <v>0.25386255530784474</v>
      </c>
      <c r="Y68" s="15" cm="1">
        <f t="array" ref="Y68">EVAL($AH$14,B68)</f>
        <v>0.25386255530784474</v>
      </c>
    </row>
    <row r="69" spans="1:25" x14ac:dyDescent="0.25">
      <c r="A69" s="20">
        <v>7.6000000000000103</v>
      </c>
      <c r="B69" s="41">
        <f t="shared" si="1"/>
        <v>23.87610416728246</v>
      </c>
      <c r="C69" s="15" cm="1">
        <f t="array" ref="C69">EVAL($AG$6,B69)</f>
        <v>128.7310677891671</v>
      </c>
      <c r="D69" s="15" cm="1">
        <f t="array" ref="D69">EVAL($AG$7,B69)</f>
        <v>2.5859127492389096</v>
      </c>
      <c r="F69" s="15" cm="1">
        <f t="array" ref="F69">EVAL($AG$9,B69)</f>
        <v>0.53270225803500471</v>
      </c>
      <c r="G69" s="15" cm="1">
        <f t="array" ref="G69">EVAL($AG$10,B69)</f>
        <v>0.53270225803500471</v>
      </c>
      <c r="H69" s="15" cm="1">
        <f t="array" ref="H69">EVAL($AG$11,B69)</f>
        <v>0.53270225803500471</v>
      </c>
      <c r="I69" s="15" cm="1">
        <f t="array" ref="I69">EVAL($AG$12,B69)</f>
        <v>0.56223414849890729</v>
      </c>
      <c r="J69" s="15" cm="1">
        <f t="array" ref="J69">EVAL($AG$13,B69)</f>
        <v>45.267239355192409</v>
      </c>
      <c r="K69" s="15" cm="1">
        <f t="array" ref="K69">EVAL($AG$14,B69)</f>
        <v>0.4610534624091745</v>
      </c>
      <c r="L69" s="15" cm="1">
        <f t="array" ref="L69">EVAL($AG$15,B69)</f>
        <v>30.907584376172569</v>
      </c>
      <c r="M69" s="15" cm="1">
        <f t="array" ref="M69">EVAL($AG$16,B69)</f>
        <v>0.46021053054356958</v>
      </c>
      <c r="N69" s="15" cm="1">
        <f t="array" ref="N69">EVAL($AG$17,B69)</f>
        <v>23.141072458672827</v>
      </c>
      <c r="O69" s="15" cm="1">
        <f t="array" ref="O69">EVAL($AG$18,B69)</f>
        <v>1.8577637537134033E-2</v>
      </c>
      <c r="P69" s="15" cm="1">
        <f t="array" ref="P69">EVAL($AG$19,B69)</f>
        <v>1.8577637537134033E-2</v>
      </c>
      <c r="Q69" s="15" cm="1">
        <f t="array" ref="Q69">EVAL($AH$6,B69)</f>
        <v>0.67543519705983168</v>
      </c>
      <c r="R69" s="15" cm="1">
        <f t="array" ref="R69">EVAL($AH$7,B69)</f>
        <v>0.67543519705983168</v>
      </c>
      <c r="T69" s="15" cm="1">
        <f t="array" ref="T69">EVAL($AH$9,B69)</f>
        <v>0.45963234697349548</v>
      </c>
      <c r="U69" s="15" cm="1">
        <f t="array" ref="U69">EVAL($AH$10,B69)</f>
        <v>0.45963234697349548</v>
      </c>
      <c r="V69" s="15" cm="1">
        <f t="array" ref="V69">EVAL($AH$11,B69)</f>
        <v>0.45963234697349548</v>
      </c>
      <c r="W69" s="15" cm="1">
        <f t="array" ref="W69">EVAL($AH$12,B69)</f>
        <v>4.6596077930578534</v>
      </c>
      <c r="X69" s="15" cm="1">
        <f t="array" ref="X69">EVAL($AH$13,B69)</f>
        <v>0.25473965345414473</v>
      </c>
      <c r="Y69" s="15" cm="1">
        <f t="array" ref="Y69">EVAL($AH$14,B69)</f>
        <v>0.25473965345414473</v>
      </c>
    </row>
    <row r="70" spans="1:25" x14ac:dyDescent="0.25">
      <c r="A70" s="20">
        <v>7.7000000000000099</v>
      </c>
      <c r="B70" s="41">
        <f t="shared" si="1"/>
        <v>24.190263432641437</v>
      </c>
      <c r="C70" s="15" cm="1">
        <f t="array" ref="C70">EVAL($AG$6,B70)</f>
        <v>129.89998742061653</v>
      </c>
      <c r="D70" s="15" cm="1">
        <f t="array" ref="D70">EVAL($AG$7,B70)</f>
        <v>2.5954425040521381</v>
      </c>
      <c r="F70" s="15" cm="1">
        <f t="array" ref="F70">EVAL($AG$9,B70)</f>
        <v>0.53982509818495905</v>
      </c>
      <c r="G70" s="15" cm="1">
        <f t="array" ref="G70">EVAL($AG$10,B70)</f>
        <v>0.53982509818495905</v>
      </c>
      <c r="H70" s="15" cm="1">
        <f t="array" ref="H70">EVAL($AG$11,B70)</f>
        <v>0.53982509818495905</v>
      </c>
      <c r="I70" s="15" cm="1">
        <f t="array" ref="I70">EVAL($AG$12,B70)</f>
        <v>0.56921735965445219</v>
      </c>
      <c r="J70" s="15" cm="1">
        <f t="array" ref="J70">EVAL($AG$13,B70)</f>
        <v>45.713105287806719</v>
      </c>
      <c r="K70" s="15" cm="1">
        <f t="array" ref="K70">EVAL($AG$14,B70)</f>
        <v>0.46627927422042359</v>
      </c>
      <c r="L70" s="15" cm="1">
        <f t="array" ref="L70">EVAL($AG$15,B70)</f>
        <v>31.15417051669716</v>
      </c>
      <c r="M70" s="15" cm="1">
        <f t="array" ref="M70">EVAL($AG$16,B70)</f>
        <v>0.46328768316504099</v>
      </c>
      <c r="N70" s="15" cm="1">
        <f t="array" ref="N70">EVAL($AG$17,B70)</f>
        <v>23.264944630196482</v>
      </c>
      <c r="O70" s="15" cm="1">
        <f t="array" ref="O70">EVAL($AG$18,B70)</f>
        <v>1.8443826608701069E-2</v>
      </c>
      <c r="P70" s="15" cm="1">
        <f t="array" ref="P70">EVAL($AG$19,B70)</f>
        <v>1.8443826608701069E-2</v>
      </c>
      <c r="Q70" s="15" cm="1">
        <f t="array" ref="Q70">EVAL($AH$6,B70)</f>
        <v>0.67909424037107857</v>
      </c>
      <c r="R70" s="15" cm="1">
        <f t="array" ref="R70">EVAL($AH$7,B70)</f>
        <v>0.67909424037107857</v>
      </c>
      <c r="T70" s="15" cm="1">
        <f t="array" ref="T70">EVAL($AH$9,B70)</f>
        <v>0.46198521077803711</v>
      </c>
      <c r="U70" s="15" cm="1">
        <f t="array" ref="U70">EVAL($AH$10,B70)</f>
        <v>0.46198521077803711</v>
      </c>
      <c r="V70" s="15" cm="1">
        <f t="array" ref="V70">EVAL($AH$11,B70)</f>
        <v>0.46198521077803711</v>
      </c>
      <c r="W70" s="15" cm="1">
        <f t="array" ref="W70">EVAL($AH$12,B70)</f>
        <v>4.7505216401152239</v>
      </c>
      <c r="X70" s="15" cm="1">
        <f t="array" ref="X70">EVAL($AH$13,B70)</f>
        <v>0.25560825711424562</v>
      </c>
      <c r="Y70" s="15" cm="1">
        <f t="array" ref="Y70">EVAL($AH$14,B70)</f>
        <v>0.25560825711424562</v>
      </c>
    </row>
    <row r="71" spans="1:25" x14ac:dyDescent="0.25">
      <c r="A71" s="20">
        <v>7.8000000000000096</v>
      </c>
      <c r="B71" s="41">
        <f t="shared" si="1"/>
        <v>24.504422698000415</v>
      </c>
      <c r="C71" s="15" cm="1">
        <f t="array" ref="C71">EVAL($AG$6,B71)</f>
        <v>131.06423300102054</v>
      </c>
      <c r="D71" s="15" cm="1">
        <f t="array" ref="D71">EVAL($AG$7,B71)</f>
        <v>2.6048837330797592</v>
      </c>
      <c r="F71" s="15" cm="1">
        <f t="array" ref="F71">EVAL($AG$9,B71)</f>
        <v>0.54694942785329026</v>
      </c>
      <c r="G71" s="15" cm="1">
        <f t="array" ref="G71">EVAL($AG$10,B71)</f>
        <v>0.54694942785329026</v>
      </c>
      <c r="H71" s="15" cm="1">
        <f t="array" ref="H71">EVAL($AG$11,B71)</f>
        <v>0.54694942785329026</v>
      </c>
      <c r="I71" s="15" cm="1">
        <f t="array" ref="I71">EVAL($AG$12,B71)</f>
        <v>0.57619552099905924</v>
      </c>
      <c r="J71" s="15" cm="1">
        <f t="array" ref="J71">EVAL($AG$13,B71)</f>
        <v>46.157524751229566</v>
      </c>
      <c r="K71" s="15" cm="1">
        <f t="array" ref="K71">EVAL($AG$14,B71)</f>
        <v>0.47149574194741656</v>
      </c>
      <c r="L71" s="15" cm="1">
        <f t="array" ref="L71">EVAL($AG$15,B71)</f>
        <v>31.39950413899043</v>
      </c>
      <c r="M71" s="15" cm="1">
        <f t="array" ref="M71">EVAL($AG$16,B71)</f>
        <v>0.46634530745697611</v>
      </c>
      <c r="N71" s="15" cm="1">
        <f t="array" ref="N71">EVAL($AG$17,B71)</f>
        <v>23.387868689702628</v>
      </c>
      <c r="O71" s="15" cm="1">
        <f t="array" ref="O71">EVAL($AG$18,B71)</f>
        <v>1.8312687588517854E-2</v>
      </c>
      <c r="P71" s="15" cm="1">
        <f t="array" ref="P71">EVAL($AG$19,B71)</f>
        <v>1.8312687588517854E-2</v>
      </c>
      <c r="Q71" s="15" cm="1">
        <f t="array" ref="Q71">EVAL($AH$6,B71)</f>
        <v>0.68272550861342352</v>
      </c>
      <c r="R71" s="15" cm="1">
        <f t="array" ref="R71">EVAL($AH$7,B71)</f>
        <v>0.68272550861342352</v>
      </c>
      <c r="T71" s="15" cm="1">
        <f t="array" ref="T71">EVAL($AH$9,B71)</f>
        <v>0.46431952616144917</v>
      </c>
      <c r="U71" s="15" cm="1">
        <f t="array" ref="U71">EVAL($AH$10,B71)</f>
        <v>0.46431952616144917</v>
      </c>
      <c r="V71" s="15" cm="1">
        <f t="array" ref="V71">EVAL($AH$11,B71)</f>
        <v>0.46431952616144917</v>
      </c>
      <c r="W71" s="15" cm="1">
        <f t="array" ref="W71">EVAL($AH$12,B71)</f>
        <v>4.8420018665966245</v>
      </c>
      <c r="X71" s="15" cm="1">
        <f t="array" ref="X71">EVAL($AH$13,B71)</f>
        <v>0.25646855728937479</v>
      </c>
      <c r="Y71" s="15" cm="1">
        <f t="array" ref="Y71">EVAL($AH$14,B71)</f>
        <v>0.25646855728937479</v>
      </c>
    </row>
    <row r="72" spans="1:25" x14ac:dyDescent="0.25">
      <c r="A72" s="20">
        <v>7.9000000000000101</v>
      </c>
      <c r="B72" s="41">
        <f t="shared" si="1"/>
        <v>24.818581963359396</v>
      </c>
      <c r="C72" s="15" cm="1">
        <f t="array" ref="C72">EVAL($AG$6,B72)</f>
        <v>132.22388279003093</v>
      </c>
      <c r="D72" s="15" cm="1">
        <f t="array" ref="D72">EVAL($AG$7,B72)</f>
        <v>2.6142383779890532</v>
      </c>
      <c r="F72" s="15" cm="1">
        <f t="array" ref="F72">EVAL($AG$9,B72)</f>
        <v>0.5540752282480832</v>
      </c>
      <c r="G72" s="15" cm="1">
        <f t="array" ref="G72">EVAL($AG$10,B72)</f>
        <v>0.5540752282480832</v>
      </c>
      <c r="H72" s="15" cm="1">
        <f t="array" ref="H72">EVAL($AG$11,B72)</f>
        <v>0.5540752282480832</v>
      </c>
      <c r="I72" s="15" cm="1">
        <f t="array" ref="I72">EVAL($AG$12,B72)</f>
        <v>0.58316870085934447</v>
      </c>
      <c r="J72" s="15" cm="1">
        <f t="array" ref="J72">EVAL($AG$13,B72)</f>
        <v>46.600520893895798</v>
      </c>
      <c r="K72" s="15" cm="1">
        <f t="array" ref="K72">EVAL($AG$14,B72)</f>
        <v>0.47670300178115876</v>
      </c>
      <c r="L72" s="15" cm="1">
        <f t="array" ref="L72">EVAL($AG$15,B72)</f>
        <v>31.643607542425045</v>
      </c>
      <c r="M72" s="15" cm="1">
        <f t="array" ref="M72">EVAL($AG$16,B72)</f>
        <v>0.46938377536113762</v>
      </c>
      <c r="N72" s="15" cm="1">
        <f t="array" ref="N72">EVAL($AG$17,B72)</f>
        <v>23.509863911414641</v>
      </c>
      <c r="O72" s="15" cm="1">
        <f t="array" ref="O72">EVAL($AG$18,B72)</f>
        <v>1.8184133883124988E-2</v>
      </c>
      <c r="P72" s="15" cm="1">
        <f t="array" ref="P72">EVAL($AG$19,B72)</f>
        <v>1.8184133883124988E-2</v>
      </c>
      <c r="Q72" s="15" cm="1">
        <f t="array" ref="Q72">EVAL($AH$6,B72)</f>
        <v>0.68632956470715023</v>
      </c>
      <c r="R72" s="15" cm="1">
        <f t="array" ref="R72">EVAL($AH$7,B72)</f>
        <v>0.68632956470715023</v>
      </c>
      <c r="T72" s="15" cm="1">
        <f t="array" ref="T72">EVAL($AH$9,B72)</f>
        <v>0.4666356743692584</v>
      </c>
      <c r="U72" s="15" cm="1">
        <f t="array" ref="U72">EVAL($AH$10,B72)</f>
        <v>0.4666356743692584</v>
      </c>
      <c r="V72" s="15" cm="1">
        <f t="array" ref="V72">EVAL($AH$11,B72)</f>
        <v>0.4666356743692584</v>
      </c>
      <c r="W72" s="15" cm="1">
        <f t="array" ref="W72">EVAL($AH$12,B72)</f>
        <v>4.9340446717204367</v>
      </c>
      <c r="X72" s="15" cm="1">
        <f t="array" ref="X72">EVAL($AH$13,B72)</f>
        <v>0.25732073830342844</v>
      </c>
      <c r="Y72" s="15" cm="1">
        <f t="array" ref="Y72">EVAL($AH$14,B72)</f>
        <v>0.25732073830342844</v>
      </c>
    </row>
    <row r="73" spans="1:25" x14ac:dyDescent="0.25">
      <c r="A73" s="20">
        <v>8.0000000000000107</v>
      </c>
      <c r="B73" s="41">
        <f t="shared" si="1"/>
        <v>25.132741228718377</v>
      </c>
      <c r="C73" s="15" cm="1">
        <f t="array" ref="C73">EVAL($AG$6,B73)</f>
        <v>133.37901276471786</v>
      </c>
      <c r="D73" s="15" cm="1">
        <f t="array" ref="D73">EVAL($AG$7,B73)</f>
        <v>2.6235083139276196</v>
      </c>
      <c r="F73" s="15" cm="1">
        <f t="array" ref="F73">EVAL($AG$9,B73)</f>
        <v>0.56120248104942605</v>
      </c>
      <c r="G73" s="15" cm="1">
        <f t="array" ref="G73">EVAL($AG$10,B73)</f>
        <v>0.56120248104942605</v>
      </c>
      <c r="H73" s="15" cm="1">
        <f t="array" ref="H73">EVAL($AG$11,B73)</f>
        <v>0.56120248104942605</v>
      </c>
      <c r="I73" s="15" cm="1">
        <f t="array" ref="I73">EVAL($AG$12,B73)</f>
        <v>0.59013696578444708</v>
      </c>
      <c r="J73" s="15" cm="1">
        <f t="array" ref="J73">EVAL($AG$13,B73)</f>
        <v>47.042116205882799</v>
      </c>
      <c r="K73" s="15" cm="1">
        <f t="array" ref="K73">EVAL($AG$14,B73)</f>
        <v>0.48190118623014577</v>
      </c>
      <c r="L73" s="15" cm="1">
        <f t="array" ref="L73">EVAL($AG$15,B73)</f>
        <v>31.886502352776279</v>
      </c>
      <c r="M73" s="15" cm="1">
        <f t="array" ref="M73">EVAL($AG$16,B73)</f>
        <v>0.47240344713055099</v>
      </c>
      <c r="N73" s="15" cm="1">
        <f t="array" ref="N73">EVAL($AG$17,B73)</f>
        <v>23.630948939579536</v>
      </c>
      <c r="O73" s="15" cm="1">
        <f t="array" ref="O73">EVAL($AG$18,B73)</f>
        <v>1.8058082755774585E-2</v>
      </c>
      <c r="P73" s="15" cm="1">
        <f t="array" ref="P73">EVAL($AG$19,B73)</f>
        <v>1.8058082755774585E-2</v>
      </c>
      <c r="Q73" s="15" cm="1">
        <f t="array" ref="Q73">EVAL($AH$6,B73)</f>
        <v>0.68990695320775774</v>
      </c>
      <c r="R73" s="15" cm="1">
        <f t="array" ref="R73">EVAL($AH$7,B73)</f>
        <v>0.68990695320775774</v>
      </c>
      <c r="T73" s="15" cm="1">
        <f t="array" ref="T73">EVAL($AH$9,B73)</f>
        <v>0.46893402410184198</v>
      </c>
      <c r="U73" s="15" cm="1">
        <f t="array" ref="U73">EVAL($AH$10,B73)</f>
        <v>0.46893402410184198</v>
      </c>
      <c r="V73" s="15" cm="1">
        <f t="array" ref="V73">EVAL($AH$11,B73)</f>
        <v>0.46893402410184198</v>
      </c>
      <c r="W73" s="15" cm="1">
        <f t="array" ref="W73">EVAL($AH$12,B73)</f>
        <v>5.026646328149118</v>
      </c>
      <c r="X73" s="15" cm="1">
        <f t="array" ref="X73">EVAL($AH$13,B73)</f>
        <v>0.25816497811760852</v>
      </c>
      <c r="Y73" s="15" cm="1">
        <f t="array" ref="Y73">EVAL($AH$14,B73)</f>
        <v>0.25816497811760852</v>
      </c>
    </row>
    <row r="74" spans="1:25" x14ac:dyDescent="0.25">
      <c r="A74" s="20">
        <v>8.1000000000000103</v>
      </c>
      <c r="B74" s="41">
        <f t="shared" si="1"/>
        <v>25.446900494077358</v>
      </c>
      <c r="C74" s="15" cm="1">
        <f t="array" ref="C74">EVAL($AG$6,B74)</f>
        <v>134.52969671379628</v>
      </c>
      <c r="D74" s="15" cm="1">
        <f t="array" ref="D74">EVAL($AG$7,B74)</f>
        <v>2.6326953526018007</v>
      </c>
      <c r="F74" s="15" cm="1">
        <f t="array" ref="F74">EVAL($AG$9,B74)</f>
        <v>0.56833116839179931</v>
      </c>
      <c r="G74" s="15" cm="1">
        <f t="array" ref="G74">EVAL($AG$10,B74)</f>
        <v>0.56833116839179931</v>
      </c>
      <c r="H74" s="15" cm="1">
        <f t="array" ref="H74">EVAL($AG$11,B74)</f>
        <v>0.56833116839179931</v>
      </c>
      <c r="I74" s="15" cm="1">
        <f t="array" ref="I74">EVAL($AG$12,B74)</f>
        <v>0.59710038061390425</v>
      </c>
      <c r="J74" s="15" cm="1">
        <f t="array" ref="J74">EVAL($AG$13,B74)</f>
        <v>47.482332545618725</v>
      </c>
      <c r="K74" s="15" cm="1">
        <f t="array" ref="K74">EVAL($AG$14,B74)</f>
        <v>0.4870904242646894</v>
      </c>
      <c r="L74" s="15" cm="1">
        <f t="array" ref="L74">EVAL($AG$15,B74)</f>
        <v>32.128209550716228</v>
      </c>
      <c r="M74" s="15" cm="1">
        <f t="array" ref="M74">EVAL($AG$16,B74)</f>
        <v>0.47540467183794261</v>
      </c>
      <c r="N74" s="15" cm="1">
        <f t="array" ref="N74">EVAL($AG$17,B74)</f>
        <v>23.751141816648929</v>
      </c>
      <c r="O74" s="15" cm="1">
        <f t="array" ref="O74">EVAL($AG$18,B74)</f>
        <v>1.79344551090381E-2</v>
      </c>
      <c r="P74" s="15" cm="1">
        <f t="array" ref="P74">EVAL($AG$19,B74)</f>
        <v>1.79344551090381E-2</v>
      </c>
      <c r="Q74" s="15" cm="1">
        <f t="array" ref="Q74">EVAL($AH$6,B74)</f>
        <v>0.69345820112638323</v>
      </c>
      <c r="R74" s="15" cm="1">
        <f t="array" ref="R74">EVAL($AH$7,B74)</f>
        <v>0.69345820112638323</v>
      </c>
      <c r="T74" s="15" cm="1">
        <f t="array" ref="T74">EVAL($AH$9,B74)</f>
        <v>0.47121493207833315</v>
      </c>
      <c r="U74" s="15" cm="1">
        <f t="array" ref="U74">EVAL($AH$10,B74)</f>
        <v>0.47121493207833315</v>
      </c>
      <c r="V74" s="15" cm="1">
        <f t="array" ref="V74">EVAL($AH$11,B74)</f>
        <v>0.47121493207833315</v>
      </c>
      <c r="W74" s="15" cm="1">
        <f t="array" ref="W74">EVAL($AH$12,B74)</f>
        <v>5.1198031796668344</v>
      </c>
      <c r="X74" s="15" cm="1">
        <f t="array" ref="X74">EVAL($AH$13,B74)</f>
        <v>0.25900144862650154</v>
      </c>
      <c r="Y74" s="15" cm="1">
        <f t="array" ref="Y74">EVAL($AH$14,B74)</f>
        <v>0.25900144862650154</v>
      </c>
    </row>
    <row r="75" spans="1:25" x14ac:dyDescent="0.25">
      <c r="A75" s="20">
        <v>8.2000000000000099</v>
      </c>
      <c r="B75" s="41">
        <f t="shared" si="1"/>
        <v>25.761059759436336</v>
      </c>
      <c r="C75" s="15" cm="1">
        <f t="array" ref="C75">EVAL($AG$6,B75)</f>
        <v>135.67600632684852</v>
      </c>
      <c r="D75" s="15" cm="1">
        <f t="array" ref="D75">EVAL($AG$7,B75)</f>
        <v>2.6418012451765387</v>
      </c>
      <c r="F75" s="15" cm="1">
        <f t="array" ref="F75">EVAL($AG$9,B75)</f>
        <v>0.57546127284733195</v>
      </c>
      <c r="G75" s="15" cm="1">
        <f t="array" ref="G75">EVAL($AG$10,B75)</f>
        <v>0.57546127284733195</v>
      </c>
      <c r="H75" s="15" cm="1">
        <f t="array" ref="H75">EVAL($AG$11,B75)</f>
        <v>0.57546127284733195</v>
      </c>
      <c r="I75" s="15" cm="1">
        <f t="array" ref="I75">EVAL($AG$12,B75)</f>
        <v>0.6040590085421268</v>
      </c>
      <c r="J75" s="15" cm="1">
        <f t="array" ref="J75">EVAL($AG$13,B75)</f>
        <v>47.921191165191111</v>
      </c>
      <c r="K75" s="15" cm="1">
        <f t="array" ref="K75">EVAL($AG$14,B75)</f>
        <v>0.4922708414538769</v>
      </c>
      <c r="L75" s="15" cm="1">
        <f t="array" ref="L75">EVAL($AG$15,B75)</f>
        <v>32.368749498766391</v>
      </c>
      <c r="M75" s="15" cm="1">
        <f t="array" ref="M75">EVAL($AG$16,B75)</f>
        <v>0.47838778785607355</v>
      </c>
      <c r="N75" s="15" cm="1">
        <f t="array" ref="N75">EVAL($AG$17,B75)</f>
        <v>23.870460009868196</v>
      </c>
      <c r="O75" s="15" cm="1">
        <f t="array" ref="O75">EVAL($AG$18,B75)</f>
        <v>1.7813175282176678E-2</v>
      </c>
      <c r="P75" s="15" cm="1">
        <f t="array" ref="P75">EVAL($AG$19,B75)</f>
        <v>1.7813175282176678E-2</v>
      </c>
      <c r="Q75" s="15" cm="1">
        <f t="array" ref="Q75">EVAL($AH$6,B75)</f>
        <v>0.69698381870393289</v>
      </c>
      <c r="R75" s="15" cm="1">
        <f t="array" ref="R75">EVAL($AH$7,B75)</f>
        <v>0.69698381870393289</v>
      </c>
      <c r="T75" s="15" cm="1">
        <f t="array" ref="T75">EVAL($AH$9,B75)</f>
        <v>0.47347874356855379</v>
      </c>
      <c r="U75" s="15" cm="1">
        <f t="array" ref="U75">EVAL($AH$10,B75)</f>
        <v>0.47347874356855379</v>
      </c>
      <c r="V75" s="15" cm="1">
        <f t="array" ref="V75">EVAL($AH$11,B75)</f>
        <v>0.47347874356855379</v>
      </c>
      <c r="W75" s="15" cm="1">
        <f t="array" ref="W75">EVAL($AH$12,B75)</f>
        <v>5.2135116389583569</v>
      </c>
      <c r="X75" s="15" cm="1">
        <f t="array" ref="X75">EVAL($AH$13,B75)</f>
        <v>0.25983031593690953</v>
      </c>
      <c r="Y75" s="15" cm="1">
        <f t="array" ref="Y75">EVAL($AH$14,B75)</f>
        <v>0.25983031593690953</v>
      </c>
    </row>
    <row r="76" spans="1:25" x14ac:dyDescent="0.25">
      <c r="A76" s="20">
        <v>8.3000000000000096</v>
      </c>
      <c r="B76" s="41">
        <f t="shared" si="1"/>
        <v>26.075219024795313</v>
      </c>
      <c r="C76" s="15" cm="1">
        <f t="array" ref="C76">EVAL($AG$6,B76)</f>
        <v>136.81801127886965</v>
      </c>
      <c r="D76" s="15" cm="1">
        <f t="array" ref="D76">EVAL($AG$7,B76)</f>
        <v>2.6508276850091037</v>
      </c>
      <c r="F76" s="15" cm="1">
        <f t="array" ref="F76">EVAL($AG$9,B76)</f>
        <v>0.58259277740988114</v>
      </c>
      <c r="G76" s="15" cm="1">
        <f t="array" ref="G76">EVAL($AG$10,B76)</f>
        <v>0.58259277740988114</v>
      </c>
      <c r="H76" s="15" cm="1">
        <f t="array" ref="H76">EVAL($AG$11,B76)</f>
        <v>0.58259277740988114</v>
      </c>
      <c r="I76" s="15" cm="1">
        <f t="array" ref="I76">EVAL($AG$12,B76)</f>
        <v>0.61101291117970025</v>
      </c>
      <c r="J76" s="15" cm="1">
        <f t="array" ref="J76">EVAL($AG$13,B76)</f>
        <v>48.358712734346383</v>
      </c>
      <c r="K76" s="15" cm="1">
        <f t="array" ref="K76">EVAL($AG$14,B76)</f>
        <v>0.49744256009563093</v>
      </c>
      <c r="L76" s="15" cm="1">
        <f t="array" ref="L76">EVAL($AG$15,B76)</f>
        <v>32.6081419668104</v>
      </c>
      <c r="M76" s="15" cm="1">
        <f t="array" ref="M76">EVAL($AG$16,B76)</f>
        <v>0.48135312331185287</v>
      </c>
      <c r="N76" s="15" cm="1">
        <f t="array" ref="N76">EVAL($AG$17,B76)</f>
        <v>23.988920436382131</v>
      </c>
      <c r="O76" s="15" cm="1">
        <f t="array" ref="O76">EVAL($AG$18,B76)</f>
        <v>1.7694170862105049E-2</v>
      </c>
      <c r="P76" s="15" cm="1">
        <f t="array" ref="P76">EVAL($AG$19,B76)</f>
        <v>1.7694170862105049E-2</v>
      </c>
      <c r="Q76" s="15" cm="1">
        <f t="array" ref="Q76">EVAL($AH$6,B76)</f>
        <v>0.70048430014206287</v>
      </c>
      <c r="R76" s="15" cm="1">
        <f t="array" ref="R76">EVAL($AH$7,B76)</f>
        <v>0.70048430014206287</v>
      </c>
      <c r="T76" s="15" cm="1">
        <f t="array" ref="T76">EVAL($AH$9,B76)</f>
        <v>0.47572579289515671</v>
      </c>
      <c r="U76" s="15" cm="1">
        <f t="array" ref="U76">EVAL($AH$10,B76)</f>
        <v>0.47572579289515671</v>
      </c>
      <c r="V76" s="15" cm="1">
        <f t="array" ref="V76">EVAL($AH$11,B76)</f>
        <v>0.47572579289515671</v>
      </c>
      <c r="W76" s="15" cm="1">
        <f t="array" ref="W76">EVAL($AH$12,B76)</f>
        <v>5.3077681854838223</v>
      </c>
      <c r="X76" s="15" cm="1">
        <f t="array" ref="X76">EVAL($AH$13,B76)</f>
        <v>0.26065174063063734</v>
      </c>
      <c r="Y76" s="15" cm="1">
        <f t="array" ref="Y76">EVAL($AH$14,B76)</f>
        <v>0.26065174063063734</v>
      </c>
    </row>
    <row r="77" spans="1:25" x14ac:dyDescent="0.25">
      <c r="A77" s="20">
        <v>8.4000000000000092</v>
      </c>
      <c r="B77" s="41">
        <f t="shared" si="1"/>
        <v>26.389378290154291</v>
      </c>
      <c r="C77" s="15" cm="1">
        <f t="array" ref="C77">EVAL($AG$6,B77)</f>
        <v>137.95577931042783</v>
      </c>
      <c r="D77" s="15" cm="1">
        <f t="array" ref="D77">EVAL($AG$7,B77)</f>
        <v>2.659776310228021</v>
      </c>
      <c r="F77" s="15" cm="1">
        <f t="array" ref="F77">EVAL($AG$9,B77)</f>
        <v>0.58972566547985406</v>
      </c>
      <c r="G77" s="15" cm="1">
        <f t="array" ref="G77">EVAL($AG$10,B77)</f>
        <v>0.58972566547985406</v>
      </c>
      <c r="H77" s="15" cm="1">
        <f t="array" ref="H77">EVAL($AG$11,B77)</f>
        <v>0.58972566547985406</v>
      </c>
      <c r="I77" s="15" cm="1">
        <f t="array" ref="I77">EVAL($AG$12,B77)</f>
        <v>0.6179621486116651</v>
      </c>
      <c r="J77" s="15" cm="1">
        <f t="array" ref="J77">EVAL($AG$13,B77)</f>
        <v>48.794917363260794</v>
      </c>
      <c r="K77" s="15" cm="1">
        <f t="array" ref="K77">EVAL($AG$14,B77)</f>
        <v>0.50260569934027444</v>
      </c>
      <c r="L77" s="15" cm="1">
        <f t="array" ref="L77">EVAL($AG$15,B77)</f>
        <v>32.846406156258844</v>
      </c>
      <c r="M77" s="15" cm="1">
        <f t="array" ref="M77">EVAL($AG$16,B77)</f>
        <v>0.48430099651594227</v>
      </c>
      <c r="N77" s="15" cm="1">
        <f t="array" ref="N77">EVAL($AG$17,B77)</f>
        <v>24.106539486956198</v>
      </c>
      <c r="O77" s="15" cm="1">
        <f t="array" ref="O77">EVAL($AG$18,B77)</f>
        <v>1.7577372506886225E-2</v>
      </c>
      <c r="P77" s="15" cm="1">
        <f t="array" ref="P77">EVAL($AG$19,B77)</f>
        <v>1.7577372506886225E-2</v>
      </c>
      <c r="Q77" s="15" cm="1">
        <f t="array" ref="Q77">EVAL($AH$6,B77)</f>
        <v>0.70396012429389554</v>
      </c>
      <c r="R77" s="15" cm="1">
        <f t="array" ref="R77">EVAL($AH$7,B77)</f>
        <v>0.70396012429389554</v>
      </c>
      <c r="T77" s="15" cm="1">
        <f t="array" ref="T77">EVAL($AH$9,B77)</f>
        <v>0.47795640390797506</v>
      </c>
      <c r="U77" s="15" cm="1">
        <f t="array" ref="U77">EVAL($AH$10,B77)</f>
        <v>0.47795640390797506</v>
      </c>
      <c r="V77" s="15" cm="1">
        <f t="array" ref="V77">EVAL($AH$11,B77)</f>
        <v>0.47795640390797506</v>
      </c>
      <c r="W77" s="15" cm="1">
        <f t="array" ref="W77">EVAL($AH$12,B77)</f>
        <v>5.4025693634436092</v>
      </c>
      <c r="X77" s="15" cm="1">
        <f t="array" ref="X77">EVAL($AH$13,B77)</f>
        <v>0.26146587801233589</v>
      </c>
      <c r="Y77" s="15" cm="1">
        <f t="array" ref="Y77">EVAL($AH$14,B77)</f>
        <v>0.26146587801233589</v>
      </c>
    </row>
    <row r="78" spans="1:25" x14ac:dyDescent="0.25">
      <c r="A78" s="20">
        <v>8.5000000000000107</v>
      </c>
      <c r="B78" s="41">
        <f t="shared" si="1"/>
        <v>26.703537555513275</v>
      </c>
      <c r="C78" s="15" cm="1">
        <f t="array" ref="C78">EVAL($AG$6,B78)</f>
        <v>139.08937630372378</v>
      </c>
      <c r="D78" s="15" cm="1">
        <f t="array" ref="D78">EVAL($AG$7,B78)</f>
        <v>2.6686487061677728</v>
      </c>
      <c r="F78" s="15" cm="1">
        <f t="array" ref="F78">EVAL($AG$9,B78)</f>
        <v>0.59685992084977324</v>
      </c>
      <c r="G78" s="15" cm="1">
        <f t="array" ref="G78">EVAL($AG$10,B78)</f>
        <v>0.59685992084977324</v>
      </c>
      <c r="H78" s="15" cm="1">
        <f t="array" ref="H78">EVAL($AG$11,B78)</f>
        <v>0.59685992084977324</v>
      </c>
      <c r="I78" s="15" cm="1">
        <f t="array" ref="I78">EVAL($AG$12,B78)</f>
        <v>0.62490677945300854</v>
      </c>
      <c r="J78" s="15" cm="1">
        <f t="array" ref="J78">EVAL($AG$13,B78)</f>
        <v>49.229824624161914</v>
      </c>
      <c r="K78" s="15" cm="1">
        <f t="array" ref="K78">EVAL($AG$14,B78)</f>
        <v>0.50776037530803086</v>
      </c>
      <c r="L78" s="15" cm="1">
        <f t="array" ref="L78">EVAL($AG$15,B78)</f>
        <v>33.083560722954246</v>
      </c>
      <c r="M78" s="15" cm="1">
        <f t="array" ref="M78">EVAL($AG$16,B78)</f>
        <v>0.48723171636947232</v>
      </c>
      <c r="N78" s="15" cm="1">
        <f t="array" ref="N78">EVAL($AG$17,B78)</f>
        <v>24.223333048405888</v>
      </c>
      <c r="O78" s="15" cm="1">
        <f t="array" ref="O78">EVAL($AG$18,B78)</f>
        <v>1.7462713780787658E-2</v>
      </c>
      <c r="P78" s="15" cm="1">
        <f t="array" ref="P78">EVAL($AG$19,B78)</f>
        <v>1.7462713780787658E-2</v>
      </c>
      <c r="Q78" s="15" cm="1">
        <f t="array" ref="Q78">EVAL($AH$6,B78)</f>
        <v>0.70741175531715883</v>
      </c>
      <c r="R78" s="15" cm="1">
        <f t="array" ref="R78">EVAL($AH$7,B78)</f>
        <v>0.70741175531715883</v>
      </c>
      <c r="T78" s="15" cm="1">
        <f t="array" ref="T78">EVAL($AH$9,B78)</f>
        <v>0.48017089043243932</v>
      </c>
      <c r="U78" s="15" cm="1">
        <f t="array" ref="U78">EVAL($AH$10,B78)</f>
        <v>0.48017089043243932</v>
      </c>
      <c r="V78" s="15" cm="1">
        <f t="array" ref="V78">EVAL($AH$11,B78)</f>
        <v>0.48017089043243932</v>
      </c>
      <c r="W78" s="15" cm="1">
        <f t="array" ref="W78">EVAL($AH$12,B78)</f>
        <v>5.4979117798291179</v>
      </c>
      <c r="X78" s="15" cm="1">
        <f t="array" ref="X78">EVAL($AH$13,B78)</f>
        <v>0.26227287834342417</v>
      </c>
      <c r="Y78" s="15" cm="1">
        <f t="array" ref="Y78">EVAL($AH$14,B78)</f>
        <v>0.26227287834342417</v>
      </c>
    </row>
    <row r="79" spans="1:25" x14ac:dyDescent="0.25">
      <c r="A79" s="20">
        <v>8.6000000000000103</v>
      </c>
      <c r="B79" s="41">
        <f t="shared" si="1"/>
        <v>27.017696820872253</v>
      </c>
      <c r="C79" s="15" cm="1">
        <f t="array" ref="C79">EVAL($AG$6,B79)</f>
        <v>140.21886635479996</v>
      </c>
      <c r="D79" s="15" cm="1">
        <f t="array" ref="D79">EVAL($AG$7,B79)</f>
        <v>2.6774464076688811</v>
      </c>
      <c r="F79" s="15" cm="1">
        <f t="array" ref="F79">EVAL($AG$9,B79)</f>
        <v>0.60399552769050602</v>
      </c>
      <c r="G79" s="15" cm="1">
        <f t="array" ref="G79">EVAL($AG$10,B79)</f>
        <v>0.60399552769050602</v>
      </c>
      <c r="H79" s="15" cm="1">
        <f t="array" ref="H79">EVAL($AG$11,B79)</f>
        <v>0.60399552769050602</v>
      </c>
      <c r="I79" s="15" cm="1">
        <f t="array" ref="I79">EVAL($AG$12,B79)</f>
        <v>0.631846860901499</v>
      </c>
      <c r="J79" s="15" cm="1">
        <f t="array" ref="J79">EVAL($AG$13,B79)</f>
        <v>49.6634535718701</v>
      </c>
      <c r="K79" s="15" cm="1">
        <f t="array" ref="K79">EVAL($AG$14,B79)</f>
        <v>0.51290670120079773</v>
      </c>
      <c r="L79" s="15" cm="1">
        <f t="array" ref="L79">EVAL($AG$15,B79)</f>
        <v>33.319623798894732</v>
      </c>
      <c r="M79" s="15" cm="1">
        <f t="array" ref="M79">EVAL($AG$16,B79)</f>
        <v>0.49014558274932718</v>
      </c>
      <c r="N79" s="15" cm="1">
        <f t="array" ref="N79">EVAL($AG$17,B79)</f>
        <v>24.339316524818457</v>
      </c>
      <c r="O79" s="15" cm="1">
        <f t="array" ref="O79">EVAL($AG$18,B79)</f>
        <v>1.7350131000015982E-2</v>
      </c>
      <c r="P79" s="15" cm="1">
        <f t="array" ref="P79">EVAL($AG$19,B79)</f>
        <v>1.7350131000015982E-2</v>
      </c>
      <c r="Q79" s="15" cm="1">
        <f t="array" ref="Q79">EVAL($AH$6,B79)</f>
        <v>0.71083964329219218</v>
      </c>
      <c r="R79" s="15" cm="1">
        <f t="array" ref="R79">EVAL($AH$7,B79)</f>
        <v>0.71083964329219218</v>
      </c>
      <c r="T79" s="15" cm="1">
        <f t="array" ref="T79">EVAL($AH$9,B79)</f>
        <v>0.48236955669376047</v>
      </c>
      <c r="U79" s="15" cm="1">
        <f t="array" ref="U79">EVAL($AH$10,B79)</f>
        <v>0.48236955669376047</v>
      </c>
      <c r="V79" s="15" cm="1">
        <f t="array" ref="V79">EVAL($AH$11,B79)</f>
        <v>0.48236955669376047</v>
      </c>
      <c r="W79" s="15" cm="1">
        <f t="array" ref="W79">EVAL($AH$12,B79)</f>
        <v>5.5937921025543949</v>
      </c>
      <c r="X79" s="15" cm="1">
        <f t="array" ref="X79">EVAL($AH$13,B79)</f>
        <v>0.26307288706302179</v>
      </c>
      <c r="Y79" s="15" cm="1">
        <f t="array" ref="Y79">EVAL($AH$14,B79)</f>
        <v>0.26307288706302179</v>
      </c>
    </row>
    <row r="80" spans="1:25" x14ac:dyDescent="0.25">
      <c r="A80" s="20">
        <v>8.7000000000000099</v>
      </c>
      <c r="B80" s="41">
        <f t="shared" si="1"/>
        <v>27.33185608623123</v>
      </c>
      <c r="C80" s="15" cm="1">
        <f t="array" ref="C80">EVAL($AG$6,B80)</f>
        <v>141.34431184213778</v>
      </c>
      <c r="D80" s="15" cm="1">
        <f t="array" ref="D80">EVAL($AG$7,B80)</f>
        <v>2.6861709012523094</v>
      </c>
      <c r="F80" s="15" cm="1">
        <f t="array" ref="F80">EVAL($AG$9,B80)</f>
        <v>0.61113247053813258</v>
      </c>
      <c r="G80" s="15" cm="1">
        <f t="array" ref="G80">EVAL($AG$10,B80)</f>
        <v>0.61113247053813258</v>
      </c>
      <c r="H80" s="15" cm="1">
        <f t="array" ref="H80">EVAL($AG$11,B80)</f>
        <v>0.61113247053813258</v>
      </c>
      <c r="I80" s="15" cm="1">
        <f t="array" ref="I80">EVAL($AG$12,B80)</f>
        <v>0.63878244878802515</v>
      </c>
      <c r="J80" s="15" cm="1">
        <f t="array" ref="J80">EVAL($AG$13,B80)</f>
        <v>50.095822763325955</v>
      </c>
      <c r="K80" s="15" cm="1">
        <f t="array" ref="K80">EVAL($AG$14,B80)</f>
        <v>0.51804478740854853</v>
      </c>
      <c r="L80" s="15" cm="1">
        <f t="array" ref="L80">EVAL($AG$15,B80)</f>
        <v>33.554613012850609</v>
      </c>
      <c r="M80" s="15" cm="1">
        <f t="array" ref="M80">EVAL($AG$16,B80)</f>
        <v>0.493042886873369</v>
      </c>
      <c r="N80" s="15" cm="1">
        <f t="array" ref="N80">EVAL($AG$17,B80)</f>
        <v>24.454504857645272</v>
      </c>
      <c r="O80" s="15" cm="1">
        <f t="array" ref="O80">EVAL($AG$18,B80)</f>
        <v>1.7239563088323973E-2</v>
      </c>
      <c r="P80" s="15" cm="1">
        <f t="array" ref="P80">EVAL($AG$19,B80)</f>
        <v>1.7239563088323973E-2</v>
      </c>
      <c r="Q80" s="15" cm="1">
        <f t="array" ref="Q80">EVAL($AH$6,B80)</f>
        <v>0.71424422480710237</v>
      </c>
      <c r="R80" s="15" cm="1">
        <f t="array" ref="R80">EVAL($AH$7,B80)</f>
        <v>0.71424422480710237</v>
      </c>
      <c r="T80" s="15" cm="1">
        <f t="array" ref="T80">EVAL($AH$9,B80)</f>
        <v>0.48455269771845438</v>
      </c>
      <c r="U80" s="15" cm="1">
        <f t="array" ref="U80">EVAL($AH$10,B80)</f>
        <v>0.48455269771845438</v>
      </c>
      <c r="V80" s="15" cm="1">
        <f t="array" ref="V80">EVAL($AH$11,B80)</f>
        <v>0.48455269771845438</v>
      </c>
      <c r="W80" s="15" cm="1">
        <f t="array" ref="W80">EVAL($AH$12,B80)</f>
        <v>5.6902070586644982</v>
      </c>
      <c r="X80" s="15" cm="1">
        <f t="array" ref="X80">EVAL($AH$13,B80)</f>
        <v>0.2638660449967567</v>
      </c>
      <c r="Y80" s="15" cm="1">
        <f t="array" ref="Y80">EVAL($AH$14,B80)</f>
        <v>0.2638660449967567</v>
      </c>
    </row>
    <row r="81" spans="1:25" x14ac:dyDescent="0.25">
      <c r="A81" s="20">
        <v>8.8000000000000096</v>
      </c>
      <c r="B81" s="41">
        <f t="shared" si="1"/>
        <v>27.646015351590208</v>
      </c>
      <c r="C81" s="15" cm="1">
        <f t="array" ref="C81">EVAL($AG$6,B81)</f>
        <v>142.46577349186563</v>
      </c>
      <c r="D81" s="15" cm="1">
        <f t="array" ref="D81">EVAL($AG$7,B81)</f>
        <v>2.694823627176413</v>
      </c>
      <c r="F81" s="15" cm="1">
        <f t="array" ref="F81">EVAL($AG$9,B81)</f>
        <v>0.61827073428142698</v>
      </c>
      <c r="G81" s="15" cm="1">
        <f t="array" ref="G81">EVAL($AG$10,B81)</f>
        <v>0.61827073428142698</v>
      </c>
      <c r="H81" s="15" cm="1">
        <f t="array" ref="H81">EVAL($AG$11,B81)</f>
        <v>0.61827073428142698</v>
      </c>
      <c r="I81" s="15" cm="1">
        <f t="array" ref="I81">EVAL($AG$12,B81)</f>
        <v>0.64571359762460412</v>
      </c>
      <c r="J81" s="15" cm="1">
        <f t="array" ref="J81">EVAL($AG$13,B81)</f>
        <v>50.526950276165742</v>
      </c>
      <c r="K81" s="15" cm="1">
        <f t="array" ref="K81">EVAL($AG$14,B81)</f>
        <v>0.52317474161068245</v>
      </c>
      <c r="L81" s="15" cm="1">
        <f t="array" ref="L81">EVAL($AG$15,B81)</f>
        <v>33.788545509942729</v>
      </c>
      <c r="M81" s="15" cm="1">
        <f t="array" ref="M81">EVAL($AG$16,B81)</f>
        <v>0.49592391164686755</v>
      </c>
      <c r="N81" s="15" cm="1">
        <f t="array" ref="N81">EVAL($AG$17,B81)</f>
        <v>24.568912544737586</v>
      </c>
      <c r="O81" s="15" cm="1">
        <f t="array" ref="O81">EVAL($AG$18,B81)</f>
        <v>1.7130951441752227E-2</v>
      </c>
      <c r="P81" s="15" cm="1">
        <f t="array" ref="P81">EVAL($AG$19,B81)</f>
        <v>1.7130951441752227E-2</v>
      </c>
      <c r="Q81" s="15" cm="1">
        <f t="array" ref="Q81">EVAL($AH$6,B81)</f>
        <v>0.7176259235121748</v>
      </c>
      <c r="R81" s="15" cm="1">
        <f t="array" ref="R81">EVAL($AH$7,B81)</f>
        <v>0.7176259235121748</v>
      </c>
      <c r="T81" s="15" cm="1">
        <f t="array" ref="T81">EVAL($AH$9,B81)</f>
        <v>0.48672059971466963</v>
      </c>
      <c r="U81" s="15" cm="1">
        <f t="array" ref="U81">EVAL($AH$10,B81)</f>
        <v>0.48672059971466963</v>
      </c>
      <c r="V81" s="15" cm="1">
        <f t="array" ref="V81">EVAL($AH$11,B81)</f>
        <v>0.48672059971466963</v>
      </c>
      <c r="W81" s="15" cm="1">
        <f t="array" ref="W81">EVAL($AH$12,B81)</f>
        <v>5.7871534326167229</v>
      </c>
      <c r="X81" s="15" cm="1">
        <f t="array" ref="X81">EVAL($AH$13,B81)</f>
        <v>0.26465248855424572</v>
      </c>
      <c r="Y81" s="15" cm="1">
        <f t="array" ref="Y81">EVAL($AH$14,B81)</f>
        <v>0.26465248855424572</v>
      </c>
    </row>
    <row r="82" spans="1:25" x14ac:dyDescent="0.25">
      <c r="A82" s="20">
        <v>8.9000000000000092</v>
      </c>
      <c r="B82" s="41">
        <f t="shared" si="1"/>
        <v>27.960174616949189</v>
      </c>
      <c r="C82" s="15" cm="1">
        <f t="array" ref="C82">EVAL($AG$6,B82)</f>
        <v>143.58331043977583</v>
      </c>
      <c r="D82" s="15" cm="1">
        <f t="array" ref="D82">EVAL($AG$7,B82)</f>
        <v>2.7034059813840159</v>
      </c>
      <c r="F82" s="15" cm="1">
        <f t="array" ref="F82">EVAL($AG$9,B82)</f>
        <v>0.62541030414988175</v>
      </c>
      <c r="G82" s="15" cm="1">
        <f t="array" ref="G82">EVAL($AG$10,B82)</f>
        <v>0.62541030414988175</v>
      </c>
      <c r="H82" s="15" cm="1">
        <f t="array" ref="H82">EVAL($AG$11,B82)</f>
        <v>0.62541030414988175</v>
      </c>
      <c r="I82" s="15" cm="1">
        <f t="array" ref="I82">EVAL($AG$12,B82)</f>
        <v>0.65264036065015407</v>
      </c>
      <c r="J82" s="15" cm="1">
        <f t="array" ref="J82">EVAL($AG$13,B82)</f>
        <v>50.956853726399594</v>
      </c>
      <c r="K82" s="15" cm="1">
        <f t="array" ref="K82">EVAL($AG$14,B82)</f>
        <v>0.52829666887260029</v>
      </c>
      <c r="L82" s="15" cm="1">
        <f t="array" ref="L82">EVAL($AG$15,B82)</f>
        <v>34.021437970245159</v>
      </c>
      <c r="M82" s="15" cm="1">
        <f t="array" ref="M82">EVAL($AG$16,B82)</f>
        <v>0.49878893199129226</v>
      </c>
      <c r="N82" s="15" cm="1">
        <f t="array" ref="N82">EVAL($AG$17,B82)</f>
        <v>24.682553658391804</v>
      </c>
      <c r="O82" s="15" cm="1">
        <f t="array" ref="O82">EVAL($AG$18,B82)</f>
        <v>1.7024239801831997E-2</v>
      </c>
      <c r="P82" s="15" cm="1">
        <f t="array" ref="P82">EVAL($AG$19,B82)</f>
        <v>1.7024239801831997E-2</v>
      </c>
      <c r="Q82" s="15" cm="1">
        <f t="array" ref="Q82">EVAL($AH$6,B82)</f>
        <v>0.72098515064547219</v>
      </c>
      <c r="R82" s="15" cm="1">
        <f t="array" ref="R82">EVAL($AH$7,B82)</f>
        <v>0.72098515064547219</v>
      </c>
      <c r="T82" s="15" cm="1">
        <f t="array" ref="T82">EVAL($AH$9,B82)</f>
        <v>0.48887354043265396</v>
      </c>
      <c r="U82" s="15" cm="1">
        <f t="array" ref="U82">EVAL($AH$10,B82)</f>
        <v>0.48887354043265396</v>
      </c>
      <c r="V82" s="15" cm="1">
        <f t="array" ref="V82">EVAL($AH$11,B82)</f>
        <v>0.48887354043265396</v>
      </c>
      <c r="W82" s="15" cm="1">
        <f t="array" ref="W82">EVAL($AH$12,B82)</f>
        <v>5.8846280646305447</v>
      </c>
      <c r="X82" s="15" cm="1">
        <f t="array" ref="X82">EVAL($AH$13,B82)</f>
        <v>0.26543234991598064</v>
      </c>
      <c r="Y82" s="15" cm="1">
        <f t="array" ref="Y82">EVAL($AH$14,B82)</f>
        <v>0.26543234991598064</v>
      </c>
    </row>
    <row r="83" spans="1:25" x14ac:dyDescent="0.25">
      <c r="A83" s="20">
        <v>9.0000000000000107</v>
      </c>
      <c r="B83" s="41">
        <f t="shared" si="1"/>
        <v>28.27433388230817</v>
      </c>
      <c r="C83" s="15" cm="1">
        <f t="array" ref="C83">EVAL($AG$6,B83)</f>
        <v>144.69698029034765</v>
      </c>
      <c r="D83" s="15" cm="1">
        <f t="array" ref="D83">EVAL($AG$7,B83)</f>
        <v>2.7119193173466893</v>
      </c>
      <c r="F83" s="15" cm="1">
        <f t="array" ref="F83">EVAL($AG$9,B83)</f>
        <v>0.63255116570229264</v>
      </c>
      <c r="G83" s="15" cm="1">
        <f t="array" ref="G83">EVAL($AG$10,B83)</f>
        <v>0.63255116570229264</v>
      </c>
      <c r="H83" s="15" cm="1">
        <f t="array" ref="H83">EVAL($AG$11,B83)</f>
        <v>0.63255116570229264</v>
      </c>
      <c r="I83" s="15" cm="1">
        <f t="array" ref="I83">EVAL($AG$12,B83)</f>
        <v>0.65956278987420358</v>
      </c>
      <c r="J83" s="15" cm="1">
        <f t="array" ref="J83">EVAL($AG$13,B83)</f>
        <v>51.385550285247938</v>
      </c>
      <c r="K83" s="15" cm="1">
        <f t="array" ref="K83">EVAL($AG$14,B83)</f>
        <v>0.53341067173780454</v>
      </c>
      <c r="L83" s="15" cm="1">
        <f t="array" ref="L83">EVAL($AG$15,B83)</f>
        <v>34.25330662647233</v>
      </c>
      <c r="M83" s="15" cm="1">
        <f t="array" ref="M83">EVAL($AG$16,B83)</f>
        <v>0.50163821515656959</v>
      </c>
      <c r="N83" s="15" cm="1">
        <f t="array" ref="N83">EVAL($AG$17,B83)</f>
        <v>24.79544186246725</v>
      </c>
      <c r="O83" s="15" cm="1">
        <f t="array" ref="O83">EVAL($AG$18,B83)</f>
        <v>1.6919374136630735E-2</v>
      </c>
      <c r="P83" s="15" cm="1">
        <f t="array" ref="P83">EVAL($AG$19,B83)</f>
        <v>1.6919374136630735E-2</v>
      </c>
      <c r="Q83" s="15" cm="1">
        <f t="array" ref="Q83">EVAL($AH$6,B83)</f>
        <v>0.72432230553144228</v>
      </c>
      <c r="R83" s="15" cm="1">
        <f t="array" ref="R83">EVAL($AH$7,B83)</f>
        <v>0.72432230553144228</v>
      </c>
      <c r="T83" s="15" cm="1">
        <f t="array" ref="T83">EVAL($AH$9,B83)</f>
        <v>0.49101178950662094</v>
      </c>
      <c r="U83" s="15" cm="1">
        <f t="array" ref="U83">EVAL($AH$10,B83)</f>
        <v>0.49101178950662094</v>
      </c>
      <c r="V83" s="15" cm="1">
        <f t="array" ref="V83">EVAL($AH$11,B83)</f>
        <v>0.49101178950662094</v>
      </c>
      <c r="W83" s="15" cm="1">
        <f t="array" ref="W83">EVAL($AH$12,B83)</f>
        <v>5.9826278491033227</v>
      </c>
      <c r="X83" s="15" cm="1">
        <f t="array" ref="X83">EVAL($AH$13,B83)</f>
        <v>0.26620575721030404</v>
      </c>
      <c r="Y83" s="15" cm="1">
        <f t="array" ref="Y83">EVAL($AH$14,B83)</f>
        <v>0.26620575721030404</v>
      </c>
    </row>
    <row r="84" spans="1:25" x14ac:dyDescent="0.25">
      <c r="A84" s="20">
        <v>9.1000000000000103</v>
      </c>
      <c r="B84" s="41">
        <f t="shared" si="1"/>
        <v>28.588493147667151</v>
      </c>
      <c r="C84" s="15" cm="1">
        <f t="array" ref="C84">EVAL($AG$6,B84)</f>
        <v>145.80683917294772</v>
      </c>
      <c r="D84" s="15" cm="1">
        <f t="array" ref="D84">EVAL($AG$7,B84)</f>
        <v>2.7203649478126946</v>
      </c>
      <c r="F84" s="15" cm="1">
        <f t="array" ref="F84">EVAL($AG$9,B84)</f>
        <v>0.63969330481583619</v>
      </c>
      <c r="G84" s="15" cm="1">
        <f t="array" ref="G84">EVAL($AG$10,B84)</f>
        <v>0.63969330481583619</v>
      </c>
      <c r="H84" s="15" cm="1">
        <f t="array" ref="H84">EVAL($AG$11,B84)</f>
        <v>0.63969330481583619</v>
      </c>
      <c r="I84" s="15" cm="1">
        <f t="array" ref="I84">EVAL($AG$12,B84)</f>
        <v>0.66648093611861869</v>
      </c>
      <c r="J84" s="15" cm="1">
        <f t="array" ref="J84">EVAL($AG$13,B84)</f>
        <v>51.813056695183178</v>
      </c>
      <c r="K84" s="15" cm="1">
        <f t="array" ref="K84">EVAL($AG$14,B84)</f>
        <v>0.53851685031576324</v>
      </c>
      <c r="L84" s="15" cm="1">
        <f t="array" ref="L84">EVAL($AG$15,B84)</f>
        <v>34.484167280804598</v>
      </c>
      <c r="M84" s="15" cm="1">
        <f t="array" ref="M84">EVAL($AG$16,B84)</f>
        <v>0.50447202101779731</v>
      </c>
      <c r="N84" s="15" cm="1">
        <f t="array" ref="N84">EVAL($AG$17,B84)</f>
        <v>24.907590428633185</v>
      </c>
      <c r="O84" s="15" cm="1">
        <f t="array" ref="O84">EVAL($AG$18,B84)</f>
        <v>1.6816302529074779E-2</v>
      </c>
      <c r="P84" s="15" cm="1">
        <f t="array" ref="P84">EVAL($AG$19,B84)</f>
        <v>1.6816302529074779E-2</v>
      </c>
      <c r="Q84" s="15" cm="1">
        <f t="array" ref="Q84">EVAL($AH$6,B84)</f>
        <v>0.72763777605418989</v>
      </c>
      <c r="R84" s="15" cm="1">
        <f t="array" ref="R84">EVAL($AH$7,B84)</f>
        <v>0.72763777605418989</v>
      </c>
      <c r="T84" s="15" cm="1">
        <f t="array" ref="T84">EVAL($AH$9,B84)</f>
        <v>0.49313560877916135</v>
      </c>
      <c r="U84" s="15" cm="1">
        <f t="array" ref="U84">EVAL($AH$10,B84)</f>
        <v>0.49313560877916135</v>
      </c>
      <c r="V84" s="15" cm="1">
        <f t="array" ref="V84">EVAL($AH$11,B84)</f>
        <v>0.49313560877916135</v>
      </c>
      <c r="W84" s="15" cm="1">
        <f t="array" ref="W84">EVAL($AH$12,B84)</f>
        <v>6.0811497330880151</v>
      </c>
      <c r="X84" s="15" cm="1">
        <f t="array" ref="X84">EVAL($AH$13,B84)</f>
        <v>0.26697283468110239</v>
      </c>
      <c r="Y84" s="15" cm="1">
        <f t="array" ref="Y84">EVAL($AH$14,B84)</f>
        <v>0.26697283468110239</v>
      </c>
    </row>
    <row r="85" spans="1:25" x14ac:dyDescent="0.25">
      <c r="A85" s="20">
        <v>9.2000000000000099</v>
      </c>
      <c r="B85" s="41">
        <f t="shared" si="1"/>
        <v>28.902652413026129</v>
      </c>
      <c r="C85" s="15" cm="1">
        <f t="array" ref="C85">EVAL($AG$6,B85)</f>
        <v>146.912941795374</v>
      </c>
      <c r="D85" s="15" cm="1">
        <f t="array" ref="D85">EVAL($AG$7,B85)</f>
        <v>2.7287441464646496</v>
      </c>
      <c r="F85" s="15" cm="1">
        <f t="array" ref="F85">EVAL($AG$9,B85)</f>
        <v>0.64683670767562562</v>
      </c>
      <c r="G85" s="15" cm="1">
        <f t="array" ref="G85">EVAL($AG$10,B85)</f>
        <v>0.64683670767562562</v>
      </c>
      <c r="H85" s="15" cm="1">
        <f t="array" ref="H85">EVAL($AG$11,B85)</f>
        <v>0.64683670767562562</v>
      </c>
      <c r="I85" s="15" cm="1">
        <f t="array" ref="I85">EVAL($AG$12,B85)</f>
        <v>0.67339484905747493</v>
      </c>
      <c r="J85" s="15" cm="1">
        <f t="array" ref="J85">EVAL($AG$13,B85)</f>
        <v>52.239389285222906</v>
      </c>
      <c r="K85" s="15" cm="1">
        <f t="array" ref="K85">EVAL($AG$14,B85)</f>
        <v>0.54361530236578104</v>
      </c>
      <c r="L85" s="15" cm="1">
        <f t="array" ref="L85">EVAL($AG$15,B85)</f>
        <v>34.714035320903328</v>
      </c>
      <c r="M85" s="15" cm="1">
        <f t="array" ref="M85">EVAL($AG$16,B85)</f>
        <v>0.5072906023573559</v>
      </c>
      <c r="N85" s="15" cm="1">
        <f t="array" ref="N85">EVAL($AG$17,B85)</f>
        <v>25.01901225179865</v>
      </c>
      <c r="O85" s="15" cm="1">
        <f t="array" ref="O85">EVAL($AG$18,B85)</f>
        <v>1.671497507202932E-2</v>
      </c>
      <c r="P85" s="15" cm="1">
        <f t="array" ref="P85">EVAL($AG$19,B85)</f>
        <v>1.671497507202932E-2</v>
      </c>
      <c r="Q85" s="15" cm="1">
        <f t="array" ref="Q85">EVAL($AH$6,B85)</f>
        <v>0.7309319391069703</v>
      </c>
      <c r="R85" s="15" cm="1">
        <f t="array" ref="R85">EVAL($AH$7,B85)</f>
        <v>0.7309319391069703</v>
      </c>
      <c r="T85" s="15" cm="1">
        <f t="array" ref="T85">EVAL($AH$9,B85)</f>
        <v>0.49524525260927654</v>
      </c>
      <c r="U85" s="15" cm="1">
        <f t="array" ref="U85">EVAL($AH$10,B85)</f>
        <v>0.49524525260927654</v>
      </c>
      <c r="V85" s="15" cm="1">
        <f t="array" ref="V85">EVAL($AH$11,B85)</f>
        <v>0.49524525260927654</v>
      </c>
      <c r="W85" s="15" cm="1">
        <f t="array" ref="W85">EVAL($AH$12,B85)</f>
        <v>6.1801907148299788</v>
      </c>
      <c r="X85" s="15" cm="1">
        <f t="array" ref="X85">EVAL($AH$13,B85)</f>
        <v>0.26773370284679859</v>
      </c>
      <c r="Y85" s="15" cm="1">
        <f t="array" ref="Y85">EVAL($AH$14,B85)</f>
        <v>0.26773370284679859</v>
      </c>
    </row>
    <row r="86" spans="1:25" x14ac:dyDescent="0.25">
      <c r="A86" s="20">
        <v>9.3000000000000096</v>
      </c>
      <c r="B86" s="41">
        <f t="shared" si="1"/>
        <v>29.216811678385106</v>
      </c>
      <c r="C86" s="15" cm="1">
        <f t="array" ref="C86">EVAL($AG$6,B86)</f>
        <v>148.01534149489729</v>
      </c>
      <c r="D86" s="15" cm="1">
        <f t="array" ref="D86">EVAL($AG$7,B86)</f>
        <v>2.7370581494925035</v>
      </c>
      <c r="F86" s="15" cm="1">
        <f t="array" ref="F86">EVAL($AG$9,B86)</f>
        <v>0.65398136076473068</v>
      </c>
      <c r="G86" s="15" cm="1">
        <f t="array" ref="G86">EVAL($AG$10,B86)</f>
        <v>0.65398136076473068</v>
      </c>
      <c r="H86" s="15" cm="1">
        <f t="array" ref="H86">EVAL($AG$11,B86)</f>
        <v>0.65398136076473068</v>
      </c>
      <c r="I86" s="15" cm="1">
        <f t="array" ref="I86">EVAL($AG$12,B86)</f>
        <v>0.6803045772551779</v>
      </c>
      <c r="J86" s="15" cm="1">
        <f t="array" ref="J86">EVAL($AG$13,B86)</f>
        <v>52.664563985518491</v>
      </c>
      <c r="K86" s="15" cm="1">
        <f t="array" ref="K86">EVAL($AG$14,B86)</f>
        <v>0.54870612337710523</v>
      </c>
      <c r="L86" s="15" cm="1">
        <f t="array" ref="L86">EVAL($AG$15,B86)</f>
        <v>34.942925735163293</v>
      </c>
      <c r="M86" s="15" cm="1">
        <f t="array" ref="M86">EVAL($AG$16,B86)</f>
        <v>0.51009420513329218</v>
      </c>
      <c r="N86" s="15" cm="1">
        <f t="array" ref="N86">EVAL($AG$17,B86)</f>
        <v>25.129719864774781</v>
      </c>
      <c r="O86" s="15" cm="1">
        <f t="array" ref="O86">EVAL($AG$18,B86)</f>
        <v>1.6615343769658262E-2</v>
      </c>
      <c r="P86" s="15" cm="1">
        <f t="array" ref="P86">EVAL($AG$19,B86)</f>
        <v>1.6615343769658262E-2</v>
      </c>
      <c r="Q86" s="15" cm="1">
        <f t="array" ref="Q86">EVAL($AH$6,B86)</f>
        <v>0.7342051610193463</v>
      </c>
      <c r="R86" s="15" cm="1">
        <f t="array" ref="R86">EVAL($AH$7,B86)</f>
        <v>0.7342051610193463</v>
      </c>
      <c r="T86" s="15" cm="1">
        <f t="array" ref="T86">EVAL($AH$9,B86)</f>
        <v>0.49734096816503126</v>
      </c>
      <c r="U86" s="15" cm="1">
        <f t="array" ref="U86">EVAL($AH$10,B86)</f>
        <v>0.49734096816503126</v>
      </c>
      <c r="V86" s="15" cm="1">
        <f t="array" ref="V86">EVAL($AH$11,B86)</f>
        <v>0.49734096816503126</v>
      </c>
      <c r="W86" s="15" cm="1">
        <f t="array" ref="W86">EVAL($AH$12,B86)</f>
        <v>6.2797478423600888</v>
      </c>
      <c r="X86" s="15" cm="1">
        <f t="array" ref="X86">EVAL($AH$13,B86)</f>
        <v>0.26848847865118813</v>
      </c>
      <c r="Y86" s="15" cm="1">
        <f t="array" ref="Y86">EVAL($AH$14,B86)</f>
        <v>0.26848847865118813</v>
      </c>
    </row>
    <row r="87" spans="1:25" x14ac:dyDescent="0.25">
      <c r="A87" s="20">
        <v>9.4000000000000092</v>
      </c>
      <c r="B87" s="41">
        <f t="shared" si="1"/>
        <v>29.530970943744084</v>
      </c>
      <c r="C87" s="15" cm="1">
        <f t="array" ref="C87">EVAL($AG$6,B87)</f>
        <v>149.11409028693924</v>
      </c>
      <c r="D87" s="15" cm="1">
        <f t="array" ref="D87">EVAL($AG$7,B87)</f>
        <v>2.7453081570869862</v>
      </c>
      <c r="F87" s="15" cm="1">
        <f t="array" ref="F87">EVAL($AG$9,B87)</f>
        <v>0.66112725085460311</v>
      </c>
      <c r="G87" s="15" cm="1">
        <f t="array" ref="G87">EVAL($AG$10,B87)</f>
        <v>0.66112725085460311</v>
      </c>
      <c r="H87" s="15" cm="1">
        <f t="array" ref="H87">EVAL($AG$11,B87)</f>
        <v>0.66112725085460311</v>
      </c>
      <c r="I87" s="15" cm="1">
        <f t="array" ref="I87">EVAL($AG$12,B87)</f>
        <v>0.68721016820290415</v>
      </c>
      <c r="J87" s="15" cm="1">
        <f t="array" ref="J87">EVAL($AG$13,B87)</f>
        <v>53.088596341276229</v>
      </c>
      <c r="K87" s="15" cm="1">
        <f t="array" ref="K87">EVAL($AG$14,B87)</f>
        <v>0.55378940664545906</v>
      </c>
      <c r="L87" s="15" cm="1">
        <f t="array" ref="L87">EVAL($AG$15,B87)</f>
        <v>35.170853127245593</v>
      </c>
      <c r="M87" s="15" cm="1">
        <f t="array" ref="M87">EVAL($AG$16,B87)</f>
        <v>0.51288306873476774</v>
      </c>
      <c r="N87" s="15" cm="1">
        <f t="array" ref="N87">EVAL($AG$17,B87)</f>
        <v>25.239725452215168</v>
      </c>
      <c r="O87" s="15" cm="1">
        <f t="array" ref="O87">EVAL($AG$18,B87)</f>
        <v>1.6517362444625521E-2</v>
      </c>
      <c r="P87" s="15" cm="1">
        <f t="array" ref="P87">EVAL($AG$19,B87)</f>
        <v>1.6517362444625521E-2</v>
      </c>
      <c r="Q87" s="15" cm="1">
        <f t="array" ref="Q87">EVAL($AH$6,B87)</f>
        <v>0.73745779796333399</v>
      </c>
      <c r="R87" s="15" cm="1">
        <f t="array" ref="R87">EVAL($AH$7,B87)</f>
        <v>0.73745779796333399</v>
      </c>
      <c r="T87" s="15" cm="1">
        <f t="array" ref="T87">EVAL($AH$9,B87)</f>
        <v>0.49942299570174115</v>
      </c>
      <c r="U87" s="15" cm="1">
        <f t="array" ref="U87">EVAL($AH$10,B87)</f>
        <v>0.49942299570174115</v>
      </c>
      <c r="V87" s="15" cm="1">
        <f t="array" ref="V87">EVAL($AH$11,B87)</f>
        <v>0.49942299570174115</v>
      </c>
      <c r="W87" s="15" cm="1">
        <f t="array" ref="W87">EVAL($AH$12,B87)</f>
        <v>6.379818212140969</v>
      </c>
      <c r="X87" s="15" cm="1">
        <f t="array" ref="X87">EVAL($AH$13,B87)</f>
        <v>0.26923727560661481</v>
      </c>
      <c r="Y87" s="15" cm="1">
        <f t="array" ref="Y87">EVAL($AH$14,B87)</f>
        <v>0.26923727560661481</v>
      </c>
    </row>
    <row r="88" spans="1:25" x14ac:dyDescent="0.25">
      <c r="A88" s="20">
        <v>9.5000000000000107</v>
      </c>
      <c r="B88" s="41">
        <f t="shared" si="1"/>
        <v>29.845130209103068</v>
      </c>
      <c r="C88" s="15" cm="1">
        <f t="array" ref="C88">EVAL($AG$6,B88)</f>
        <v>150.20923891152518</v>
      </c>
      <c r="D88" s="15" cm="1">
        <f t="array" ref="D88">EVAL($AG$7,B88)</f>
        <v>2.7534953348583864</v>
      </c>
      <c r="F88" s="15" cm="1">
        <f t="array" ref="F88">EVAL($AG$9,B88)</f>
        <v>0.66827436499592952</v>
      </c>
      <c r="G88" s="15" cm="1">
        <f t="array" ref="G88">EVAL($AG$10,B88)</f>
        <v>0.66827436499592952</v>
      </c>
      <c r="H88" s="15" cm="1">
        <f t="array" ref="H88">EVAL($AG$11,B88)</f>
        <v>0.66827436499592952</v>
      </c>
      <c r="I88" s="15" cm="1">
        <f t="array" ref="I88">EVAL($AG$12,B88)</f>
        <v>0.69411166835348947</v>
      </c>
      <c r="J88" s="15" cm="1">
        <f t="array" ref="J88">EVAL($AG$13,B88)</f>
        <v>53.511501526051255</v>
      </c>
      <c r="K88" s="15" cm="1">
        <f t="array" ref="K88">EVAL($AG$14,B88)</f>
        <v>0.5588652433462199</v>
      </c>
      <c r="L88" s="15" cm="1">
        <f t="array" ref="L88">EVAL($AG$15,B88)</f>
        <v>35.397831729933522</v>
      </c>
      <c r="M88" s="15" cm="1">
        <f t="array" ref="M88">EVAL($AG$16,B88)</f>
        <v>0.51565742622534561</v>
      </c>
      <c r="N88" s="15" cm="1">
        <f t="array" ref="N88">EVAL($AG$17,B88)</f>
        <v>25.34904086387764</v>
      </c>
      <c r="O88" s="15" cm="1">
        <f t="array" ref="O88">EVAL($AG$18,B88)</f>
        <v>1.6420986650733327E-2</v>
      </c>
      <c r="P88" s="15" cm="1">
        <f t="array" ref="P88">EVAL($AG$19,B88)</f>
        <v>1.6420986650733327E-2</v>
      </c>
      <c r="Q88" s="15" cm="1">
        <f t="array" ref="Q88">EVAL($AH$6,B88)</f>
        <v>0.74069019633979882</v>
      </c>
      <c r="R88" s="15" cm="1">
        <f t="array" ref="R88">EVAL($AH$7,B88)</f>
        <v>0.74069019633979882</v>
      </c>
      <c r="T88" s="15" cm="1">
        <f t="array" ref="T88">EVAL($AH$9,B88)</f>
        <v>0.50149156882656876</v>
      </c>
      <c r="U88" s="15" cm="1">
        <f t="array" ref="U88">EVAL($AH$10,B88)</f>
        <v>0.50149156882656876</v>
      </c>
      <c r="V88" s="15" cm="1">
        <f t="array" ref="V88">EVAL($AH$11,B88)</f>
        <v>0.50149156882656876</v>
      </c>
      <c r="W88" s="15" cm="1">
        <f t="array" ref="W88">EVAL($AH$12,B88)</f>
        <v>6.4803989677643523</v>
      </c>
      <c r="X88" s="15" cm="1">
        <f t="array" ref="X88">EVAL($AH$13,B88)</f>
        <v>0.26998020392995825</v>
      </c>
      <c r="Y88" s="15" cm="1">
        <f t="array" ref="Y88">EVAL($AH$14,B88)</f>
        <v>0.26998020392995825</v>
      </c>
    </row>
    <row r="89" spans="1:25" x14ac:dyDescent="0.25">
      <c r="A89" s="20">
        <v>9.6000000000000103</v>
      </c>
      <c r="B89" s="41">
        <f t="shared" si="1"/>
        <v>30.159289474462046</v>
      </c>
      <c r="C89" s="15" cm="1">
        <f t="array" ref="C89">EVAL($AG$6,B89)</f>
        <v>151.30083687763218</v>
      </c>
      <c r="D89" s="15" cm="1">
        <f t="array" ref="D89">EVAL($AG$7,B89)</f>
        <v>2.7616208151851165</v>
      </c>
      <c r="F89" s="15" cm="1">
        <f t="array" ref="F89">EVAL($AG$9,B89)</f>
        <v>0.67542269050985448</v>
      </c>
      <c r="G89" s="15" cm="1">
        <f t="array" ref="G89">EVAL($AG$10,B89)</f>
        <v>0.67542269050985448</v>
      </c>
      <c r="H89" s="15" cm="1">
        <f t="array" ref="H89">EVAL($AG$11,B89)</f>
        <v>0.67542269050985448</v>
      </c>
      <c r="I89" s="15" cm="1">
        <f t="array" ref="I89">EVAL($AG$12,B89)</f>
        <v>0.70100912315481645</v>
      </c>
      <c r="J89" s="15" cm="1">
        <f t="array" ref="J89">EVAL($AG$13,B89)</f>
        <v>53.933294354446559</v>
      </c>
      <c r="K89" s="15" cm="1">
        <f t="array" ref="K89">EVAL($AG$14,B89)</f>
        <v>0.56393372260440511</v>
      </c>
      <c r="L89" s="15" cm="1">
        <f t="array" ref="L89">EVAL($AG$15,B89)</f>
        <v>35.623875418348732</v>
      </c>
      <c r="M89" s="15" cm="1">
        <f t="array" ref="M89">EVAL($AG$16,B89)</f>
        <v>0.51841750457480107</v>
      </c>
      <c r="N89" s="15" cm="1">
        <f t="array" ref="N89">EVAL($AG$17,B89)</f>
        <v>25.457677627246834</v>
      </c>
      <c r="O89" s="15" cm="1">
        <f t="array" ref="O89">EVAL($AG$18,B89)</f>
        <v>1.6326173590625926E-2</v>
      </c>
      <c r="P89" s="15" cm="1">
        <f t="array" ref="P89">EVAL($AG$19,B89)</f>
        <v>1.6326173590625926E-2</v>
      </c>
      <c r="Q89" s="15" cm="1">
        <f t="array" ref="Q89">EVAL($AH$6,B89)</f>
        <v>0.74390269314624891</v>
      </c>
      <c r="R89" s="15" cm="1">
        <f t="array" ref="R89">EVAL($AH$7,B89)</f>
        <v>0.74390269314624891</v>
      </c>
      <c r="T89" s="15" cm="1">
        <f t="array" ref="T89">EVAL($AH$9,B89)</f>
        <v>0.50354691475031854</v>
      </c>
      <c r="U89" s="15" cm="1">
        <f t="array" ref="U89">EVAL($AH$10,B89)</f>
        <v>0.50354691475031854</v>
      </c>
      <c r="V89" s="15" cm="1">
        <f t="array" ref="V89">EVAL($AH$11,B89)</f>
        <v>0.50354691475031854</v>
      </c>
      <c r="W89" s="15" cm="1">
        <f t="array" ref="W89">EVAL($AH$12,B89)</f>
        <v>6.5814872986967687</v>
      </c>
      <c r="X89" s="15" cm="1">
        <f t="array" ref="X89">EVAL($AH$13,B89)</f>
        <v>0.27071737067186058</v>
      </c>
      <c r="Y89" s="15" cm="1">
        <f t="array" ref="Y89">EVAL($AH$14,B89)</f>
        <v>0.27071737067186058</v>
      </c>
    </row>
    <row r="90" spans="1:25" x14ac:dyDescent="0.25">
      <c r="A90" s="20">
        <v>9.7000000000000099</v>
      </c>
      <c r="B90" s="41">
        <f t="shared" si="1"/>
        <v>30.473448739821023</v>
      </c>
      <c r="C90" s="15" cm="1">
        <f t="array" ref="C90">EVAL($AG$6,B90)</f>
        <v>152.38893250555114</v>
      </c>
      <c r="D90" s="15" cm="1">
        <f t="array" ref="D90">EVAL($AG$7,B90)</f>
        <v>2.7696856984962386</v>
      </c>
      <c r="F90" s="15" cm="1">
        <f t="array" ref="F90">EVAL($AG$9,B90)</f>
        <v>0.68257221497958309</v>
      </c>
      <c r="G90" s="15" cm="1">
        <f t="array" ref="G90">EVAL($AG$10,B90)</f>
        <v>0.68257221497958309</v>
      </c>
      <c r="H90" s="15" cm="1">
        <f t="array" ref="H90">EVAL($AG$11,B90)</f>
        <v>0.68257221497958309</v>
      </c>
      <c r="I90" s="15" cm="1">
        <f t="array" ref="I90">EVAL($AG$12,B90)</f>
        <v>0.70790257708180282</v>
      </c>
      <c r="J90" s="15" cm="1">
        <f t="array" ref="J90">EVAL($AG$13,B90)</f>
        <v>54.353989294251349</v>
      </c>
      <c r="K90" s="15" cm="1">
        <f t="array" ref="K90">EVAL($AG$14,B90)</f>
        <v>0.5689949315616516</v>
      </c>
      <c r="L90" s="15" cm="1">
        <f t="array" ref="L90">EVAL($AG$15,B90)</f>
        <v>35.848997722564299</v>
      </c>
      <c r="M90" s="15" cm="1">
        <f t="array" ref="M90">EVAL($AG$16,B90)</f>
        <v>0.52116352488012174</v>
      </c>
      <c r="N90" s="15" cm="1">
        <f t="array" ref="N90">EVAL($AG$17,B90)</f>
        <v>25.565646959555067</v>
      </c>
      <c r="O90" s="15" cm="1">
        <f t="array" ref="O90">EVAL($AG$18,B90)</f>
        <v>1.6232882038215428E-2</v>
      </c>
      <c r="P90" s="15" cm="1">
        <f t="array" ref="P90">EVAL($AG$19,B90)</f>
        <v>1.6232882038215428E-2</v>
      </c>
      <c r="Q90" s="15" cm="1">
        <f t="array" ref="Q90">EVAL($AH$6,B90)</f>
        <v>0.74709561632711219</v>
      </c>
      <c r="R90" s="15" cm="1">
        <f t="array" ref="R90">EVAL($AH$7,B90)</f>
        <v>0.74709561632711219</v>
      </c>
      <c r="T90" s="15" cm="1">
        <f t="array" ref="T90">EVAL($AH$9,B90)</f>
        <v>0.50558925452718084</v>
      </c>
      <c r="U90" s="15" cm="1">
        <f t="array" ref="U90">EVAL($AH$10,B90)</f>
        <v>0.50558925452718084</v>
      </c>
      <c r="V90" s="15" cm="1">
        <f t="array" ref="V90">EVAL($AH$11,B90)</f>
        <v>0.50558925452718084</v>
      </c>
      <c r="W90" s="15" cm="1">
        <f t="array" ref="W90">EVAL($AH$12,B90)</f>
        <v>6.6830804390714187</v>
      </c>
      <c r="X90" s="15" cm="1">
        <f t="array" ref="X90">EVAL($AH$13,B90)</f>
        <v>0.2714488798395992</v>
      </c>
      <c r="Y90" s="15" cm="1">
        <f t="array" ref="Y90">EVAL($AH$14,B90)</f>
        <v>0.2714488798395992</v>
      </c>
    </row>
    <row r="91" spans="1:25" x14ac:dyDescent="0.25">
      <c r="A91" s="20">
        <v>9.8000000000000096</v>
      </c>
      <c r="B91" s="41">
        <f t="shared" si="1"/>
        <v>30.787608005180001</v>
      </c>
      <c r="C91" s="15" cm="1">
        <f t="array" ref="C91">EVAL($AG$6,B91)</f>
        <v>153.47357296736746</v>
      </c>
      <c r="D91" s="15" cm="1">
        <f t="array" ref="D91">EVAL($AG$7,B91)</f>
        <v>2.7776910544918127</v>
      </c>
      <c r="F91" s="15" cm="1">
        <f t="array" ref="F91">EVAL($AG$9,B91)</f>
        <v>0.68972292624230336</v>
      </c>
      <c r="G91" s="15" cm="1">
        <f t="array" ref="G91">EVAL($AG$10,B91)</f>
        <v>0.68972292624230336</v>
      </c>
      <c r="H91" s="15" cm="1">
        <f t="array" ref="H91">EVAL($AG$11,B91)</f>
        <v>0.68972292624230336</v>
      </c>
      <c r="I91" s="15" cm="1">
        <f t="array" ref="I91">EVAL($AG$12,B91)</f>
        <v>0.71479207366703379</v>
      </c>
      <c r="J91" s="15" cm="1">
        <f t="array" ref="J91">EVAL($AG$13,B91)</f>
        <v>54.773600478046781</v>
      </c>
      <c r="K91" s="15" cm="1">
        <f t="array" ref="K91">EVAL($AG$14,B91)</f>
        <v>0.57404895544032464</v>
      </c>
      <c r="L91" s="15" cm="1">
        <f t="array" ref="L91">EVAL($AG$15,B91)</f>
        <v>36.073211839647101</v>
      </c>
      <c r="M91" s="15" cm="1">
        <f t="array" ref="M91">EVAL($AG$16,B91)</f>
        <v>0.5238957025762937</v>
      </c>
      <c r="N91" s="15" cm="1">
        <f t="array" ref="N91">EVAL($AG$17,B91)</f>
        <v>25.672959779235523</v>
      </c>
      <c r="O91" s="15" cm="1">
        <f t="array" ref="O91">EVAL($AG$18,B91)</f>
        <v>1.614107226551361E-2</v>
      </c>
      <c r="P91" s="15" cm="1">
        <f t="array" ref="P91">EVAL($AG$19,B91)</f>
        <v>1.614107226551361E-2</v>
      </c>
      <c r="Q91" s="15" cm="1">
        <f t="array" ref="Q91">EVAL($AH$6,B91)</f>
        <v>0.75026928510748958</v>
      </c>
      <c r="R91" s="15" cm="1">
        <f t="array" ref="R91">EVAL($AH$7,B91)</f>
        <v>0.75026928510748958</v>
      </c>
      <c r="T91" s="15" cm="1">
        <f t="array" ref="T91">EVAL($AH$9,B91)</f>
        <v>0.50761880328311471</v>
      </c>
      <c r="U91" s="15" cm="1">
        <f t="array" ref="U91">EVAL($AH$10,B91)</f>
        <v>0.50761880328311471</v>
      </c>
      <c r="V91" s="15" cm="1">
        <f t="array" ref="V91">EVAL($AH$11,B91)</f>
        <v>0.50761880328311471</v>
      </c>
      <c r="W91" s="15" cm="1">
        <f t="array" ref="W91">EVAL($AH$12,B91)</f>
        <v>6.7851756665238439</v>
      </c>
      <c r="X91" s="15" cm="1">
        <f t="array" ref="X91">EVAL($AH$13,B91)</f>
        <v>0.27217483251397573</v>
      </c>
      <c r="Y91" s="15" cm="1">
        <f t="array" ref="Y91">EVAL($AH$14,B91)</f>
        <v>0.27217483251397573</v>
      </c>
    </row>
    <row r="92" spans="1:25" x14ac:dyDescent="0.25">
      <c r="A92" s="20">
        <v>9.9000000000000092</v>
      </c>
      <c r="B92" s="41">
        <f t="shared" si="1"/>
        <v>31.101767270538982</v>
      </c>
      <c r="C92" s="15" cm="1">
        <f t="array" ref="C92">EVAL($AG$6,B92)</f>
        <v>154.55480432566705</v>
      </c>
      <c r="D92" s="15" cm="1">
        <f t="array" ref="D92">EVAL($AG$7,B92)</f>
        <v>2.7856379233047144</v>
      </c>
      <c r="F92" s="15" cm="1">
        <f t="array" ref="F92">EVAL($AG$9,B92)</f>
        <v>0.69687481238146143</v>
      </c>
      <c r="G92" s="15" cm="1">
        <f t="array" ref="G92">EVAL($AG$10,B92)</f>
        <v>0.69687481238146143</v>
      </c>
      <c r="H92" s="15" cm="1">
        <f t="array" ref="H92">EVAL($AG$11,B92)</f>
        <v>0.69687481238146143</v>
      </c>
      <c r="I92" s="15" cm="1">
        <f t="array" ref="I92">EVAL($AG$12,B92)</f>
        <v>0.72167765553014462</v>
      </c>
      <c r="J92" s="15" cm="1">
        <f t="array" ref="J92">EVAL($AG$13,B92)</f>
        <v>55.192141714310331</v>
      </c>
      <c r="K92" s="15" cm="1">
        <f t="array" ref="K92">EVAL($AG$14,B92)</f>
        <v>0.57909587760493741</v>
      </c>
      <c r="L92" s="15" cm="1">
        <f t="array" ref="L92">EVAL($AG$15,B92)</f>
        <v>36.296530645162299</v>
      </c>
      <c r="M92" s="15" cm="1">
        <f t="array" ref="M92">EVAL($AG$16,B92)</f>
        <v>0.52661424763746278</v>
      </c>
      <c r="N92" s="15" cm="1">
        <f t="array" ref="N92">EVAL($AG$17,B92)</f>
        <v>25.77962671684071</v>
      </c>
      <c r="O92" s="15" cm="1">
        <f t="array" ref="O92">EVAL($AG$18,B92)</f>
        <v>1.605070597357703E-2</v>
      </c>
      <c r="P92" s="15" cm="1">
        <f t="array" ref="P92">EVAL($AG$19,B92)</f>
        <v>1.605070597357703E-2</v>
      </c>
      <c r="Q92" s="15" cm="1">
        <f t="array" ref="Q92">EVAL($AH$6,B92)</f>
        <v>0.75342401031134343</v>
      </c>
      <c r="R92" s="15" cm="1">
        <f t="array" ref="R92">EVAL($AH$7,B92)</f>
        <v>0.75342401031134343</v>
      </c>
      <c r="T92" s="15" cm="1">
        <f t="array" ref="T92">EVAL($AH$9,B92)</f>
        <v>0.50963577043352559</v>
      </c>
      <c r="U92" s="15" cm="1">
        <f t="array" ref="U92">EVAL($AH$10,B92)</f>
        <v>0.50963577043352559</v>
      </c>
      <c r="V92" s="15" cm="1">
        <f t="array" ref="V92">EVAL($AH$11,B92)</f>
        <v>0.50963577043352559</v>
      </c>
      <c r="W92" s="15" cm="1">
        <f t="array" ref="W92">EVAL($AH$12,B92)</f>
        <v>6.8877703010697395</v>
      </c>
      <c r="X92" s="15" cm="1">
        <f t="array" ref="X92">EVAL($AH$13,B92)</f>
        <v>0.27289532696057439</v>
      </c>
      <c r="Y92" s="15" cm="1">
        <f t="array" ref="Y92">EVAL($AH$14,B92)</f>
        <v>0.27289532696057439</v>
      </c>
    </row>
    <row r="93" spans="1:25" x14ac:dyDescent="0.25">
      <c r="A93" s="20">
        <v>10</v>
      </c>
      <c r="B93" s="41">
        <f t="shared" si="1"/>
        <v>31.415926535897931</v>
      </c>
      <c r="C93" s="15" cm="1">
        <f t="array" ref="C93">EVAL($AG$6,B93)</f>
        <v>155.63267157055938</v>
      </c>
      <c r="D93" s="15" cm="1">
        <f t="array" ref="D93">EVAL($AG$7,B93)</f>
        <v>2.7935273166072658</v>
      </c>
      <c r="F93" s="15" cm="1">
        <f t="array" ref="F93">EVAL($AG$9,B93)</f>
        <v>0.70402786171933252</v>
      </c>
      <c r="G93" s="15" cm="1">
        <f t="array" ref="G93">EVAL($AG$10,B93)</f>
        <v>0.70402786171933252</v>
      </c>
      <c r="H93" s="15" cm="1">
        <f t="array" ref="H93">EVAL($AG$11,B93)</f>
        <v>0.70402786171933252</v>
      </c>
      <c r="I93" s="15" cm="1">
        <f t="array" ref="I93">EVAL($AG$12,B93)</f>
        <v>0.728559364405992</v>
      </c>
      <c r="J93" s="15" cm="1">
        <f t="array" ref="J93">EVAL($AG$13,B93)</f>
        <v>55.609626498043269</v>
      </c>
      <c r="K93" s="15" cm="1">
        <f t="array" ref="K93">EVAL($AG$14,B93)</f>
        <v>0.58413577962099417</v>
      </c>
      <c r="L93" s="15" cm="1">
        <f t="array" ref="L93">EVAL($AG$15,B93)</f>
        <v>36.518966704167795</v>
      </c>
      <c r="M93" s="15" cm="1">
        <f t="array" ref="M93">EVAL($AG$16,B93)</f>
        <v>0.52931936476898722</v>
      </c>
      <c r="N93" s="15" cm="1">
        <f t="array" ref="N93">EVAL($AG$17,B93)</f>
        <v>25.885658125455858</v>
      </c>
      <c r="O93" s="15" cm="1">
        <f t="array" ref="O93">EVAL($AG$18,B93)</f>
        <v>1.5961746227295504E-2</v>
      </c>
      <c r="P93" s="15" cm="1">
        <f t="array" ref="P93">EVAL($AG$19,B93)</f>
        <v>1.5961746227295504E-2</v>
      </c>
      <c r="Q93" s="15" cm="1">
        <f t="array" ref="Q93">EVAL($AH$6,B93)</f>
        <v>0.75656009466498031</v>
      </c>
      <c r="R93" s="15" cm="1">
        <f t="array" ref="R93">EVAL($AH$7,B93)</f>
        <v>0.75656009466498031</v>
      </c>
      <c r="T93" s="15" cm="1">
        <f t="array" ref="T93">EVAL($AH$9,B93)</f>
        <v>0.51164035989083534</v>
      </c>
      <c r="U93" s="15" cm="1">
        <f t="array" ref="U93">EVAL($AH$10,B93)</f>
        <v>0.51164035989083534</v>
      </c>
      <c r="V93" s="15" cm="1">
        <f t="array" ref="V93">EVAL($AH$11,B93)</f>
        <v>0.51164035989083534</v>
      </c>
      <c r="W93" s="15" cm="1">
        <f t="array" ref="W93">EVAL($AH$12,B93)</f>
        <v>6.9908617040227048</v>
      </c>
      <c r="X93" s="15" cm="1">
        <f t="array" ref="X93">EVAL($AH$13,B93)</f>
        <v>0.2736104587357131</v>
      </c>
      <c r="Y93" s="15" cm="1">
        <f t="array" ref="Y93">EVAL($AH$14,B93)</f>
        <v>0.2736104587357131</v>
      </c>
    </row>
    <row r="94" spans="1:25" x14ac:dyDescent="0.25">
      <c r="A94" s="20">
        <v>10.1</v>
      </c>
      <c r="B94" s="41">
        <f t="shared" si="1"/>
        <v>31.730085801256909</v>
      </c>
      <c r="C94" s="15" cm="1">
        <f t="array" ref="C94">EVAL($AG$6,B94)</f>
        <v>156.70721865510885</v>
      </c>
      <c r="D94" s="15" cm="1">
        <f t="array" ref="D94">EVAL($AG$7,B94)</f>
        <v>2.8013602186658431</v>
      </c>
      <c r="F94" s="15" cm="1">
        <f t="array" ref="F94">EVAL($AG$9,B94)</f>
        <v>0.71118206280990481</v>
      </c>
      <c r="G94" s="15" cm="1">
        <f t="array" ref="G94">EVAL($AG$10,B94)</f>
        <v>0.71118206280990481</v>
      </c>
      <c r="H94" s="15" cm="1">
        <f t="array" ref="H94">EVAL($AG$11,B94)</f>
        <v>0.71118206280990481</v>
      </c>
      <c r="I94" s="15" cm="1">
        <f t="array" ref="I94">EVAL($AG$12,B94)</f>
        <v>0.7354372411716904</v>
      </c>
      <c r="J94" s="15" cm="1">
        <f t="array" ref="J94">EVAL($AG$13,B94)</f>
        <v>56.026068020947612</v>
      </c>
      <c r="K94" s="15" cm="1">
        <f t="array" ref="K94">EVAL($AG$14,B94)</f>
        <v>0.58916874131141206</v>
      </c>
      <c r="L94" s="15" cm="1">
        <f t="array" ref="L94">EVAL($AG$15,B94)</f>
        <v>36.740532281727376</v>
      </c>
      <c r="M94" s="15" cm="1">
        <f t="array" ref="M94">EVAL($AG$16,B94)</f>
        <v>0.53201125359089363</v>
      </c>
      <c r="N94" s="15" cm="1">
        <f t="array" ref="N94">EVAL($AG$17,B94)</f>
        <v>25.9910640906357</v>
      </c>
      <c r="O94" s="15" cm="1">
        <f t="array" ref="O94">EVAL($AG$18,B94)</f>
        <v>1.5874157393773812E-2</v>
      </c>
      <c r="P94" s="15" cm="1">
        <f t="array" ref="P94">EVAL($AG$19,B94)</f>
        <v>1.5874157393773812E-2</v>
      </c>
      <c r="Q94" s="15" cm="1">
        <f t="array" ref="Q94">EVAL($AH$6,B94)</f>
        <v>0.75967783308666015</v>
      </c>
      <c r="R94" s="15" cm="1">
        <f t="array" ref="R94">EVAL($AH$7,B94)</f>
        <v>0.75967783308666015</v>
      </c>
      <c r="T94" s="15" cm="1">
        <f t="array" ref="T94">EVAL($AH$9,B94)</f>
        <v>0.51363277026251741</v>
      </c>
      <c r="U94" s="15" cm="1">
        <f t="array" ref="U94">EVAL($AH$10,B94)</f>
        <v>0.51363277026251741</v>
      </c>
      <c r="V94" s="15" cm="1">
        <f t="array" ref="V94">EVAL($AH$11,B94)</f>
        <v>0.51363277026251741</v>
      </c>
      <c r="W94" s="15" cm="1">
        <f t="array" ref="W94">EVAL($AH$12,B94)</f>
        <v>7.0944472769503362</v>
      </c>
      <c r="X94" s="15" cm="1">
        <f t="array" ref="X94">EVAL($AH$13,B94)</f>
        <v>0.27432032078739138</v>
      </c>
      <c r="Y94" s="15" cm="1">
        <f t="array" ref="Y94">EVAL($AH$14,B94)</f>
        <v>0.27432032078739138</v>
      </c>
    </row>
    <row r="95" spans="1:25" x14ac:dyDescent="0.25">
      <c r="A95" s="20">
        <v>10.199999999999999</v>
      </c>
      <c r="B95" s="41">
        <f t="shared" si="1"/>
        <v>32.044245066615886</v>
      </c>
      <c r="C95" s="15" cm="1">
        <f t="array" ref="C95">EVAL($AG$6,B95)</f>
        <v>157.77848852925447</v>
      </c>
      <c r="D95" s="15" cm="1">
        <f t="array" ref="D95">EVAL($AG$7,B95)</f>
        <v>2.8091375873463607</v>
      </c>
      <c r="F95" s="15" cm="1">
        <f t="array" ref="F95">EVAL($AG$9,B95)</f>
        <v>0.71833740443201743</v>
      </c>
      <c r="G95" s="15" cm="1">
        <f t="array" ref="G95">EVAL($AG$10,B95)</f>
        <v>0.71833740443201743</v>
      </c>
      <c r="H95" s="15" cm="1">
        <f t="array" ref="H95">EVAL($AG$11,B95)</f>
        <v>0.71833740443201743</v>
      </c>
      <c r="I95" s="15" cm="1">
        <f t="array" ref="I95">EVAL($AG$12,B95)</f>
        <v>0.74231132587254622</v>
      </c>
      <c r="J95" s="15" cm="1">
        <f t="array" ref="J95">EVAL($AG$13,B95)</f>
        <v>56.441479181174124</v>
      </c>
      <c r="K95" s="15" cm="1">
        <f t="array" ref="K95">EVAL($AG$14,B95)</f>
        <v>0.59419484081061491</v>
      </c>
      <c r="L95" s="15" cm="1">
        <f t="array" ref="L95">EVAL($AG$15,B95)</f>
        <v>36.961239352966643</v>
      </c>
      <c r="M95" s="15" cm="1">
        <f t="array" ref="M95">EVAL($AG$16,B95)</f>
        <v>0.53469010881318757</v>
      </c>
      <c r="N95" s="15" cm="1">
        <f t="array" ref="N95">EVAL($AG$17,B95)</f>
        <v>26.095854439890481</v>
      </c>
      <c r="O95" s="15" cm="1">
        <f t="array" ref="O95">EVAL($AG$18,B95)</f>
        <v>1.5787905084075782E-2</v>
      </c>
      <c r="P95" s="15" cm="1">
        <f t="array" ref="P95">EVAL($AG$19,B95)</f>
        <v>1.5787905084075782E-2</v>
      </c>
      <c r="Q95" s="15" cm="1">
        <f t="array" ref="Q95">EVAL($AH$6,B95)</f>
        <v>0.76277751296308083</v>
      </c>
      <c r="R95" s="15" cm="1">
        <f t="array" ref="R95">EVAL($AH$7,B95)</f>
        <v>0.76277751296308083</v>
      </c>
      <c r="T95" s="15" cm="1">
        <f t="array" ref="T95">EVAL($AH$9,B95)</f>
        <v>0.51561319504011316</v>
      </c>
      <c r="U95" s="15" cm="1">
        <f t="array" ref="U95">EVAL($AH$10,B95)</f>
        <v>0.51561319504011316</v>
      </c>
      <c r="V95" s="15" cm="1">
        <f t="array" ref="V95">EVAL($AH$11,B95)</f>
        <v>0.51561319504011316</v>
      </c>
      <c r="W95" s="15" cm="1">
        <f t="array" ref="W95">EVAL($AH$12,B95)</f>
        <v>7.1985244606664738</v>
      </c>
      <c r="X95" s="15" cm="1">
        <f t="array" ref="X95">EVAL($AH$13,B95)</f>
        <v>0.27502500355151688</v>
      </c>
      <c r="Y95" s="15" cm="1">
        <f t="array" ref="Y95">EVAL($AH$14,B95)</f>
        <v>0.27502500355151688</v>
      </c>
    </row>
    <row r="96" spans="1:25" x14ac:dyDescent="0.25">
      <c r="A96" s="20">
        <v>10.3</v>
      </c>
      <c r="B96" s="41">
        <f t="shared" si="1"/>
        <v>32.358404331974874</v>
      </c>
      <c r="C96" s="15" cm="1">
        <f t="array" ref="C96">EVAL($AG$6,B96)</f>
        <v>158.84652317230089</v>
      </c>
      <c r="D96" s="15" cm="1">
        <f t="array" ref="D96">EVAL($AG$7,B96)</f>
        <v>2.8168603550734308</v>
      </c>
      <c r="F96" s="15" cm="1">
        <f t="array" ref="F96">EVAL($AG$9,B96)</f>
        <v>0.72549387558279044</v>
      </c>
      <c r="G96" s="15" cm="1">
        <f t="array" ref="G96">EVAL($AG$10,B96)</f>
        <v>0.72549387558279044</v>
      </c>
      <c r="H96" s="15" cm="1">
        <f t="array" ref="H96">EVAL($AG$11,B96)</f>
        <v>0.72549387558279044</v>
      </c>
      <c r="I96" s="15" cm="1">
        <f t="array" ref="I96">EVAL($AG$12,B96)</f>
        <v>0.74918165774697953</v>
      </c>
      <c r="J96" s="15" cm="1">
        <f t="array" ref="J96">EVAL($AG$13,B96)</f>
        <v>56.855872592665918</v>
      </c>
      <c r="K96" s="15" cm="1">
        <f t="array" ref="K96">EVAL($AG$14,B96)</f>
        <v>0.59921415461645133</v>
      </c>
      <c r="L96" s="15" cm="1">
        <f t="array" ref="L96">EVAL($AG$15,B96)</f>
        <v>37.181099612697473</v>
      </c>
      <c r="M96" s="15" cm="1">
        <f t="array" ref="M96">EVAL($AG$16,B96)</f>
        <v>0.53735612040347169</v>
      </c>
      <c r="N96" s="15" cm="1">
        <f t="array" ref="N96">EVAL($AG$17,B96)</f>
        <v>26.200038751746529</v>
      </c>
      <c r="O96" s="15" cm="1">
        <f t="array" ref="O96">EVAL($AG$18,B96)</f>
        <v>1.5702956098115638E-2</v>
      </c>
      <c r="P96" s="15" cm="1">
        <f t="array" ref="P96">EVAL($AG$19,B96)</f>
        <v>1.5702956098115638E-2</v>
      </c>
      <c r="Q96" s="15" cm="1">
        <f t="array" ref="Q96">EVAL($AH$6,B96)</f>
        <v>0.76585941441347372</v>
      </c>
      <c r="R96" s="15" cm="1">
        <f t="array" ref="R96">EVAL($AH$7,B96)</f>
        <v>0.76585941441347372</v>
      </c>
      <c r="T96" s="15" cm="1">
        <f t="array" ref="T96">EVAL($AH$9,B96)</f>
        <v>0.51758182277973885</v>
      </c>
      <c r="U96" s="15" cm="1">
        <f t="array" ref="U96">EVAL($AH$10,B96)</f>
        <v>0.51758182277973885</v>
      </c>
      <c r="V96" s="15" cm="1">
        <f t="array" ref="V96">EVAL($AH$11,B96)</f>
        <v>0.51758182277973885</v>
      </c>
      <c r="W96" s="15" cm="1">
        <f t="array" ref="W96">EVAL($AH$12,B96)</f>
        <v>7.3030907342587179</v>
      </c>
      <c r="X96" s="15" cm="1">
        <f t="array" ref="X96">EVAL($AH$13,B96)</f>
        <v>0.27572459504367769</v>
      </c>
      <c r="Y96" s="15" cm="1">
        <f t="array" ref="Y96">EVAL($AH$14,B96)</f>
        <v>0.27572459504367769</v>
      </c>
    </row>
    <row r="97" spans="1:25" x14ac:dyDescent="0.25">
      <c r="A97" s="20">
        <v>10.4</v>
      </c>
      <c r="B97" s="41">
        <f t="shared" si="1"/>
        <v>32.672563597333848</v>
      </c>
      <c r="C97" s="15" cm="1">
        <f t="array" ref="C97">EVAL($AG$6,B97)</f>
        <v>159.91136362405189</v>
      </c>
      <c r="D97" s="15" cm="1">
        <f t="array" ref="D97">EVAL($AG$7,B97)</f>
        <v>2.824529429745712</v>
      </c>
      <c r="F97" s="15" cm="1">
        <f t="array" ref="F97">EVAL($AG$9,B97)</f>
        <v>0.73265146547129822</v>
      </c>
      <c r="G97" s="15" cm="1">
        <f t="array" ref="G97">EVAL($AG$10,B97)</f>
        <v>0.73265146547129822</v>
      </c>
      <c r="H97" s="15" cm="1">
        <f t="array" ref="H97">EVAL($AG$11,B97)</f>
        <v>0.73265146547129822</v>
      </c>
      <c r="I97" s="15" cm="1">
        <f t="array" ref="I97">EVAL($AG$12,B97)</f>
        <v>0.75604827525045271</v>
      </c>
      <c r="J97" s="15" cm="1">
        <f t="array" ref="J97">EVAL($AG$13,B97)</f>
        <v>57.269260594116027</v>
      </c>
      <c r="K97" s="15" cm="1">
        <f t="array" ref="K97">EVAL($AG$14,B97)</f>
        <v>0.60422675764001654</v>
      </c>
      <c r="L97" s="15" cm="1">
        <f t="array" ref="L97">EVAL($AG$15,B97)</f>
        <v>37.400124484632478</v>
      </c>
      <c r="M97" s="15" cm="1">
        <f t="array" ref="M97">EVAL($AG$16,B97)</f>
        <v>0.54000947374727071</v>
      </c>
      <c r="N97" s="15" cm="1">
        <f t="array" ref="N97">EVAL($AG$17,B97)</f>
        <v>26.30362636440378</v>
      </c>
      <c r="O97" s="15" cm="1">
        <f t="array" ref="O97">EVAL($AG$18,B97)</f>
        <v>1.5619278372498453E-2</v>
      </c>
      <c r="P97" s="15" cm="1">
        <f t="array" ref="P97">EVAL($AG$19,B97)</f>
        <v>1.5619278372498453E-2</v>
      </c>
      <c r="Q97" s="15" cm="1">
        <f t="array" ref="Q97">EVAL($AH$6,B97)</f>
        <v>0.76892381054196635</v>
      </c>
      <c r="R97" s="15" cm="1">
        <f t="array" ref="R97">EVAL($AH$7,B97)</f>
        <v>0.76892381054196635</v>
      </c>
      <c r="T97" s="15" cm="1">
        <f t="array" ref="T97">EVAL($AH$9,B97)</f>
        <v>0.51953883727453332</v>
      </c>
      <c r="U97" s="15" cm="1">
        <f t="array" ref="U97">EVAL($AH$10,B97)</f>
        <v>0.51953883727453332</v>
      </c>
      <c r="V97" s="15" cm="1">
        <f t="array" ref="V97">EVAL($AH$11,B97)</f>
        <v>0.51953883727453332</v>
      </c>
      <c r="W97" s="15" cm="1">
        <f t="array" ref="W97">EVAL($AH$12,B97)</f>
        <v>7.4081436141490187</v>
      </c>
      <c r="X97" s="15" cm="1">
        <f t="array" ref="X97">EVAL($AH$13,B97)</f>
        <v>0.27641918094670631</v>
      </c>
      <c r="Y97" s="15" cm="1">
        <f t="array" ref="Y97">EVAL($AH$14,B97)</f>
        <v>0.27641918094670631</v>
      </c>
    </row>
    <row r="98" spans="1:25" x14ac:dyDescent="0.25">
      <c r="A98" s="20">
        <v>10.5</v>
      </c>
      <c r="B98" s="41">
        <f t="shared" si="1"/>
        <v>32.986722862692829</v>
      </c>
      <c r="C98" s="15" cm="1">
        <f t="array" ref="C98">EVAL($AG$6,B98)</f>
        <v>160.97305001465608</v>
      </c>
      <c r="D98" s="15" cm="1">
        <f t="array" ref="D98">EVAL($AG$7,B98)</f>
        <v>2.8321456956098867</v>
      </c>
      <c r="F98" s="15" cm="1">
        <f t="array" ref="F98">EVAL($AG$9,B98)</f>
        <v>0.73981016351249274</v>
      </c>
      <c r="G98" s="15" cm="1">
        <f t="array" ref="G98">EVAL($AG$10,B98)</f>
        <v>0.73981016351249274</v>
      </c>
      <c r="H98" s="15" cm="1">
        <f t="array" ref="H98">EVAL($AG$11,B98)</f>
        <v>0.73981016351249274</v>
      </c>
      <c r="I98" s="15" cm="1">
        <f t="array" ref="I98">EVAL($AG$12,B98)</f>
        <v>0.76291121607847878</v>
      </c>
      <c r="J98" s="15" cm="1">
        <f t="array" ref="J98">EVAL($AG$13,B98)</f>
        <v>57.681655257560251</v>
      </c>
      <c r="K98" s="15" cm="1">
        <f t="array" ref="K98">EVAL($AG$14,B98)</f>
        <v>0.60923272325350564</v>
      </c>
      <c r="L98" s="15" cm="1">
        <f t="array" ref="L98">EVAL($AG$15,B98)</f>
        <v>37.61832513021141</v>
      </c>
      <c r="M98" s="15" cm="1">
        <f t="array" ref="M98">EVAL($AG$16,B98)</f>
        <v>0.54265034980145388</v>
      </c>
      <c r="N98" s="15" cm="1">
        <f t="array" ref="N98">EVAL($AG$17,B98)</f>
        <v>26.406626384012384</v>
      </c>
      <c r="O98" s="15" cm="1">
        <f t="array" ref="O98">EVAL($AG$18,B98)</f>
        <v>1.5536840931124875E-2</v>
      </c>
      <c r="P98" s="15" cm="1">
        <f t="array" ref="P98">EVAL($AG$19,B98)</f>
        <v>1.5536840931124875E-2</v>
      </c>
      <c r="Q98" s="15" cm="1">
        <f t="array" ref="Q98">EVAL($AH$6,B98)</f>
        <v>0.77197096767885187</v>
      </c>
      <c r="R98" s="15" cm="1">
        <f t="array" ref="R98">EVAL($AH$7,B98)</f>
        <v>0.77197096767885187</v>
      </c>
      <c r="T98" s="15" cm="1">
        <f t="array" ref="T98">EVAL($AH$9,B98)</f>
        <v>0.52148441771948906</v>
      </c>
      <c r="U98" s="15" cm="1">
        <f t="array" ref="U98">EVAL($AH$10,B98)</f>
        <v>0.52148441771948906</v>
      </c>
      <c r="V98" s="15" cm="1">
        <f t="array" ref="V98">EVAL($AH$11,B98)</f>
        <v>0.52148441771948906</v>
      </c>
      <c r="W98" s="15" cm="1">
        <f t="array" ref="W98">EVAL($AH$12,B98)</f>
        <v>7.5136806531863671</v>
      </c>
      <c r="X98" s="15" cm="1">
        <f t="array" ref="X98">EVAL($AH$13,B98)</f>
        <v>0.27710884469426705</v>
      </c>
      <c r="Y98" s="15" cm="1">
        <f t="array" ref="Y98">EVAL($AH$14,B98)</f>
        <v>0.27710884469426705</v>
      </c>
    </row>
    <row r="99" spans="1:25" x14ac:dyDescent="0.25">
      <c r="A99" s="20">
        <v>10.6</v>
      </c>
      <c r="B99" s="41">
        <f t="shared" si="1"/>
        <v>33.300882128051803</v>
      </c>
      <c r="C99" s="15" cm="1">
        <f t="array" ref="C99">EVAL($AG$6,B99)</f>
        <v>162.0316215932281</v>
      </c>
      <c r="D99" s="15" cm="1">
        <f t="array" ref="D99">EVAL($AG$7,B99)</f>
        <v>2.8397100140954685</v>
      </c>
      <c r="F99" s="15" cm="1">
        <f t="array" ref="F99">EVAL($AG$9,B99)</f>
        <v>0.74696995932134214</v>
      </c>
      <c r="G99" s="15" cm="1">
        <f t="array" ref="G99">EVAL($AG$10,B99)</f>
        <v>0.74696995932134214</v>
      </c>
      <c r="H99" s="15" cm="1">
        <f t="array" ref="H99">EVAL($AG$11,B99)</f>
        <v>0.74696995932134214</v>
      </c>
      <c r="I99" s="15" cm="1">
        <f t="array" ref="I99">EVAL($AG$12,B99)</f>
        <v>0.76977051718872025</v>
      </c>
      <c r="J99" s="15" cm="1">
        <f t="array" ref="J99">EVAL($AG$13,B99)</f>
        <v>58.093068396621156</v>
      </c>
      <c r="K99" s="15" cm="1">
        <f t="array" ref="K99">EVAL($AG$14,B99)</f>
        <v>0.61423212333616317</v>
      </c>
      <c r="L99" s="15" cm="1">
        <f t="array" ref="L99">EVAL($AG$15,B99)</f>
        <v>37.83571245705825</v>
      </c>
      <c r="M99" s="15" cm="1">
        <f t="array" ref="M99">EVAL($AG$16,B99)</f>
        <v>0.54527892524110233</v>
      </c>
      <c r="N99" s="15" cm="1">
        <f t="array" ref="N99">EVAL($AG$17,B99)</f>
        <v>26.509047692588013</v>
      </c>
      <c r="O99" s="15" cm="1">
        <f t="array" ref="O99">EVAL($AG$18,B99)</f>
        <v>1.5455613838389289E-2</v>
      </c>
      <c r="P99" s="15" cm="1">
        <f t="array" ref="P99">EVAL($AG$19,B99)</f>
        <v>1.5455613838389289E-2</v>
      </c>
      <c r="Q99" s="15" cm="1">
        <f t="array" ref="Q99">EVAL($AH$6,B99)</f>
        <v>0.77500114561133659</v>
      </c>
      <c r="R99" s="15" cm="1">
        <f t="array" ref="R99">EVAL($AH$7,B99)</f>
        <v>0.77500114561133659</v>
      </c>
      <c r="T99" s="15" cm="1">
        <f t="array" ref="T99">EVAL($AH$9,B99)</f>
        <v>0.5234187388690611</v>
      </c>
      <c r="U99" s="15" cm="1">
        <f t="array" ref="U99">EVAL($AH$10,B99)</f>
        <v>0.5234187388690611</v>
      </c>
      <c r="V99" s="15" cm="1">
        <f t="array" ref="V99">EVAL($AH$11,B99)</f>
        <v>0.5234187388690611</v>
      </c>
      <c r="W99" s="15" cm="1">
        <f t="array" ref="W99">EVAL($AH$12,B99)</f>
        <v>7.6196994397696765</v>
      </c>
      <c r="X99" s="15" cm="1">
        <f t="array" ref="X99">EVAL($AH$13,B99)</f>
        <v>0.27779366755068252</v>
      </c>
      <c r="Y99" s="15" cm="1">
        <f t="array" ref="Y99">EVAL($AH$14,B99)</f>
        <v>0.27779366755068252</v>
      </c>
    </row>
    <row r="100" spans="1:25" x14ac:dyDescent="0.25">
      <c r="A100" s="20">
        <v>10.7</v>
      </c>
      <c r="B100" s="41">
        <f t="shared" si="1"/>
        <v>33.615041393410785</v>
      </c>
      <c r="C100" s="15" cm="1">
        <f t="array" ref="C100">EVAL($AG$6,B100)</f>
        <v>163.08711675531006</v>
      </c>
      <c r="D100" s="15" cm="1">
        <f t="array" ref="D100">EVAL($AG$7,B100)</f>
        <v>2.8472232246125957</v>
      </c>
      <c r="F100" s="15" cm="1">
        <f t="array" ref="F100">EVAL($AG$9,B100)</f>
        <v>0.75413084270720665</v>
      </c>
      <c r="G100" s="15" cm="1">
        <f t="array" ref="G100">EVAL($AG$10,B100)</f>
        <v>0.75413084270720665</v>
      </c>
      <c r="H100" s="15" cm="1">
        <f t="array" ref="H100">EVAL($AG$11,B100)</f>
        <v>0.75413084270720665</v>
      </c>
      <c r="I100" s="15" cm="1">
        <f t="array" ref="I100">EVAL($AG$12,B100)</f>
        <v>0.77662621482226368</v>
      </c>
      <c r="J100" s="15" cm="1">
        <f t="array" ref="J100">EVAL($AG$13,B100)</f>
        <v>58.503511574423356</v>
      </c>
      <c r="K100" s="15" cm="1">
        <f t="array" ref="K100">EVAL($AG$14,B100)</f>
        <v>0.61922502831845949</v>
      </c>
      <c r="L100" s="15" cm="1">
        <f t="array" ref="L100">EVAL($AG$15,B100)</f>
        <v>38.052297127089361</v>
      </c>
      <c r="M100" s="15" cm="1">
        <f t="array" ref="M100">EVAL($AG$16,B100)</f>
        <v>0.54789537260017973</v>
      </c>
      <c r="N100" s="15" cm="1">
        <f t="array" ref="N100">EVAL($AG$17,B100)</f>
        <v>26.610898955585615</v>
      </c>
      <c r="O100" s="15" cm="1">
        <f t="array" ref="O100">EVAL($AG$18,B100)</f>
        <v>1.5375568154811756E-2</v>
      </c>
      <c r="P100" s="15" cm="1">
        <f t="array" ref="P100">EVAL($AG$19,B100)</f>
        <v>1.5375568154811756E-2</v>
      </c>
      <c r="Q100" s="15" cm="1">
        <f t="array" ref="Q100">EVAL($AH$6,B100)</f>
        <v>0.77801459780434179</v>
      </c>
      <c r="R100" s="15" cm="1">
        <f t="array" ref="R100">EVAL($AH$7,B100)</f>
        <v>0.77801459780434179</v>
      </c>
      <c r="T100" s="15" cm="1">
        <f t="array" ref="T100">EVAL($AH$9,B100)</f>
        <v>0.52534197118794779</v>
      </c>
      <c r="U100" s="15" cm="1">
        <f t="array" ref="U100">EVAL($AH$10,B100)</f>
        <v>0.52534197118794779</v>
      </c>
      <c r="V100" s="15" cm="1">
        <f t="array" ref="V100">EVAL($AH$11,B100)</f>
        <v>0.52534197118794779</v>
      </c>
      <c r="W100" s="15" cm="1">
        <f t="array" ref="W100">EVAL($AH$12,B100)</f>
        <v>7.7261975970002208</v>
      </c>
      <c r="X100" s="15" cm="1">
        <f t="array" ref="X100">EVAL($AH$13,B100)</f>
        <v>0.27847372868720416</v>
      </c>
      <c r="Y100" s="15" cm="1">
        <f t="array" ref="Y100">EVAL($AH$14,B100)</f>
        <v>0.27847372868720416</v>
      </c>
    </row>
    <row r="101" spans="1:25" x14ac:dyDescent="0.25">
      <c r="A101" s="20">
        <v>10.8</v>
      </c>
      <c r="B101" s="41">
        <f t="shared" si="1"/>
        <v>33.929200658769766</v>
      </c>
      <c r="C101" s="15" cm="1">
        <f t="array" ref="C101">EVAL($AG$6,B101)</f>
        <v>164.13957306922768</v>
      </c>
      <c r="D101" s="15" cm="1">
        <f t="array" ref="D101">EVAL($AG$7,B101)</f>
        <v>2.8546861453147483</v>
      </c>
      <c r="F101" s="15" cm="1">
        <f t="array" ref="F101">EVAL($AG$9,B101)</f>
        <v>0.7612928036684149</v>
      </c>
      <c r="G101" s="15" cm="1">
        <f t="array" ref="G101">EVAL($AG$10,B101)</f>
        <v>0.7612928036684149</v>
      </c>
      <c r="H101" s="15" cm="1">
        <f t="array" ref="H101">EVAL($AG$11,B101)</f>
        <v>0.7612928036684149</v>
      </c>
      <c r="I101" s="15" cm="1">
        <f t="array" ref="I101">EVAL($AG$12,B101)</f>
        <v>0.78347834452407739</v>
      </c>
      <c r="J101" s="15" cm="1">
        <f t="array" ref="J101">EVAL($AG$13,B101)</f>
        <v>58.912996111193713</v>
      </c>
      <c r="K101" s="15" cm="1">
        <f t="array" ref="K101">EVAL($AG$14,B101)</f>
        <v>0.62421150722454788</v>
      </c>
      <c r="L101" s="15" cm="1">
        <f t="array" ref="L101">EVAL($AG$15,B101)</f>
        <v>38.268089564288886</v>
      </c>
      <c r="M101" s="15" cm="1">
        <f t="array" ref="M101">EVAL($AG$16,B101)</f>
        <v>0.55049986040630627</v>
      </c>
      <c r="N101" s="15" cm="1">
        <f t="array" ref="N101">EVAL($AG$17,B101)</f>
        <v>26.712188629148805</v>
      </c>
      <c r="O101" s="15" cm="1">
        <f t="array" ref="O101">EVAL($AG$18,B101)</f>
        <v>1.5296675894956117E-2</v>
      </c>
      <c r="P101" s="15" cm="1">
        <f t="array" ref="P101">EVAL($AG$19,B101)</f>
        <v>1.5296675894956117E-2</v>
      </c>
      <c r="Q101" s="15" cm="1">
        <f t="array" ref="Q101">EVAL($AH$6,B101)</f>
        <v>0.78101157161185963</v>
      </c>
      <c r="R101" s="15" cm="1">
        <f t="array" ref="R101">EVAL($AH$7,B101)</f>
        <v>0.78101157161185963</v>
      </c>
      <c r="T101" s="15" cm="1">
        <f t="array" ref="T101">EVAL($AH$9,B101)</f>
        <v>0.52725428099539073</v>
      </c>
      <c r="U101" s="15" cm="1">
        <f t="array" ref="U101">EVAL($AH$10,B101)</f>
        <v>0.52725428099539073</v>
      </c>
      <c r="V101" s="15" cm="1">
        <f t="array" ref="V101">EVAL($AH$11,B101)</f>
        <v>0.52725428099539073</v>
      </c>
      <c r="W101" s="15" cm="1">
        <f t="array" ref="W101">EVAL($AH$12,B101)</f>
        <v>7.8331727818617907</v>
      </c>
      <c r="X101" s="15" cm="1">
        <f t="array" ref="X101">EVAL($AH$13,B101)</f>
        <v>0.27914910525491538</v>
      </c>
      <c r="Y101" s="15" cm="1">
        <f t="array" ref="Y101">EVAL($AH$14,B101)</f>
        <v>0.27914910525491538</v>
      </c>
    </row>
    <row r="102" spans="1:25" x14ac:dyDescent="0.25">
      <c r="A102" s="20">
        <v>10.9</v>
      </c>
      <c r="B102" s="41">
        <f t="shared" si="1"/>
        <v>34.243359924128747</v>
      </c>
      <c r="C102" s="15" cm="1">
        <f t="array" ref="C102">EVAL($AG$6,B102)</f>
        <v>165.18902730139632</v>
      </c>
      <c r="D102" s="15" cm="1">
        <f t="array" ref="D102">EVAL($AG$7,B102)</f>
        <v>2.8620995738282473</v>
      </c>
      <c r="F102" s="15" cm="1">
        <f t="array" ref="F102">EVAL($AG$9,B102)</f>
        <v>0.76845583238703952</v>
      </c>
      <c r="G102" s="15" cm="1">
        <f t="array" ref="G102">EVAL($AG$10,B102)</f>
        <v>0.76845583238703952</v>
      </c>
      <c r="H102" s="15" cm="1">
        <f t="array" ref="H102">EVAL($AG$11,B102)</f>
        <v>0.76845583238703952</v>
      </c>
      <c r="I102" s="15" cm="1">
        <f t="array" ref="I102">EVAL($AG$12,B102)</f>
        <v>0.7903269411627003</v>
      </c>
      <c r="J102" s="15" cm="1">
        <f t="array" ref="J102">EVAL($AG$13,B102)</f>
        <v>59.321533091563317</v>
      </c>
      <c r="K102" s="15" cm="1">
        <f t="array" ref="K102">EVAL($AG$14,B102)</f>
        <v>0.62919162771309955</v>
      </c>
      <c r="L102" s="15" cm="1">
        <f t="array" ref="L102">EVAL($AG$15,B102)</f>
        <v>38.483099962168595</v>
      </c>
      <c r="M102" s="15" cm="1">
        <f t="array" ref="M102">EVAL($AG$16,B102)</f>
        <v>0.55309255330994256</v>
      </c>
      <c r="N102" s="15" cm="1">
        <f t="array" ref="N102">EVAL($AG$17,B102)</f>
        <v>26.81292496705192</v>
      </c>
      <c r="O102" s="15" cm="1">
        <f t="array" ref="O102">EVAL($AG$18,B102)</f>
        <v>1.5218909987496396E-2</v>
      </c>
      <c r="P102" s="15" cm="1">
        <f t="array" ref="P102">EVAL($AG$19,B102)</f>
        <v>1.5218909987496396E-2</v>
      </c>
      <c r="Q102" s="15" cm="1">
        <f t="array" ref="Q102">EVAL($AH$6,B102)</f>
        <v>0.78399230847935641</v>
      </c>
      <c r="R102" s="15" cm="1">
        <f t="array" ref="R102">EVAL($AH$7,B102)</f>
        <v>0.78399230847935641</v>
      </c>
      <c r="T102" s="15" cm="1">
        <f t="array" ref="T102">EVAL($AH$9,B102)</f>
        <v>0.52915583060333438</v>
      </c>
      <c r="U102" s="15" cm="1">
        <f t="array" ref="U102">EVAL($AH$10,B102)</f>
        <v>0.52915583060333438</v>
      </c>
      <c r="V102" s="15" cm="1">
        <f t="array" ref="V102">EVAL($AH$11,B102)</f>
        <v>0.52915583060333438</v>
      </c>
      <c r="W102" s="15" cm="1">
        <f t="array" ref="W102">EVAL($AH$12,B102)</f>
        <v>7.9406226844277352</v>
      </c>
      <c r="X102" s="15" cm="1">
        <f t="array" ref="X102">EVAL($AH$13,B102)</f>
        <v>0.27981987245444567</v>
      </c>
      <c r="Y102" s="15" cm="1">
        <f t="array" ref="Y102">EVAL($AH$14,B102)</f>
        <v>0.27981987245444567</v>
      </c>
    </row>
    <row r="103" spans="1:25" x14ac:dyDescent="0.25">
      <c r="A103" s="20">
        <v>11</v>
      </c>
      <c r="B103" s="41">
        <f t="shared" si="1"/>
        <v>34.557519189487721</v>
      </c>
      <c r="C103" s="15" cm="1">
        <f t="array" ref="C103">EVAL($AG$6,B103)</f>
        <v>166.23551544063</v>
      </c>
      <c r="D103" s="15" cm="1">
        <f t="array" ref="D103">EVAL($AG$7,B103)</f>
        <v>2.8694642879502914</v>
      </c>
      <c r="F103" s="15" cm="1">
        <f t="array" ref="F103">EVAL($AG$9,B103)</f>
        <v>0.77561991922387763</v>
      </c>
      <c r="G103" s="15" cm="1">
        <f t="array" ref="G103">EVAL($AG$10,B103)</f>
        <v>0.77561991922387763</v>
      </c>
      <c r="H103" s="15" cm="1">
        <f t="array" ref="H103">EVAL($AG$11,B103)</f>
        <v>0.77561991922387763</v>
      </c>
      <c r="I103" s="15" cm="1">
        <f t="array" ref="I103">EVAL($AG$12,B103)</f>
        <v>0.7971720389492114</v>
      </c>
      <c r="J103" s="15" cm="1">
        <f t="array" ref="J103">EVAL($AG$13,B103)</f>
        <v>59.729133371585206</v>
      </c>
      <c r="K103" s="15" cm="1">
        <f t="array" ref="K103">EVAL($AG$14,B103)</f>
        <v>0.63416545611659514</v>
      </c>
      <c r="L103" s="15" cm="1">
        <f t="array" ref="L103">EVAL($AG$15,B103)</f>
        <v>38.697338290928073</v>
      </c>
      <c r="M103" s="15" cm="1">
        <f t="array" ref="M103">EVAL($AG$16,B103)</f>
        <v>0.55567361220826927</v>
      </c>
      <c r="N103" s="15" cm="1">
        <f t="array" ref="N103">EVAL($AG$17,B103)</f>
        <v>26.913116027350586</v>
      </c>
      <c r="O103" s="15" cm="1">
        <f t="array" ref="O103">EVAL($AG$18,B103)</f>
        <v>1.5142244237303136E-2</v>
      </c>
      <c r="P103" s="15" cm="1">
        <f t="array" ref="P103">EVAL($AG$19,B103)</f>
        <v>1.5142244237303136E-2</v>
      </c>
      <c r="Q103" s="15" cm="1">
        <f t="array" ref="Q103">EVAL($AH$6,B103)</f>
        <v>0.78695704413768797</v>
      </c>
      <c r="R103" s="15" cm="1">
        <f t="array" ref="R103">EVAL($AH$7,B103)</f>
        <v>0.78695704413768797</v>
      </c>
      <c r="T103" s="15" cm="1">
        <f t="array" ref="T103">EVAL($AH$9,B103)</f>
        <v>0.53104677844876125</v>
      </c>
      <c r="U103" s="15" cm="1">
        <f t="array" ref="U103">EVAL($AH$10,B103)</f>
        <v>0.53104677844876125</v>
      </c>
      <c r="V103" s="15" cm="1">
        <f t="array" ref="V103">EVAL($AH$11,B103)</f>
        <v>0.53104677844876125</v>
      </c>
      <c r="W103" s="15" cm="1">
        <f t="array" ref="W103">EVAL($AH$12,B103)</f>
        <v>8.048545027093807</v>
      </c>
      <c r="X103" s="15" cm="1">
        <f t="array" ref="X103">EVAL($AH$13,B103)</f>
        <v>0.2804861036026649</v>
      </c>
      <c r="Y103" s="15" cm="1">
        <f t="array" ref="Y103">EVAL($AH$14,B103)</f>
        <v>0.2804861036026649</v>
      </c>
    </row>
    <row r="104" spans="1:25" x14ac:dyDescent="0.25">
      <c r="A104" s="20">
        <v>11.1</v>
      </c>
      <c r="B104" s="41">
        <f t="shared" si="1"/>
        <v>34.871678454846702</v>
      </c>
      <c r="C104" s="15" cm="1">
        <f t="array" ref="C104">EVAL($AG$6,B104)</f>
        <v>167.27907272149531</v>
      </c>
      <c r="D104" s="15" cm="1">
        <f t="array" ref="D104">EVAL($AG$7,B104)</f>
        <v>2.8767810463171184</v>
      </c>
      <c r="F104" s="15" cm="1">
        <f t="array" ref="F104">EVAL($AG$9,B104)</f>
        <v>0.78278505471358384</v>
      </c>
      <c r="G104" s="15" cm="1">
        <f t="array" ref="G104">EVAL($AG$10,B104)</f>
        <v>0.78278505471358384</v>
      </c>
      <c r="H104" s="15" cm="1">
        <f t="array" ref="H104">EVAL($AG$11,B104)</f>
        <v>0.78278505471358384</v>
      </c>
      <c r="I104" s="15" cm="1">
        <f t="array" ref="I104">EVAL($AG$12,B104)</f>
        <v>0.80401367145547431</v>
      </c>
      <c r="J104" s="15" cm="1">
        <f t="array" ref="J104">EVAL($AG$13,B104)</f>
        <v>60.135807585480102</v>
      </c>
      <c r="K104" s="15" cm="1">
        <f t="array" ref="K104">EVAL($AG$14,B104)</f>
        <v>0.63913305747912241</v>
      </c>
      <c r="L104" s="15" cm="1">
        <f t="array" ref="L104">EVAL($AG$15,B104)</f>
        <v>38.910814304328589</v>
      </c>
      <c r="M104" s="15" cm="1">
        <f t="array" ref="M104">EVAL($AG$16,B104)</f>
        <v>0.5582431943640086</v>
      </c>
      <c r="N104" s="15" cm="1">
        <f t="array" ref="N104">EVAL($AG$17,B104)</f>
        <v>27.012769678755017</v>
      </c>
      <c r="O104" s="15" cm="1">
        <f t="array" ref="O104">EVAL($AG$18,B104)</f>
        <v>1.5066653289430621E-2</v>
      </c>
      <c r="P104" s="15" cm="1">
        <f t="array" ref="P104">EVAL($AG$19,B104)</f>
        <v>1.5066653289430621E-2</v>
      </c>
      <c r="Q104" s="15" cm="1">
        <f t="array" ref="Q104">EVAL($AH$6,B104)</f>
        <v>0.78990600878893757</v>
      </c>
      <c r="R104" s="15" cm="1">
        <f t="array" ref="R104">EVAL($AH$7,B104)</f>
        <v>0.78990600878893757</v>
      </c>
      <c r="T104" s="15" cm="1">
        <f t="array" ref="T104">EVAL($AH$9,B104)</f>
        <v>0.53292727922048944</v>
      </c>
      <c r="U104" s="15" cm="1">
        <f t="array" ref="U104">EVAL($AH$10,B104)</f>
        <v>0.53292727922048944</v>
      </c>
      <c r="V104" s="15" cm="1">
        <f t="array" ref="V104">EVAL($AH$11,B104)</f>
        <v>0.53292727922048944</v>
      </c>
      <c r="W104" s="15" cm="1">
        <f t="array" ref="W104">EVAL($AH$12,B104)</f>
        <v>8.1569375638352728</v>
      </c>
      <c r="X104" s="15" cm="1">
        <f t="array" ref="X104">EVAL($AH$13,B104)</f>
        <v>0.28114787019651083</v>
      </c>
      <c r="Y104" s="15" cm="1">
        <f t="array" ref="Y104">EVAL($AH$14,B104)</f>
        <v>0.28114787019651083</v>
      </c>
    </row>
    <row r="105" spans="1:25" x14ac:dyDescent="0.25">
      <c r="A105" s="20">
        <v>11.2</v>
      </c>
      <c r="B105" s="41">
        <f t="shared" si="1"/>
        <v>35.185837720205683</v>
      </c>
      <c r="C105" s="15" cm="1">
        <f t="array" ref="C105">EVAL($AG$6,B105)</f>
        <v>168.31973364676475</v>
      </c>
      <c r="D105" s="15" cm="1">
        <f t="array" ref="D105">EVAL($AG$7,B105)</f>
        <v>2.8840505890438828</v>
      </c>
      <c r="F105" s="15" cm="1">
        <f t="array" ref="F105">EVAL($AG$9,B105)</f>
        <v>0.7899512295600124</v>
      </c>
      <c r="G105" s="15" cm="1">
        <f t="array" ref="G105">EVAL($AG$10,B105)</f>
        <v>0.7899512295600124</v>
      </c>
      <c r="H105" s="15" cm="1">
        <f t="array" ref="H105">EVAL($AG$11,B105)</f>
        <v>0.7899512295600124</v>
      </c>
      <c r="I105" s="15" cm="1">
        <f t="array" ref="I105">EVAL($AG$12,B105)</f>
        <v>0.81085187163174188</v>
      </c>
      <c r="J105" s="15" cm="1">
        <f t="array" ref="J105">EVAL($AG$13,B105)</f>
        <v>60.541566152125618</v>
      </c>
      <c r="K105" s="15" cm="1">
        <f t="array" ref="K105">EVAL($AG$14,B105)</f>
        <v>0.64409449559278542</v>
      </c>
      <c r="L105" s="15" cm="1">
        <f t="array" ref="L105">EVAL($AG$15,B105)</f>
        <v>39.123537546296362</v>
      </c>
      <c r="M105" s="15" cm="1">
        <f t="array" ref="M105">EVAL($AG$16,B105)</f>
        <v>0.56080145351946264</v>
      </c>
      <c r="N105" s="15" cm="1">
        <f t="array" ref="N105">EVAL($AG$17,B105)</f>
        <v>27.111893606740807</v>
      </c>
      <c r="O105" s="15" cm="1">
        <f t="array" ref="O105">EVAL($AG$18,B105)</f>
        <v>1.4992112594892869E-2</v>
      </c>
      <c r="P105" s="15" cm="1">
        <f t="array" ref="P105">EVAL($AG$19,B105)</f>
        <v>1.4992112594892869E-2</v>
      </c>
      <c r="Q105" s="15" cm="1">
        <f t="array" ref="Q105">EVAL($AH$6,B105)</f>
        <v>0.79283942728460699</v>
      </c>
      <c r="R105" s="15" cm="1">
        <f t="array" ref="R105">EVAL($AH$7,B105)</f>
        <v>0.79283942728460699</v>
      </c>
      <c r="T105" s="15" cm="1">
        <f t="array" ref="T105">EVAL($AH$9,B105)</f>
        <v>0.53479748398072757</v>
      </c>
      <c r="U105" s="15" cm="1">
        <f t="array" ref="U105">EVAL($AH$10,B105)</f>
        <v>0.53479748398072757</v>
      </c>
      <c r="V105" s="15" cm="1">
        <f t="array" ref="V105">EVAL($AH$11,B105)</f>
        <v>0.53479748398072757</v>
      </c>
      <c r="W105" s="15" cm="1">
        <f t="array" ref="W105">EVAL($AH$12,B105)</f>
        <v>8.2657980794880519</v>
      </c>
      <c r="X105" s="15" cm="1">
        <f t="array" ref="X105">EVAL($AH$13,B105)</f>
        <v>0.28180524197410278</v>
      </c>
      <c r="Y105" s="15" cm="1">
        <f t="array" ref="Y105">EVAL($AH$14,B105)</f>
        <v>0.28180524197410278</v>
      </c>
    </row>
    <row r="106" spans="1:25" x14ac:dyDescent="0.25">
      <c r="A106" s="20">
        <v>11.3</v>
      </c>
      <c r="B106" s="41">
        <f t="shared" si="1"/>
        <v>35.499996985564664</v>
      </c>
      <c r="C106" s="15" cm="1">
        <f t="array" ref="C106">EVAL($AG$6,B106)</f>
        <v>169.35753200900442</v>
      </c>
      <c r="D106" s="15" cm="1">
        <f t="array" ref="D106">EVAL($AG$7,B106)</f>
        <v>2.8912736383376414</v>
      </c>
      <c r="F106" s="15" cm="1">
        <f t="array" ref="F106">EVAL($AG$9,B106)</f>
        <v>0.79711843463169874</v>
      </c>
      <c r="G106" s="15" cm="1">
        <f t="array" ref="G106">EVAL($AG$10,B106)</f>
        <v>0.79711843463169874</v>
      </c>
      <c r="H106" s="15" cm="1">
        <f t="array" ref="H106">EVAL($AG$11,B106)</f>
        <v>0.79711843463169874</v>
      </c>
      <c r="I106" s="15" cm="1">
        <f t="array" ref="I106">EVAL($AG$12,B106)</f>
        <v>0.81768667182360866</v>
      </c>
      <c r="J106" s="15" cm="1">
        <f t="array" ref="J106">EVAL($AG$13,B106)</f>
        <v>60.946419281298475</v>
      </c>
      <c r="K106" s="15" cm="1">
        <f t="array" ref="K106">EVAL($AG$14,B106)</f>
        <v>0.64904983303275576</v>
      </c>
      <c r="L106" s="15" cm="1">
        <f t="array" ref="L106">EVAL($AG$15,B106)</f>
        <v>39.335517357266809</v>
      </c>
      <c r="M106" s="15" cm="1">
        <f t="array" ref="M106">EVAL($AG$16,B106)</f>
        <v>0.56334854000598189</v>
      </c>
      <c r="N106" s="15" cm="1">
        <f t="array" ref="N106">EVAL($AG$17,B106)</f>
        <v>27.210495319409553</v>
      </c>
      <c r="O106" s="15" cm="1">
        <f t="array" ref="O106">EVAL($AG$18,B106)</f>
        <v>1.4918598378125066E-2</v>
      </c>
      <c r="P106" s="15" cm="1">
        <f t="array" ref="P106">EVAL($AG$19,B106)</f>
        <v>1.4918598378125066E-2</v>
      </c>
      <c r="Q106" s="15" cm="1">
        <f t="array" ref="Q106">EVAL($AH$6,B106)</f>
        <v>0.79575751929652239</v>
      </c>
      <c r="R106" s="15" cm="1">
        <f t="array" ref="R106">EVAL($AH$7,B106)</f>
        <v>0.79575751929652239</v>
      </c>
      <c r="T106" s="15" cm="1">
        <f t="array" ref="T106">EVAL($AH$9,B106)</f>
        <v>0.53665754028163604</v>
      </c>
      <c r="U106" s="15" cm="1">
        <f t="array" ref="U106">EVAL($AH$10,B106)</f>
        <v>0.53665754028163604</v>
      </c>
      <c r="V106" s="15" cm="1">
        <f t="array" ref="V106">EVAL($AH$11,B106)</f>
        <v>0.53665754028163604</v>
      </c>
      <c r="W106" s="15" cm="1">
        <f t="array" ref="W106">EVAL($AH$12,B106)</f>
        <v>8.3751243890522424</v>
      </c>
      <c r="X106" s="15" cm="1">
        <f t="array" ref="X106">EVAL($AH$13,B106)</f>
        <v>0.28245828697327624</v>
      </c>
      <c r="Y106" s="15" cm="1">
        <f t="array" ref="Y106">EVAL($AH$14,B106)</f>
        <v>0.28245828697327624</v>
      </c>
    </row>
    <row r="107" spans="1:25" x14ac:dyDescent="0.25">
      <c r="A107" s="20">
        <v>11.4</v>
      </c>
      <c r="B107" s="41">
        <f t="shared" si="1"/>
        <v>35.814156250923645</v>
      </c>
      <c r="C107" s="15" cm="1">
        <f t="array" ref="C107">EVAL($AG$6,B107)</f>
        <v>170.39250091134087</v>
      </c>
      <c r="D107" s="15" cm="1">
        <f t="array" ref="D107">EVAL($AG$7,B107)</f>
        <v>2.8984508990848283</v>
      </c>
      <c r="F107" s="15" cm="1">
        <f t="array" ref="F107">EVAL($AG$9,B107)</f>
        <v>0.804286660957513</v>
      </c>
      <c r="G107" s="15" cm="1">
        <f t="array" ref="G107">EVAL($AG$10,B107)</f>
        <v>0.804286660957513</v>
      </c>
      <c r="H107" s="15" cm="1">
        <f t="array" ref="H107">EVAL($AG$11,B107)</f>
        <v>0.804286660957513</v>
      </c>
      <c r="I107" s="15" cm="1">
        <f t="array" ref="I107">EVAL($AG$12,B107)</f>
        <v>0.82451810378835599</v>
      </c>
      <c r="J107" s="15" cm="1">
        <f t="array" ref="J107">EVAL($AG$13,B107)</f>
        <v>61.350376979682444</v>
      </c>
      <c r="K107" s="15" cm="1">
        <f t="array" ref="K107">EVAL($AG$14,B107)</f>
        <v>0.65399913119104724</v>
      </c>
      <c r="L107" s="15" cm="1">
        <f t="array" ref="L107">EVAL($AG$15,B107)</f>
        <v>39.546762880282806</v>
      </c>
      <c r="M107" s="15" cm="1">
        <f t="array" ref="M107">EVAL($AG$16,B107)</f>
        <v>0.56588460084909453</v>
      </c>
      <c r="N107" s="15" cm="1">
        <f t="array" ref="N107">EVAL($AG$17,B107)</f>
        <v>27.308582153112035</v>
      </c>
      <c r="O107" s="15" cm="1">
        <f t="array" ref="O107">EVAL($AG$18,B107)</f>
        <v>1.4846087606033008E-2</v>
      </c>
      <c r="P107" s="15" cm="1">
        <f t="array" ref="P107">EVAL($AG$19,B107)</f>
        <v>1.4846087606033008E-2</v>
      </c>
      <c r="Q107" s="15" cm="1">
        <f t="array" ref="Q107">EVAL($AH$6,B107)</f>
        <v>0.79866049948082241</v>
      </c>
      <c r="R107" s="15" cm="1">
        <f t="array" ref="R107">EVAL($AH$7,B107)</f>
        <v>0.79866049948082241</v>
      </c>
      <c r="T107" s="15" cm="1">
        <f t="array" ref="T107">EVAL($AH$9,B107)</f>
        <v>0.53850759227714506</v>
      </c>
      <c r="U107" s="15" cm="1">
        <f t="array" ref="U107">EVAL($AH$10,B107)</f>
        <v>0.53850759227714506</v>
      </c>
      <c r="V107" s="15" cm="1">
        <f t="array" ref="V107">EVAL($AH$11,B107)</f>
        <v>0.53850759227714506</v>
      </c>
      <c r="W107" s="15" cm="1">
        <f t="array" ref="W107">EVAL($AH$12,B107)</f>
        <v>8.4849143370174804</v>
      </c>
      <c r="X107" s="15" cm="1">
        <f t="array" ref="X107">EVAL($AH$13,B107)</f>
        <v>0.28310707158766973</v>
      </c>
      <c r="Y107" s="15" cm="1">
        <f t="array" ref="Y107">EVAL($AH$14,B107)</f>
        <v>0.28310707158766973</v>
      </c>
    </row>
    <row r="108" spans="1:25" x14ac:dyDescent="0.25">
      <c r="A108" s="20">
        <v>11.5</v>
      </c>
      <c r="B108" s="41">
        <f t="shared" si="1"/>
        <v>36.128315516282619</v>
      </c>
      <c r="C108" s="15" cm="1">
        <f t="array" ref="C108">EVAL($AG$6,B108)</f>
        <v>171.42467278744468</v>
      </c>
      <c r="D108" s="15" cm="1">
        <f t="array" ref="D108">EVAL($AG$7,B108)</f>
        <v>2.9055830594144969</v>
      </c>
      <c r="F108" s="15" cm="1">
        <f t="array" ref="F108">EVAL($AG$9,B108)</f>
        <v>0.81145589972247067</v>
      </c>
      <c r="G108" s="15" cm="1">
        <f t="array" ref="G108">EVAL($AG$10,B108)</f>
        <v>0.81145589972247067</v>
      </c>
      <c r="H108" s="15" cm="1">
        <f t="array" ref="H108">EVAL($AG$11,B108)</f>
        <v>0.81145589972247067</v>
      </c>
      <c r="I108" s="15" cm="1">
        <f t="array" ref="I108">EVAL($AG$12,B108)</f>
        <v>0.83134619871072923</v>
      </c>
      <c r="J108" s="15" cm="1">
        <f t="array" ref="J108">EVAL($AG$13,B108)</f>
        <v>61.753449056652975</v>
      </c>
      <c r="K108" s="15" cm="1">
        <f t="array" ref="K108">EVAL($AG$14,B108)</f>
        <v>0.65894245030906751</v>
      </c>
      <c r="L108" s="15" cm="1">
        <f t="array" ref="L108">EVAL($AG$15,B108)</f>
        <v>39.75728306685847</v>
      </c>
      <c r="M108" s="15" cm="1">
        <f t="array" ref="M108">EVAL($AG$16,B108)</f>
        <v>0.56840977986950703</v>
      </c>
      <c r="N108" s="15" cm="1">
        <f t="array" ref="N108">EVAL($AG$17,B108)</f>
        <v>27.406161277845627</v>
      </c>
      <c r="O108" s="15" cm="1">
        <f t="array" ref="O108">EVAL($AG$18,B108)</f>
        <v>1.477455795853993E-2</v>
      </c>
      <c r="P108" s="15" cm="1">
        <f t="array" ref="P108">EVAL($AG$19,B108)</f>
        <v>1.477455795853993E-2</v>
      </c>
      <c r="Q108" s="15" cm="1">
        <f t="array" ref="Q108">EVAL($AH$6,B108)</f>
        <v>0.80154857763536647</v>
      </c>
      <c r="R108" s="15" cm="1">
        <f t="array" ref="R108">EVAL($AH$7,B108)</f>
        <v>0.80154857763536647</v>
      </c>
      <c r="T108" s="15" cm="1">
        <f t="array" ref="T108">EVAL($AH$9,B108)</f>
        <v>0.54034778083026913</v>
      </c>
      <c r="U108" s="15" cm="1">
        <f t="array" ref="U108">EVAL($AH$10,B108)</f>
        <v>0.54034778083026913</v>
      </c>
      <c r="V108" s="15" cm="1">
        <f t="array" ref="V108">EVAL($AH$11,B108)</f>
        <v>0.54034778083026913</v>
      </c>
      <c r="W108" s="15" cm="1">
        <f t="array" ref="W108">EVAL($AH$12,B108)</f>
        <v>8.5951657967093134</v>
      </c>
      <c r="X108" s="15" cm="1">
        <f t="array" ref="X108">EVAL($AH$13,B108)</f>
        <v>0.28375166062048929</v>
      </c>
      <c r="Y108" s="15" cm="1">
        <f t="array" ref="Y108">EVAL($AH$14,B108)</f>
        <v>0.28375166062048929</v>
      </c>
    </row>
    <row r="109" spans="1:25" x14ac:dyDescent="0.25">
      <c r="A109" s="20">
        <v>11.6</v>
      </c>
      <c r="B109" s="41">
        <f t="shared" si="1"/>
        <v>36.4424747816416</v>
      </c>
      <c r="C109" s="15" cm="1">
        <f t="array" ref="C109">EVAL($AG$6,B109)</f>
        <v>172.45407942076386</v>
      </c>
      <c r="D109" s="15" cm="1">
        <f t="array" ref="D109">EVAL($AG$7,B109)</f>
        <v>2.9126707912384977</v>
      </c>
      <c r="F109" s="15" cm="1">
        <f t="array" ref="F109">EVAL($AG$9,B109)</f>
        <v>0.81862614226366637</v>
      </c>
      <c r="G109" s="15" cm="1">
        <f t="array" ref="G109">EVAL($AG$10,B109)</f>
        <v>0.81862614226366637</v>
      </c>
      <c r="H109" s="15" cm="1">
        <f t="array" ref="H109">EVAL($AG$11,B109)</f>
        <v>0.81862614226366637</v>
      </c>
      <c r="I109" s="15" cm="1">
        <f t="array" ref="I109">EVAL($AG$12,B109)</f>
        <v>0.83817098721813299</v>
      </c>
      <c r="J109" s="15" cm="1">
        <f t="array" ref="J109">EVAL($AG$13,B109)</f>
        <v>62.155645129847287</v>
      </c>
      <c r="K109" s="15" cm="1">
        <f t="array" ref="K109">EVAL($AG$14,B109)</f>
        <v>0.66387984950898771</v>
      </c>
      <c r="L109" s="15" cm="1">
        <f t="array" ref="L109">EVAL($AG$15,B109)</f>
        <v>39.967086682618955</v>
      </c>
      <c r="M109" s="15" cm="1">
        <f t="array" ref="M109">EVAL($AG$16,B109)</f>
        <v>0.57092421778016222</v>
      </c>
      <c r="N109" s="15" cm="1">
        <f t="array" ref="N109">EVAL($AG$17,B109)</f>
        <v>27.503239702436424</v>
      </c>
      <c r="O109" s="15" cm="1">
        <f t="array" ref="O109">EVAL($AG$18,B109)</f>
        <v>1.4703987800546237E-2</v>
      </c>
      <c r="P109" s="15" cm="1">
        <f t="array" ref="P109">EVAL($AG$19,B109)</f>
        <v>1.4703987800546237E-2</v>
      </c>
      <c r="Q109" s="15" cm="1">
        <f t="array" ref="Q109">EVAL($AH$6,B109)</f>
        <v>0.80442195885087542</v>
      </c>
      <c r="R109" s="15" cm="1">
        <f t="array" ref="R109">EVAL($AH$7,B109)</f>
        <v>0.80442195885087542</v>
      </c>
      <c r="T109" s="15" cm="1">
        <f t="array" ref="T109">EVAL($AH$9,B109)</f>
        <v>0.54217824361612166</v>
      </c>
      <c r="U109" s="15" cm="1">
        <f t="array" ref="U109">EVAL($AH$10,B109)</f>
        <v>0.54217824361612166</v>
      </c>
      <c r="V109" s="15" cm="1">
        <f t="array" ref="V109">EVAL($AH$11,B109)</f>
        <v>0.54217824361612166</v>
      </c>
      <c r="W109" s="15" cm="1">
        <f t="array" ref="W109">EVAL($AH$12,B109)</f>
        <v>8.7058766696553462</v>
      </c>
      <c r="X109" s="15" cm="1">
        <f t="array" ref="X109">EVAL($AH$13,B109)</f>
        <v>0.2843921173360614</v>
      </c>
      <c r="Y109" s="15" cm="1">
        <f t="array" ref="Y109">EVAL($AH$14,B109)</f>
        <v>0.2843921173360614</v>
      </c>
    </row>
    <row r="110" spans="1:25" x14ac:dyDescent="0.25">
      <c r="A110" s="20">
        <v>11.7</v>
      </c>
      <c r="B110" s="41">
        <f t="shared" si="1"/>
        <v>36.756634047000574</v>
      </c>
      <c r="C110" s="15" cm="1">
        <f t="array" ref="C110">EVAL($AG$6,B110)</f>
        <v>173.48075196304677</v>
      </c>
      <c r="D110" s="15" cm="1">
        <f t="array" ref="D110">EVAL($AG$7,B110)</f>
        <v>2.9197147507697809</v>
      </c>
      <c r="F110" s="15" cm="1">
        <f t="array" ref="F110">EVAL($AG$9,B110)</f>
        <v>0.82579738006637182</v>
      </c>
      <c r="G110" s="15" cm="1">
        <f t="array" ref="G110">EVAL($AG$10,B110)</f>
        <v>0.82579738006637182</v>
      </c>
      <c r="H110" s="15" cm="1">
        <f t="array" ref="H110">EVAL($AG$11,B110)</f>
        <v>0.82579738006637182</v>
      </c>
      <c r="I110" s="15" cm="1">
        <f t="array" ref="I110">EVAL($AG$12,B110)</f>
        <v>0.84499249939531806</v>
      </c>
      <c r="J110" s="15" cm="1">
        <f t="array" ref="J110">EVAL($AG$13,B110)</f>
        <v>62.556974630531421</v>
      </c>
      <c r="K110" s="15" cm="1">
        <f t="array" ref="K110">EVAL($AG$14,B110)</f>
        <v>0.66881138682400598</v>
      </c>
      <c r="L110" s="15" cm="1">
        <f t="array" ref="L110">EVAL($AG$15,B110)</f>
        <v>40.176182312727477</v>
      </c>
      <c r="M110" s="15" cm="1">
        <f t="array" ref="M110">EVAL($AG$16,B110)</f>
        <v>0.57342805227955507</v>
      </c>
      <c r="N110" s="15" cm="1">
        <f t="array" ref="N110">EVAL($AG$17,B110)</f>
        <v>27.599824279517065</v>
      </c>
      <c r="O110" s="15" cm="1">
        <f t="array" ref="O110">EVAL($AG$18,B110)</f>
        <v>1.4634356155222428E-2</v>
      </c>
      <c r="P110" s="15" cm="1">
        <f t="array" ref="P110">EVAL($AG$19,B110)</f>
        <v>1.4634356155222428E-2</v>
      </c>
      <c r="Q110" s="15" cm="1">
        <f t="array" ref="Q110">EVAL($AH$6,B110)</f>
        <v>0.80728084365611663</v>
      </c>
      <c r="R110" s="15" cm="1">
        <f t="array" ref="R110">EVAL($AH$7,B110)</f>
        <v>0.80728084365611663</v>
      </c>
      <c r="T110" s="15" cm="1">
        <f t="array" ref="T110">EVAL($AH$9,B110)</f>
        <v>0.54399911522085664</v>
      </c>
      <c r="U110" s="15" cm="1">
        <f t="array" ref="U110">EVAL($AH$10,B110)</f>
        <v>0.54399911522085664</v>
      </c>
      <c r="V110" s="15" cm="1">
        <f t="array" ref="V110">EVAL($AH$11,B110)</f>
        <v>0.54399911522085664</v>
      </c>
      <c r="W110" s="15" cm="1">
        <f t="array" ref="W110">EVAL($AH$12,B110)</f>
        <v>8.8170448849709135</v>
      </c>
      <c r="X110" s="15" cm="1">
        <f t="array" ref="X110">EVAL($AH$13,B110)</f>
        <v>0.28502850350928799</v>
      </c>
      <c r="Y110" s="15" cm="1">
        <f t="array" ref="Y110">EVAL($AH$14,B110)</f>
        <v>0.28502850350928799</v>
      </c>
    </row>
    <row r="111" spans="1:25" x14ac:dyDescent="0.25">
      <c r="A111" s="20">
        <v>11.8</v>
      </c>
      <c r="B111" s="41">
        <f t="shared" si="1"/>
        <v>37.070793312359562</v>
      </c>
      <c r="C111" s="15" cm="1">
        <f t="array" ref="C111">EVAL($AG$6,B111)</f>
        <v>174.50472095218174</v>
      </c>
      <c r="D111" s="15" cm="1">
        <f t="array" ref="D111">EVAL($AG$7,B111)</f>
        <v>2.926715579019834</v>
      </c>
      <c r="F111" s="15" cm="1">
        <f t="array" ref="F111">EVAL($AG$9,B111)</f>
        <v>0.8329696047602515</v>
      </c>
      <c r="G111" s="15" cm="1">
        <f t="array" ref="G111">EVAL($AG$10,B111)</f>
        <v>0.8329696047602515</v>
      </c>
      <c r="H111" s="15" cm="1">
        <f t="array" ref="H111">EVAL($AG$11,B111)</f>
        <v>0.8329696047602515</v>
      </c>
      <c r="I111" s="15" cm="1">
        <f t="array" ref="I111">EVAL($AG$12,B111)</f>
        <v>0.85181076479855156</v>
      </c>
      <c r="J111" s="15" cm="1">
        <f t="array" ref="J111">EVAL($AG$13,B111)</f>
        <v>62.957446808772232</v>
      </c>
      <c r="K111" s="15" cm="1">
        <f t="array" ref="K111">EVAL($AG$14,B111)</f>
        <v>0.67373711922753643</v>
      </c>
      <c r="L111" s="15" cm="1">
        <f t="array" ref="L111">EVAL($AG$15,B111)</f>
        <v>40.38457836710883</v>
      </c>
      <c r="M111" s="15" cm="1">
        <f t="array" ref="M111">EVAL($AG$16,B111)</f>
        <v>0.57592141814147069</v>
      </c>
      <c r="N111" s="15" cm="1">
        <f t="array" ref="N111">EVAL($AG$17,B111)</f>
        <v>27.695921710309527</v>
      </c>
      <c r="O111" s="15" cm="1">
        <f t="array" ref="O111">EVAL($AG$18,B111)</f>
        <v>1.4565642678561355E-2</v>
      </c>
      <c r="P111" s="15" cm="1">
        <f t="array" ref="P111">EVAL($AG$19,B111)</f>
        <v>1.4565642678561355E-2</v>
      </c>
      <c r="Q111" s="15" cm="1">
        <f t="array" ref="Q111">EVAL($AH$6,B111)</f>
        <v>0.81012542815740796</v>
      </c>
      <c r="R111" s="15" cm="1">
        <f t="array" ref="R111">EVAL($AH$7,B111)</f>
        <v>0.81012542815740796</v>
      </c>
      <c r="T111" s="15" cm="1">
        <f t="array" ref="T111">EVAL($AH$9,B111)</f>
        <v>0.54581052723671597</v>
      </c>
      <c r="U111" s="15" cm="1">
        <f t="array" ref="U111">EVAL($AH$10,B111)</f>
        <v>0.54581052723671597</v>
      </c>
      <c r="V111" s="15" cm="1">
        <f t="array" ref="V111">EVAL($AH$11,B111)</f>
        <v>0.54581052723671597</v>
      </c>
      <c r="W111" s="15" cm="1">
        <f t="array" ref="W111">EVAL($AH$12,B111)</f>
        <v>8.9286683987632181</v>
      </c>
      <c r="X111" s="15" cm="1">
        <f t="array" ref="X111">EVAL($AH$13,B111)</f>
        <v>0.28566087947310381</v>
      </c>
      <c r="Y111" s="15" cm="1">
        <f t="array" ref="Y111">EVAL($AH$14,B111)</f>
        <v>0.28566087947310381</v>
      </c>
    </row>
    <row r="112" spans="1:25" x14ac:dyDescent="0.25">
      <c r="A112" s="20">
        <v>11.9</v>
      </c>
      <c r="B112" s="41">
        <f t="shared" si="1"/>
        <v>37.384952577718536</v>
      </c>
      <c r="C112" s="15" cm="1">
        <f t="array" ref="C112">EVAL($AG$6,B112)</f>
        <v>175.52601632938701</v>
      </c>
      <c r="D112" s="15" cm="1">
        <f t="array" ref="D112">EVAL($AG$7,B112)</f>
        <v>2.9336739022763001</v>
      </c>
      <c r="F112" s="15" cm="1">
        <f t="array" ref="F112">EVAL($AG$9,B112)</f>
        <v>0.84014280811571196</v>
      </c>
      <c r="G112" s="15" cm="1">
        <f t="array" ref="G112">EVAL($AG$10,B112)</f>
        <v>0.84014280811571196</v>
      </c>
      <c r="H112" s="15" cm="1">
        <f t="array" ref="H112">EVAL($AG$11,B112)</f>
        <v>0.84014280811571196</v>
      </c>
      <c r="I112" s="15" cm="1">
        <f t="array" ref="I112">EVAL($AG$12,B112)</f>
        <v>0.85862581246929504</v>
      </c>
      <c r="J112" s="15" cm="1">
        <f t="array" ref="J112">EVAL($AG$13,B112)</f>
        <v>63.357070738423104</v>
      </c>
      <c r="K112" s="15" cm="1">
        <f t="array" ref="K112">EVAL($AG$14,B112)</f>
        <v>0.67865710266137214</v>
      </c>
      <c r="L112" s="15" cm="1">
        <f t="array" ref="L112">EVAL($AG$15,B112)</f>
        <v>40.592283085478613</v>
      </c>
      <c r="M112" s="15" cm="1">
        <f t="array" ref="M112">EVAL($AG$16,B112)</f>
        <v>0.57840444730131502</v>
      </c>
      <c r="N112" s="15" cm="1">
        <f t="array" ref="N112">EVAL($AG$17,B112)</f>
        <v>27.791538549222306</v>
      </c>
      <c r="O112" s="15" cm="1">
        <f t="array" ref="O112">EVAL($AG$18,B112)</f>
        <v>1.4497827635120192E-2</v>
      </c>
      <c r="P112" s="15" cm="1">
        <f t="array" ref="P112">EVAL($AG$19,B112)</f>
        <v>1.4497827635120192E-2</v>
      </c>
      <c r="Q112" s="15" cm="1">
        <f t="array" ref="Q112">EVAL($AH$6,B112)</f>
        <v>0.81295590417271324</v>
      </c>
      <c r="R112" s="15" cm="1">
        <f t="array" ref="R112">EVAL($AH$7,B112)</f>
        <v>0.81295590417271324</v>
      </c>
      <c r="T112" s="15" cm="1">
        <f t="array" ref="T112">EVAL($AH$9,B112)</f>
        <v>0.54761260835337489</v>
      </c>
      <c r="U112" s="15" cm="1">
        <f t="array" ref="U112">EVAL($AH$10,B112)</f>
        <v>0.54761260835337489</v>
      </c>
      <c r="V112" s="15" cm="1">
        <f t="array" ref="V112">EVAL($AH$11,B112)</f>
        <v>0.54761260835337489</v>
      </c>
      <c r="W112" s="15" cm="1">
        <f t="array" ref="W112">EVAL($AH$12,B112)</f>
        <v>9.0407451935532386</v>
      </c>
      <c r="X112" s="15" cm="1">
        <f t="array" ref="X112">EVAL($AH$13,B112)</f>
        <v>0.28628930416403336</v>
      </c>
      <c r="Y112" s="15" cm="1">
        <f t="array" ref="Y112">EVAL($AH$14,B112)</f>
        <v>0.28628930416403336</v>
      </c>
    </row>
    <row r="113" spans="1:25" x14ac:dyDescent="0.25">
      <c r="A113" s="20">
        <v>12</v>
      </c>
      <c r="B113" s="41">
        <f t="shared" si="1"/>
        <v>37.699111843077517</v>
      </c>
      <c r="C113" s="15" cm="1">
        <f t="array" ref="C113">EVAL($AG$6,B113)</f>
        <v>176.54466745577992</v>
      </c>
      <c r="D113" s="15" cm="1">
        <f t="array" ref="D113">EVAL($AG$7,B113)</f>
        <v>2.9405903325617193</v>
      </c>
      <c r="F113" s="15" cm="1">
        <f t="array" ref="F113">EVAL($AG$9,B113)</f>
        <v>0.84731698204037942</v>
      </c>
      <c r="G113" s="15" cm="1">
        <f t="array" ref="G113">EVAL($AG$10,B113)</f>
        <v>0.84731698204037942</v>
      </c>
      <c r="H113" s="15" cm="1">
        <f t="array" ref="H113">EVAL($AG$11,B113)</f>
        <v>0.84731698204037942</v>
      </c>
      <c r="I113" s="15" cm="1">
        <f t="array" ref="I113">EVAL($AG$12,B113)</f>
        <v>0.86543767094743196</v>
      </c>
      <c r="J113" s="15" cm="1">
        <f t="array" ref="J113">EVAL($AG$13,B113)</f>
        <v>63.755855321932614</v>
      </c>
      <c r="K113" s="15" cm="1">
        <f t="array" ref="K113">EVAL($AG$14,B113)</f>
        <v>0.6835713920628812</v>
      </c>
      <c r="L113" s="15" cm="1">
        <f t="array" ref="L113">EVAL($AG$15,B113)</f>
        <v>40.799304542187613</v>
      </c>
      <c r="M113" s="15" cm="1">
        <f t="array" ref="M113">EVAL($AG$16,B113)</f>
        <v>0.58087726893919867</v>
      </c>
      <c r="N113" s="15" cm="1">
        <f t="array" ref="N113">EVAL($AG$17,B113)</f>
        <v>27.886681208270769</v>
      </c>
      <c r="O113" s="15" cm="1">
        <f t="array" ref="O113">EVAL($AG$18,B113)</f>
        <v>1.4430891874886997E-2</v>
      </c>
      <c r="P113" s="15" cm="1">
        <f t="array" ref="P113">EVAL($AG$19,B113)</f>
        <v>1.4430891874886997E-2</v>
      </c>
      <c r="Q113" s="15" cm="1">
        <f t="array" ref="Q113">EVAL($AH$6,B113)</f>
        <v>0.81577245936058507</v>
      </c>
      <c r="R113" s="15" cm="1">
        <f t="array" ref="R113">EVAL($AH$7,B113)</f>
        <v>0.81577245936058507</v>
      </c>
      <c r="T113" s="15" cm="1">
        <f t="array" ref="T113">EVAL($AH$9,B113)</f>
        <v>0.54940548444576198</v>
      </c>
      <c r="U113" s="15" cm="1">
        <f t="array" ref="U113">EVAL($AH$10,B113)</f>
        <v>0.54940548444576198</v>
      </c>
      <c r="V113" s="15" cm="1">
        <f t="array" ref="V113">EVAL($AH$11,B113)</f>
        <v>0.54940548444576198</v>
      </c>
      <c r="W113" s="15" cm="1">
        <f t="array" ref="W113">EVAL($AH$12,B113)</f>
        <v>9.1532732777149555</v>
      </c>
      <c r="X113" s="15" cm="1">
        <f t="array" ref="X113">EVAL($AH$13,B113)</f>
        <v>0.28691383516593949</v>
      </c>
      <c r="Y113" s="15" cm="1">
        <f t="array" ref="Y113">EVAL($AH$14,B113)</f>
        <v>0.28691383516593949</v>
      </c>
    </row>
    <row r="114" spans="1:25" x14ac:dyDescent="0.25">
      <c r="A114" s="20">
        <v>12.1</v>
      </c>
      <c r="B114" s="41">
        <f t="shared" si="1"/>
        <v>38.013271108436498</v>
      </c>
      <c r="C114" s="15" cm="1">
        <f t="array" ref="C114">EVAL($AG$6,B114)</f>
        <v>177.56070312834908</v>
      </c>
      <c r="D114" s="15" cm="1">
        <f t="array" ref="D114">EVAL($AG$7,B114)</f>
        <v>2.9474654680742622</v>
      </c>
      <c r="F114" s="15" cm="1">
        <f t="array" ref="F114">EVAL($AG$9,B114)</f>
        <v>0.85449211857567375</v>
      </c>
      <c r="G114" s="15" cm="1">
        <f t="array" ref="G114">EVAL($AG$10,B114)</f>
        <v>0.85449211857567375</v>
      </c>
      <c r="H114" s="15" cm="1">
        <f t="array" ref="H114">EVAL($AG$11,B114)</f>
        <v>0.85449211857567375</v>
      </c>
      <c r="I114" s="15" cm="1">
        <f t="array" ref="I114">EVAL($AG$12,B114)</f>
        <v>0.87224636828402347</v>
      </c>
      <c r="J114" s="15" cm="1">
        <f t="array" ref="J114">EVAL($AG$13,B114)</f>
        <v>64.153809294981414</v>
      </c>
      <c r="K114" s="15" cm="1">
        <f t="array" ref="K114">EVAL($AG$14,B114)</f>
        <v>0.6884800413912453</v>
      </c>
      <c r="L114" s="15" cm="1">
        <f t="array" ref="L114">EVAL($AG$15,B114)</f>
        <v>41.005650650888363</v>
      </c>
      <c r="M114" s="15" cm="1">
        <f t="array" ref="M114">EVAL($AG$16,B114)</f>
        <v>0.58334000955990917</v>
      </c>
      <c r="N114" s="15" cm="1">
        <f t="array" ref="N114">EVAL($AG$17,B114)</f>
        <v>27.981355961328468</v>
      </c>
      <c r="O114" s="15" cm="1">
        <f t="array" ref="O114">EVAL($AG$18,B114)</f>
        <v>1.4364816811211115E-2</v>
      </c>
      <c r="P114" s="15" cm="1">
        <f t="array" ref="P114">EVAL($AG$19,B114)</f>
        <v>1.4364816811211115E-2</v>
      </c>
      <c r="Q114" s="15" cm="1">
        <f t="array" ref="Q114">EVAL($AH$6,B114)</f>
        <v>0.81857527734418256</v>
      </c>
      <c r="R114" s="15" cm="1">
        <f t="array" ref="R114">EVAL($AH$7,B114)</f>
        <v>0.81857527734418256</v>
      </c>
      <c r="T114" s="15" cm="1">
        <f t="array" ref="T114">EVAL($AH$9,B114)</f>
        <v>0.55118927865850564</v>
      </c>
      <c r="U114" s="15" cm="1">
        <f t="array" ref="U114">EVAL($AH$10,B114)</f>
        <v>0.55118927865850564</v>
      </c>
      <c r="V114" s="15" cm="1">
        <f t="array" ref="V114">EVAL($AH$11,B114)</f>
        <v>0.55118927865850564</v>
      </c>
      <c r="W114" s="15" cm="1">
        <f t="array" ref="W114">EVAL($AH$12,B114)</f>
        <v>9.2662506849307285</v>
      </c>
      <c r="X114" s="15" cm="1">
        <f t="array" ref="X114">EVAL($AH$13,B114)</f>
        <v>0.28753452875204777</v>
      </c>
      <c r="Y114" s="15" cm="1">
        <f t="array" ref="Y114">EVAL($AH$14,B114)</f>
        <v>0.28753452875204777</v>
      </c>
    </row>
    <row r="115" spans="1:25" x14ac:dyDescent="0.25">
      <c r="A115" s="20">
        <v>12.2</v>
      </c>
      <c r="B115" s="41">
        <f t="shared" si="1"/>
        <v>38.327430373795472</v>
      </c>
      <c r="C115" s="15" cm="1">
        <f t="array" ref="C115">EVAL($AG$6,B115)</f>
        <v>178.57415159536154</v>
      </c>
      <c r="D115" s="15" cm="1">
        <f t="array" ref="D115">EVAL($AG$7,B115)</f>
        <v>2.9542998936113496</v>
      </c>
      <c r="F115" s="15" cm="1">
        <f t="array" ref="F115">EVAL($AG$9,B115)</f>
        <v>0.86166820989351933</v>
      </c>
      <c r="G115" s="15" cm="1">
        <f t="array" ref="G115">EVAL($AG$10,B115)</f>
        <v>0.86166820989351933</v>
      </c>
      <c r="H115" s="15" cm="1">
        <f t="array" ref="H115">EVAL($AG$11,B115)</f>
        <v>0.86166820989351933</v>
      </c>
      <c r="I115" s="15" cm="1">
        <f t="array" ref="I115">EVAL($AG$12,B115)</f>
        <v>0.87905193205366006</v>
      </c>
      <c r="J115" s="15" cm="1">
        <f t="array" ref="J115">EVAL($AG$13,B115)</f>
        <v>64.550941230958102</v>
      </c>
      <c r="K115" s="15" cm="1">
        <f t="array" ref="K115">EVAL($AG$14,B115)</f>
        <v>0.69338310365281974</v>
      </c>
      <c r="L115" s="15" cm="1">
        <f t="array" ref="L115">EVAL($AG$15,B115)</f>
        <v>41.211329169033384</v>
      </c>
      <c r="M115" s="15" cm="1">
        <f t="array" ref="M115">EVAL($AG$16,B115)</f>
        <v>0.58579279306992982</v>
      </c>
      <c r="N115" s="15" cm="1">
        <f t="array" ref="N115">EVAL($AG$17,B115)</f>
        <v>28.075568948217835</v>
      </c>
      <c r="O115" s="15" cm="1">
        <f t="array" ref="O115">EVAL($AG$18,B115)</f>
        <v>1.4299584399739725E-2</v>
      </c>
      <c r="P115" s="15" cm="1">
        <f t="array" ref="P115">EVAL($AG$19,B115)</f>
        <v>1.4299584399739725E-2</v>
      </c>
      <c r="Q115" s="15" cm="1">
        <f t="array" ref="Q115">EVAL($AH$6,B115)</f>
        <v>0.82136453783060726</v>
      </c>
      <c r="R115" s="15" cm="1">
        <f t="array" ref="R115">EVAL($AH$7,B115)</f>
        <v>0.82136453783060726</v>
      </c>
      <c r="T115" s="15" cm="1">
        <f t="array" ref="T115">EVAL($AH$9,B115)</f>
        <v>0.55296411148718017</v>
      </c>
      <c r="U115" s="15" cm="1">
        <f t="array" ref="U115">EVAL($AH$10,B115)</f>
        <v>0.55296411148718017</v>
      </c>
      <c r="V115" s="15" cm="1">
        <f t="array" ref="V115">EVAL($AH$11,B115)</f>
        <v>0.55296411148718017</v>
      </c>
      <c r="W115" s="15" cm="1">
        <f t="array" ref="W115">EVAL($AH$12,B115)</f>
        <v>9.3796754736629282</v>
      </c>
      <c r="X115" s="15" cm="1">
        <f t="array" ref="X115">EVAL($AH$13,B115)</f>
        <v>0.28815143992533154</v>
      </c>
      <c r="Y115" s="15" cm="1">
        <f t="array" ref="Y115">EVAL($AH$14,B115)</f>
        <v>0.28815143992533154</v>
      </c>
    </row>
    <row r="116" spans="1:25" x14ac:dyDescent="0.25">
      <c r="A116" s="20">
        <v>12.3</v>
      </c>
      <c r="B116" s="41">
        <f t="shared" si="1"/>
        <v>38.641589639154461</v>
      </c>
      <c r="C116" s="15" cm="1">
        <f t="array" ref="C116">EVAL($AG$6,B116)</f>
        <v>179.58504057122525</v>
      </c>
      <c r="D116" s="15" cm="1">
        <f t="array" ref="D116">EVAL($AG$7,B116)</f>
        <v>2.9610941809769225</v>
      </c>
      <c r="F116" s="15" cm="1">
        <f t="array" ref="F116">EVAL($AG$9,B116)</f>
        <v>0.86884524829314702</v>
      </c>
      <c r="G116" s="15" cm="1">
        <f t="array" ref="G116">EVAL($AG$10,B116)</f>
        <v>0.86884524829314702</v>
      </c>
      <c r="H116" s="15" cm="1">
        <f t="array" ref="H116">EVAL($AG$11,B116)</f>
        <v>0.86884524829314702</v>
      </c>
      <c r="I116" s="15" cm="1">
        <f t="array" ref="I116">EVAL($AG$12,B116)</f>
        <v>0.88585438936638983</v>
      </c>
      <c r="J116" s="15" cm="1">
        <f t="array" ref="J116">EVAL($AG$13,B116)</f>
        <v>64.947259545278214</v>
      </c>
      <c r="K116" s="15" cm="1">
        <f t="array" ref="K116">EVAL($AG$14,B116)</f>
        <v>0.69828063092562609</v>
      </c>
      <c r="L116" s="15" cm="1">
        <f t="array" ref="L116">EVAL($AG$15,B116)</f>
        <v>41.416347702211141</v>
      </c>
      <c r="M116" s="15" cm="1">
        <f t="array" ref="M116">EVAL($AG$16,B116)</f>
        <v>0.58823574085162555</v>
      </c>
      <c r="N116" s="15" cm="1">
        <f t="array" ref="N116">EVAL($AG$17,B116)</f>
        <v>28.169326178647133</v>
      </c>
      <c r="O116" s="15" cm="1">
        <f t="array" ref="O116">EVAL($AG$18,B116)</f>
        <v>1.4235177118307227E-2</v>
      </c>
      <c r="P116" s="15" cm="1">
        <f t="array" ref="P116">EVAL($AG$19,B116)</f>
        <v>1.4235177118307227E-2</v>
      </c>
      <c r="Q116" s="15" cm="1">
        <f t="array" ref="Q116">EVAL($AH$6,B116)</f>
        <v>0.82414041672575977</v>
      </c>
      <c r="R116" s="15" cm="1">
        <f t="array" ref="R116">EVAL($AH$7,B116)</f>
        <v>0.82414041672575977</v>
      </c>
      <c r="T116" s="15" cm="1">
        <f t="array" ref="T116">EVAL($AH$9,B116)</f>
        <v>0.55473010085648544</v>
      </c>
      <c r="U116" s="15" cm="1">
        <f t="array" ref="U116">EVAL($AH$10,B116)</f>
        <v>0.55473010085648544</v>
      </c>
      <c r="V116" s="15" cm="1">
        <f t="array" ref="V116">EVAL($AH$11,B116)</f>
        <v>0.55473010085648544</v>
      </c>
      <c r="W116" s="15" cm="1">
        <f t="array" ref="W116">EVAL($AH$12,B116)</f>
        <v>9.4935457266405994</v>
      </c>
      <c r="X116" s="15" cm="1">
        <f t="array" ref="X116">EVAL($AH$13,B116)</f>
        <v>0.28876462245733164</v>
      </c>
      <c r="Y116" s="15" cm="1">
        <f t="array" ref="Y116">EVAL($AH$14,B116)</f>
        <v>0.28876462245733164</v>
      </c>
    </row>
    <row r="117" spans="1:25" x14ac:dyDescent="0.25">
      <c r="A117" s="20">
        <v>12.4</v>
      </c>
      <c r="B117" s="41">
        <f t="shared" si="1"/>
        <v>38.955748904513435</v>
      </c>
      <c r="C117" s="15" cm="1">
        <f t="array" ref="C117">EVAL($AG$6,B117)</f>
        <v>180.59339725083069</v>
      </c>
      <c r="D117" s="15" cm="1">
        <f t="array" ref="D117">EVAL($AG$7,B117)</f>
        <v>2.967848889373137</v>
      </c>
      <c r="F117" s="15" cm="1">
        <f t="array" ref="F117">EVAL($AG$9,B117)</f>
        <v>0.87602322619800699</v>
      </c>
      <c r="G117" s="15" cm="1">
        <f t="array" ref="G117">EVAL($AG$10,B117)</f>
        <v>0.87602322619800699</v>
      </c>
      <c r="H117" s="15" cm="1">
        <f t="array" ref="H117">EVAL($AG$11,B117)</f>
        <v>0.87602322619800699</v>
      </c>
      <c r="I117" s="15" cm="1">
        <f t="array" ref="I117">EVAL($AG$12,B117)</f>
        <v>0.89265376687925602</v>
      </c>
      <c r="J117" s="15" cm="1">
        <f t="array" ref="J117">EVAL($AG$13,B117)</f>
        <v>65.342772499554641</v>
      </c>
      <c r="K117" s="15" cm="1">
        <f t="array" ref="K117">EVAL($AG$14,B117)</f>
        <v>0.70317267438302034</v>
      </c>
      <c r="L117" s="15" cm="1">
        <f t="array" ref="L117">EVAL($AG$15,B117)</f>
        <v>41.620713708327806</v>
      </c>
      <c r="M117" s="15" cm="1">
        <f t="array" ref="M117">EVAL($AG$16,B117)</f>
        <v>0.59066897183472644</v>
      </c>
      <c r="N117" s="15" cm="1">
        <f t="array" ref="N117">EVAL($AG$17,B117)</f>
        <v>28.262633536000749</v>
      </c>
      <c r="O117" s="15" cm="1">
        <f t="array" ref="O117">EVAL($AG$18,B117)</f>
        <v>1.4171577947726817E-2</v>
      </c>
      <c r="P117" s="15" cm="1">
        <f t="array" ref="P117">EVAL($AG$19,B117)</f>
        <v>1.4171577947726817E-2</v>
      </c>
      <c r="Q117" s="15" cm="1">
        <f t="array" ref="Q117">EVAL($AH$6,B117)</f>
        <v>0.82690308624492193</v>
      </c>
      <c r="R117" s="15" cm="1">
        <f t="array" ref="R117">EVAL($AH$7,B117)</f>
        <v>0.82690308624492193</v>
      </c>
      <c r="T117" s="15" cm="1">
        <f t="array" ref="T117">EVAL($AH$9,B117)</f>
        <v>0.55648736219550365</v>
      </c>
      <c r="U117" s="15" cm="1">
        <f t="array" ref="U117">EVAL($AH$10,B117)</f>
        <v>0.55648736219550365</v>
      </c>
      <c r="V117" s="15" cm="1">
        <f t="array" ref="V117">EVAL($AH$11,B117)</f>
        <v>0.55648736219550365</v>
      </c>
      <c r="W117" s="15" cm="1">
        <f t="array" ref="W117">EVAL($AH$12,B117)</f>
        <v>9.6078595503609581</v>
      </c>
      <c r="X117" s="15" cm="1">
        <f t="array" ref="X117">EVAL($AH$13,B117)</f>
        <v>0.28937412892548492</v>
      </c>
      <c r="Y117" s="15" cm="1">
        <f t="array" ref="Y117">EVAL($AH$14,B117)</f>
        <v>0.28937412892548492</v>
      </c>
    </row>
    <row r="118" spans="1:25" x14ac:dyDescent="0.25">
      <c r="A118" s="20">
        <v>12.5</v>
      </c>
      <c r="B118" s="41">
        <f t="shared" si="1"/>
        <v>39.269908169872416</v>
      </c>
      <c r="C118" s="15" cm="1">
        <f t="array" ref="C118">EVAL($AG$6,B118)</f>
        <v>181.59924832339775</v>
      </c>
      <c r="D118" s="15" cm="1">
        <f t="array" ref="D118">EVAL($AG$7,B118)</f>
        <v>2.974564565777206</v>
      </c>
      <c r="F118" s="15" cm="1">
        <f t="array" ref="F118">EVAL($AG$9,B118)</f>
        <v>0.88320213615278775</v>
      </c>
      <c r="G118" s="15" cm="1">
        <f t="array" ref="G118">EVAL($AG$10,B118)</f>
        <v>0.88320213615278775</v>
      </c>
      <c r="H118" s="15" cm="1">
        <f t="array" ref="H118">EVAL($AG$11,B118)</f>
        <v>0.88320213615278775</v>
      </c>
      <c r="I118" s="15" cm="1">
        <f t="array" ref="I118">EVAL($AG$12,B118)</f>
        <v>0.89945009080746807</v>
      </c>
      <c r="J118" s="15" cm="1">
        <f t="array" ref="J118">EVAL($AG$13,B118)</f>
        <v>65.737488205625453</v>
      </c>
      <c r="K118" s="15" cm="1">
        <f t="array" ref="K118">EVAL($AG$14,B118)</f>
        <v>0.7080592843165795</v>
      </c>
      <c r="L118" s="15" cm="1">
        <f t="array" ref="L118">EVAL($AG$15,B118)</f>
        <v>41.824434501641178</v>
      </c>
      <c r="M118" s="15" cm="1">
        <f t="array" ref="M118">EVAL($AG$16,B118)</f>
        <v>0.59309260256523011</v>
      </c>
      <c r="N118" s="15" cm="1">
        <f t="array" ref="N118">EVAL($AG$17,B118)</f>
        <v>28.355496780989714</v>
      </c>
      <c r="O118" s="15" cm="1">
        <f t="array" ref="O118">EVAL($AG$18,B118)</f>
        <v>1.4108770353436851E-2</v>
      </c>
      <c r="P118" s="15" cm="1">
        <f t="array" ref="P118">EVAL($AG$19,B118)</f>
        <v>1.4108770353436851E-2</v>
      </c>
      <c r="Q118" s="15" cm="1">
        <f t="array" ref="Q118">EVAL($AH$6,B118)</f>
        <v>0.82965271501926441</v>
      </c>
      <c r="R118" s="15" cm="1">
        <f t="array" ref="R118">EVAL($AH$7,B118)</f>
        <v>0.82965271501926441</v>
      </c>
      <c r="T118" s="15" cm="1">
        <f t="array" ref="T118">EVAL($AH$9,B118)</f>
        <v>0.55823600851016963</v>
      </c>
      <c r="U118" s="15" cm="1">
        <f t="array" ref="U118">EVAL($AH$10,B118)</f>
        <v>0.55823600851016963</v>
      </c>
      <c r="V118" s="15" cm="1">
        <f t="array" ref="V118">EVAL($AH$11,B118)</f>
        <v>0.55823600851016963</v>
      </c>
      <c r="W118" s="15" cm="1">
        <f t="array" ref="W118">EVAL($AH$12,B118)</f>
        <v>9.7226150746052102</v>
      </c>
      <c r="X118" s="15" cm="1">
        <f t="array" ref="X118">EVAL($AH$13,B118)</f>
        <v>0.28998001074903079</v>
      </c>
      <c r="Y118" s="15" cm="1">
        <f t="array" ref="Y118">EVAL($AH$14,B118)</f>
        <v>0.28998001074903079</v>
      </c>
    </row>
    <row r="119" spans="1:25" x14ac:dyDescent="0.25">
      <c r="A119" s="20">
        <v>12.6</v>
      </c>
      <c r="B119" s="41">
        <f t="shared" si="1"/>
        <v>39.58406743523139</v>
      </c>
      <c r="C119" s="15" cm="1">
        <f t="array" ref="C119">EVAL($AG$6,B119)</f>
        <v>182.60261998584133</v>
      </c>
      <c r="D119" s="15" cm="1">
        <f t="array" ref="D119">EVAL($AG$7,B119)</f>
        <v>2.9812417453040267</v>
      </c>
      <c r="F119" s="15" cm="1">
        <f t="array" ref="F119">EVAL($AG$9,B119)</f>
        <v>0.89038197082050496</v>
      </c>
      <c r="G119" s="15" cm="1">
        <f t="array" ref="G119">EVAL($AG$10,B119)</f>
        <v>0.89038197082050496</v>
      </c>
      <c r="H119" s="15" cm="1">
        <f t="array" ref="H119">EVAL($AG$11,B119)</f>
        <v>0.89038197082050496</v>
      </c>
      <c r="I119" s="15" cm="1">
        <f t="array" ref="I119">EVAL($AG$12,B119)</f>
        <v>0.90624338693518547</v>
      </c>
      <c r="J119" s="15" cm="1">
        <f t="array" ref="J119">EVAL($AG$13,B119)</f>
        <v>66.131414629443825</v>
      </c>
      <c r="K119" s="15" cm="1">
        <f t="array" ref="K119">EVAL($AG$14,B119)</f>
        <v>0.71294051015821647</v>
      </c>
      <c r="L119" s="15" cm="1">
        <f t="array" ref="L119">EVAL($AG$15,B119)</f>
        <v>42.027517256652366</v>
      </c>
      <c r="M119" s="15" cm="1">
        <f t="array" ref="M119">EVAL($AG$16,B119)</f>
        <v>0.5955067472718274</v>
      </c>
      <c r="N119" s="15" cm="1">
        <f t="array" ref="N119">EVAL($AG$17,B119)</f>
        <v>28.447921555167998</v>
      </c>
      <c r="O119" s="15" cm="1">
        <f t="array" ref="O119">EVAL($AG$18,B119)</f>
        <v>1.4046738267957725E-2</v>
      </c>
      <c r="P119" s="15" cm="1">
        <f t="array" ref="P119">EVAL($AG$19,B119)</f>
        <v>1.4046738267957725E-2</v>
      </c>
      <c r="Q119" s="15" cm="1">
        <f t="array" ref="Q119">EVAL($AH$6,B119)</f>
        <v>0.83238946819844473</v>
      </c>
      <c r="R119" s="15" cm="1">
        <f t="array" ref="R119">EVAL($AH$7,B119)</f>
        <v>0.83238946819844473</v>
      </c>
      <c r="T119" s="15" cm="1">
        <f t="array" ref="T119">EVAL($AH$9,B119)</f>
        <v>0.55997615045306748</v>
      </c>
      <c r="U119" s="15" cm="1">
        <f t="array" ref="U119">EVAL($AH$10,B119)</f>
        <v>0.55997615045306748</v>
      </c>
      <c r="V119" s="15" cm="1">
        <f t="array" ref="V119">EVAL($AH$11,B119)</f>
        <v>0.55997615045306748</v>
      </c>
      <c r="W119" s="15" cm="1">
        <f t="array" ref="W119">EVAL($AH$12,B119)</f>
        <v>9.837810451967604</v>
      </c>
      <c r="X119" s="15" cm="1">
        <f t="array" ref="X119">EVAL($AH$13,B119)</f>
        <v>0.29058231822355873</v>
      </c>
      <c r="Y119" s="15" cm="1">
        <f t="array" ref="Y119">EVAL($AH$14,B119)</f>
        <v>0.29058231822355873</v>
      </c>
    </row>
    <row r="120" spans="1:25" x14ac:dyDescent="0.25">
      <c r="A120" s="20">
        <v>12.7</v>
      </c>
      <c r="B120" s="41">
        <f t="shared" si="1"/>
        <v>39.898226700590371</v>
      </c>
      <c r="C120" s="15" cm="1">
        <f t="array" ref="C120">EVAL($AG$6,B120)</f>
        <v>183.60353795568454</v>
      </c>
      <c r="D120" s="15" cm="1">
        <f t="array" ref="D120">EVAL($AG$7,B120)</f>
        <v>2.9878809515553026</v>
      </c>
      <c r="F120" s="15" cm="1">
        <f t="array" ref="F120">EVAL($AG$9,B120)</f>
        <v>0.89756272297971162</v>
      </c>
      <c r="G120" s="15" cm="1">
        <f t="array" ref="G120">EVAL($AG$10,B120)</f>
        <v>0.89756272297971162</v>
      </c>
      <c r="H120" s="15" cm="1">
        <f t="array" ref="H120">EVAL($AG$11,B120)</f>
        <v>0.89756272297971162</v>
      </c>
      <c r="I120" s="15" cm="1">
        <f t="array" ref="I120">EVAL($AG$12,B120)</f>
        <v>0.91303368062597889</v>
      </c>
      <c r="J120" s="15" cm="1">
        <f t="array" ref="J120">EVAL($AG$13,B120)</f>
        <v>66.524559594838067</v>
      </c>
      <c r="K120" s="15" cm="1">
        <f t="array" ref="K120">EVAL($AG$14,B120)</f>
        <v>0.71781640050158324</v>
      </c>
      <c r="L120" s="15" cm="1">
        <f t="array" ref="L120">EVAL($AG$15,B120)</f>
        <v>42.229969011862984</v>
      </c>
      <c r="M120" s="15" cm="1">
        <f t="array" ref="M120">EVAL($AG$16,B120)</f>
        <v>0.59791151792997221</v>
      </c>
      <c r="N120" s="15" cm="1">
        <f t="array" ref="N120">EVAL($AG$17,B120)</f>
        <v>28.539913384321384</v>
      </c>
      <c r="O120" s="15" cm="1">
        <f t="array" ref="O120">EVAL($AG$18,B120)</f>
        <v>1.3985466074116984E-2</v>
      </c>
      <c r="P120" s="15" cm="1">
        <f t="array" ref="P120">EVAL($AG$19,B120)</f>
        <v>1.3985466074116984E-2</v>
      </c>
      <c r="Q120" s="15" cm="1">
        <f t="array" ref="Q120">EVAL($AH$6,B120)</f>
        <v>0.83511350754948821</v>
      </c>
      <c r="R120" s="15" cm="1">
        <f t="array" ref="R120">EVAL($AH$7,B120)</f>
        <v>0.83511350754948821</v>
      </c>
      <c r="T120" s="15" cm="1">
        <f t="array" ref="T120">EVAL($AH$9,B120)</f>
        <v>0.56170789639068752</v>
      </c>
      <c r="U120" s="15" cm="1">
        <f t="array" ref="U120">EVAL($AH$10,B120)</f>
        <v>0.56170789639068752</v>
      </c>
      <c r="V120" s="15" cm="1">
        <f t="array" ref="V120">EVAL($AH$11,B120)</f>
        <v>0.56170789639068752</v>
      </c>
      <c r="W120" s="15" cm="1">
        <f t="array" ref="W120">EVAL($AH$12,B120)</f>
        <v>9.9534438573981774</v>
      </c>
      <c r="X120" s="15" cm="1">
        <f t="array" ref="X120">EVAL($AH$13,B120)</f>
        <v>0.29118110055426144</v>
      </c>
      <c r="Y120" s="15" cm="1">
        <f t="array" ref="Y120">EVAL($AH$14,B120)</f>
        <v>0.29118110055426144</v>
      </c>
    </row>
    <row r="121" spans="1:25" x14ac:dyDescent="0.25">
      <c r="A121" s="20">
        <v>12.8</v>
      </c>
      <c r="B121" s="41">
        <f t="shared" si="1"/>
        <v>40.212385965949352</v>
      </c>
      <c r="C121" s="15" cm="1">
        <f t="array" ref="C121">EVAL($AG$6,B121)</f>
        <v>184.60202748353211</v>
      </c>
      <c r="D121" s="15" cm="1">
        <f t="array" ref="D121">EVAL($AG$7,B121)</f>
        <v>2.9944826969557021</v>
      </c>
      <c r="F121" s="15" cm="1">
        <f t="array" ref="F121">EVAL($AG$9,B121)</f>
        <v>0.90474438552177894</v>
      </c>
      <c r="G121" s="15" cm="1">
        <f t="array" ref="G121">EVAL($AG$10,B121)</f>
        <v>0.90474438552177894</v>
      </c>
      <c r="H121" s="15" cm="1">
        <f t="array" ref="H121">EVAL($AG$11,B121)</f>
        <v>0.90474438552177894</v>
      </c>
      <c r="I121" s="15" cm="1">
        <f t="array" ref="I121">EVAL($AG$12,B121)</f>
        <v>0.91982099683294549</v>
      </c>
      <c r="J121" s="15" cm="1">
        <f t="array" ref="J121">EVAL($AG$13,B121)</f>
        <v>66.91693078714529</v>
      </c>
      <c r="K121" s="15" cm="1">
        <f t="array" ref="K121">EVAL($AG$14,B121)</f>
        <v>0.7226870031227699</v>
      </c>
      <c r="L121" s="15" cm="1">
        <f t="array" ref="L121">EVAL($AG$15,B121)</f>
        <v>42.431796673401934</v>
      </c>
      <c r="M121" s="15" cm="1">
        <f t="array" ref="M121">EVAL($AG$16,B121)</f>
        <v>0.60030702432368677</v>
      </c>
      <c r="N121" s="15" cm="1">
        <f t="array" ref="N121">EVAL($AG$17,B121)</f>
        <v>28.63147768173387</v>
      </c>
      <c r="O121" s="15" cm="1">
        <f t="array" ref="O121">EVAL($AG$18,B121)</f>
        <v>1.392493858900354E-2</v>
      </c>
      <c r="P121" s="15" cm="1">
        <f t="array" ref="P121">EVAL($AG$19,B121)</f>
        <v>1.392493858900354E-2</v>
      </c>
      <c r="Q121" s="15" cm="1">
        <f t="array" ref="Q121">EVAL($AH$6,B121)</f>
        <v>0.83782499155210155</v>
      </c>
      <c r="R121" s="15" cm="1">
        <f t="array" ref="R121">EVAL($AH$7,B121)</f>
        <v>0.83782499155210155</v>
      </c>
      <c r="T121" s="15" cm="1">
        <f t="array" ref="T121">EVAL($AH$9,B121)</f>
        <v>0.56343135246824372</v>
      </c>
      <c r="U121" s="15" cm="1">
        <f t="array" ref="U121">EVAL($AH$10,B121)</f>
        <v>0.56343135246824372</v>
      </c>
      <c r="V121" s="15" cm="1">
        <f t="array" ref="V121">EVAL($AH$11,B121)</f>
        <v>0.56343135246824372</v>
      </c>
      <c r="W121" s="15" cm="1">
        <f t="array" ref="W121">EVAL($AH$12,B121)</f>
        <v>10.069513487757892</v>
      </c>
      <c r="X121" s="15" cm="1">
        <f t="array" ref="X121">EVAL($AH$13,B121)</f>
        <v>0.29177640588795029</v>
      </c>
      <c r="Y121" s="15" cm="1">
        <f t="array" ref="Y121">EVAL($AH$14,B121)</f>
        <v>0.29177640588795029</v>
      </c>
    </row>
    <row r="122" spans="1:25" x14ac:dyDescent="0.25">
      <c r="A122" s="20">
        <v>12.9</v>
      </c>
      <c r="B122" s="41">
        <f t="shared" si="1"/>
        <v>40.526545231308333</v>
      </c>
      <c r="C122" s="15" cm="1">
        <f t="array" ref="C122">EVAL($AG$6,B122)</f>
        <v>185.59811336512513</v>
      </c>
      <c r="D122" s="15" cm="1">
        <f t="array" ref="D122">EVAL($AG$7,B122)</f>
        <v>3.0010474830766749</v>
      </c>
      <c r="F122" s="15" cm="1">
        <f t="array" ref="F122">EVAL($AG$9,B122)</f>
        <v>0.9119269514482643</v>
      </c>
      <c r="G122" s="15" cm="1">
        <f t="array" ref="G122">EVAL($AG$10,B122)</f>
        <v>0.9119269514482643</v>
      </c>
      <c r="H122" s="15" cm="1">
        <f t="array" ref="H122">EVAL($AG$11,B122)</f>
        <v>0.9119269514482643</v>
      </c>
      <c r="I122" s="15" cm="1">
        <f t="array" ref="I122">EVAL($AG$12,B122)</f>
        <v>0.92660536010850625</v>
      </c>
      <c r="J122" s="15" cm="1">
        <f t="array" ref="J122">EVAL($AG$13,B122)</f>
        <v>67.308535756724794</v>
      </c>
      <c r="K122" s="15" cm="1">
        <f t="array" ref="K122">EVAL($AG$14,B122)</f>
        <v>0.72755236500033504</v>
      </c>
      <c r="L122" s="15" cm="1">
        <f t="array" ref="L122">EVAL($AG$15,B122)</f>
        <v>42.633007018528225</v>
      </c>
      <c r="M122" s="15" cm="1">
        <f t="array" ref="M122">EVAL($AG$16,B122)</f>
        <v>0.60269337410520385</v>
      </c>
      <c r="N122" s="15" cm="1">
        <f t="array" ref="N122">EVAL($AG$17,B122)</f>
        <v>28.722619751337231</v>
      </c>
      <c r="O122" s="15" cm="1">
        <f t="array" ref="O122">EVAL($AG$18,B122)</f>
        <v>1.3865141048613834E-2</v>
      </c>
      <c r="P122" s="15" cm="1">
        <f t="array" ref="P122">EVAL($AG$19,B122)</f>
        <v>1.3865141048613834E-2</v>
      </c>
      <c r="Q122" s="15" cm="1">
        <f t="array" ref="Q122">EVAL($AH$6,B122)</f>
        <v>0.84052407549057884</v>
      </c>
      <c r="R122" s="15" cm="1">
        <f t="array" ref="R122">EVAL($AH$7,B122)</f>
        <v>0.84052407549057884</v>
      </c>
      <c r="T122" s="15" cm="1">
        <f t="array" ref="T122">EVAL($AH$9,B122)</f>
        <v>0.56514662267216331</v>
      </c>
      <c r="U122" s="15" cm="1">
        <f t="array" ref="U122">EVAL($AH$10,B122)</f>
        <v>0.56514662267216331</v>
      </c>
      <c r="V122" s="15" cm="1">
        <f t="array" ref="V122">EVAL($AH$11,B122)</f>
        <v>0.56514662267216331</v>
      </c>
      <c r="W122" s="15" cm="1">
        <f t="array" ref="W122">EVAL($AH$12,B122)</f>
        <v>10.186017561386127</v>
      </c>
      <c r="X122" s="15" cm="1">
        <f t="array" ref="X122">EVAL($AH$13,B122)</f>
        <v>0.29236828134388787</v>
      </c>
      <c r="Y122" s="15" cm="1">
        <f t="array" ref="Y122">EVAL($AH$14,B122)</f>
        <v>0.29236828134388787</v>
      </c>
    </row>
    <row r="123" spans="1:25" x14ac:dyDescent="0.25">
      <c r="A123" s="20">
        <v>13</v>
      </c>
      <c r="B123" s="41">
        <f t="shared" si="1"/>
        <v>40.840704496667314</v>
      </c>
      <c r="C123" s="15" cm="1">
        <f t="array" ref="C123">EVAL($AG$6,B123)</f>
        <v>186.59181995299474</v>
      </c>
      <c r="D123" s="15" cm="1">
        <f t="array" ref="D123">EVAL($AG$7,B123)</f>
        <v>3.0075758009484579</v>
      </c>
      <c r="F123" s="15" cm="1">
        <f t="array" ref="F123">EVAL($AG$9,B123)</f>
        <v>0.91911041386837311</v>
      </c>
      <c r="G123" s="15" cm="1">
        <f t="array" ref="G123">EVAL($AG$10,B123)</f>
        <v>0.91911041386837311</v>
      </c>
      <c r="H123" s="15" cm="1">
        <f t="array" ref="H123">EVAL($AG$11,B123)</f>
        <v>0.91911041386837311</v>
      </c>
      <c r="I123" s="15" cm="1">
        <f t="array" ref="I123">EVAL($AG$12,B123)</f>
        <v>0.93338679461390128</v>
      </c>
      <c r="J123" s="15" cm="1">
        <f t="array" ref="J123">EVAL($AG$13,B123)</f>
        <v>67.69938192235594</v>
      </c>
      <c r="K123" s="15" cm="1">
        <f t="array" ref="K123">EVAL($AG$14,B123)</f>
        <v>0.73241253233470216</v>
      </c>
      <c r="L123" s="15" cm="1">
        <f t="array" ref="L123">EVAL($AG$15,B123)</f>
        <v>42.833606699014751</v>
      </c>
      <c r="M123" s="15" cm="1">
        <f t="array" ref="M123">EVAL($AG$16,B123)</f>
        <v>0.60507067285253846</v>
      </c>
      <c r="N123" s="15" cm="1">
        <f t="array" ref="N123">EVAL($AG$17,B123)</f>
        <v>28.813344790748797</v>
      </c>
      <c r="O123" s="15" cm="1">
        <f t="array" ref="O123">EVAL($AG$18,B123)</f>
        <v>1.3806059093154865E-2</v>
      </c>
      <c r="P123" s="15" cm="1">
        <f t="array" ref="P123">EVAL($AG$19,B123)</f>
        <v>1.3806059093154865E-2</v>
      </c>
      <c r="Q123" s="15" cm="1">
        <f t="array" ref="Q123">EVAL($AH$6,B123)</f>
        <v>0.84321091154245131</v>
      </c>
      <c r="R123" s="15" cm="1">
        <f t="array" ref="R123">EVAL($AH$7,B123)</f>
        <v>0.84321091154245131</v>
      </c>
      <c r="T123" s="15" cm="1">
        <f t="array" ref="T123">EVAL($AH$9,B123)</f>
        <v>0.56685380889035109</v>
      </c>
      <c r="U123" s="15" cm="1">
        <f t="array" ref="U123">EVAL($AH$10,B123)</f>
        <v>0.56685380889035109</v>
      </c>
      <c r="V123" s="15" cm="1">
        <f t="array" ref="V123">EVAL($AH$11,B123)</f>
        <v>0.56685380889035109</v>
      </c>
      <c r="W123" s="15" cm="1">
        <f t="array" ref="W123">EVAL($AH$12,B123)</f>
        <v>10.302954317680154</v>
      </c>
      <c r="X123" s="15" cm="1">
        <f t="array" ref="X123">EVAL($AH$13,B123)</f>
        <v>0.2929567730434926</v>
      </c>
      <c r="Y123" s="15" cm="1">
        <f t="array" ref="Y123">EVAL($AH$14,B123)</f>
        <v>0.2929567730434926</v>
      </c>
    </row>
    <row r="124" spans="1:25" x14ac:dyDescent="0.25">
      <c r="A124" s="20">
        <v>13.1</v>
      </c>
      <c r="B124" s="41">
        <f t="shared" si="1"/>
        <v>41.154863762026288</v>
      </c>
      <c r="C124" s="15" cm="1">
        <f t="array" ref="C124">EVAL($AG$6,B124)</f>
        <v>187.58317116772648</v>
      </c>
      <c r="D124" s="15" cm="1">
        <f t="array" ref="D124">EVAL($AG$7,B124)</f>
        <v>3.014068131360764</v>
      </c>
      <c r="F124" s="15" cm="1">
        <f t="array" ref="F124">EVAL($AG$9,B124)</f>
        <v>0.92629476599646898</v>
      </c>
      <c r="G124" s="15" cm="1">
        <f t="array" ref="G124">EVAL($AG$10,B124)</f>
        <v>0.92629476599646898</v>
      </c>
      <c r="H124" s="15" cm="1">
        <f t="array" ref="H124">EVAL($AG$11,B124)</f>
        <v>0.92629476599646898</v>
      </c>
      <c r="I124" s="15" cm="1">
        <f t="array" ref="I124">EVAL($AG$12,B124)</f>
        <v>0.94016532412837017</v>
      </c>
      <c r="J124" s="15" cm="1">
        <f t="array" ref="J124">EVAL($AG$13,B124)</f>
        <v>68.089476574524156</v>
      </c>
      <c r="K124" s="15" cm="1">
        <f t="array" ref="K124">EVAL($AG$14,B124)</f>
        <v>0.73726755056692106</v>
      </c>
      <c r="L124" s="15" cm="1">
        <f t="array" ref="L124">EVAL($AG$15,B124)</f>
        <v>43.033602244417509</v>
      </c>
      <c r="M124" s="15" cm="1">
        <f t="array" ref="M124">EVAL($AG$16,B124)</f>
        <v>0.60743902412506867</v>
      </c>
      <c r="N124" s="15" cm="1">
        <f t="array" ref="N124">EVAL($AG$17,B124)</f>
        <v>28.903657894201967</v>
      </c>
      <c r="O124" s="15" cm="1">
        <f t="array" ref="O124">EVAL($AG$18,B124)</f>
        <v>1.3747678752971523E-2</v>
      </c>
      <c r="P124" s="15" cm="1">
        <f t="array" ref="P124">EVAL($AG$19,B124)</f>
        <v>1.3747678752971523E-2</v>
      </c>
      <c r="Q124" s="15" cm="1">
        <f t="array" ref="Q124">EVAL($AH$6,B124)</f>
        <v>0.84588564886400686</v>
      </c>
      <c r="R124" s="15" cm="1">
        <f t="array" ref="R124">EVAL($AH$7,B124)</f>
        <v>0.84588564886400686</v>
      </c>
      <c r="T124" s="15" cm="1">
        <f t="array" ref="T124">EVAL($AH$9,B124)</f>
        <v>0.56855301097031596</v>
      </c>
      <c r="U124" s="15" cm="1">
        <f t="array" ref="U124">EVAL($AH$10,B124)</f>
        <v>0.56855301097031596</v>
      </c>
      <c r="V124" s="15" cm="1">
        <f t="array" ref="V124">EVAL($AH$11,B124)</f>
        <v>0.56855301097031596</v>
      </c>
      <c r="W124" s="15" cm="1">
        <f t="array" ref="W124">EVAL($AH$12,B124)</f>
        <v>10.420322016685605</v>
      </c>
      <c r="X124" s="15" cm="1">
        <f t="array" ref="X124">EVAL($AH$13,B124)</f>
        <v>0.29354192613896091</v>
      </c>
      <c r="Y124" s="15" cm="1">
        <f t="array" ref="Y124">EVAL($AH$14,B124)</f>
        <v>0.29354192613896091</v>
      </c>
    </row>
    <row r="125" spans="1:25" x14ac:dyDescent="0.25">
      <c r="A125" s="20">
        <v>13.2</v>
      </c>
      <c r="B125" s="41">
        <f t="shared" si="1"/>
        <v>41.469023027385269</v>
      </c>
      <c r="C125" s="15" cm="1">
        <f t="array" ref="C125">EVAL($AG$6,B125)</f>
        <v>188.57219050885911</v>
      </c>
      <c r="D125" s="15" cm="1">
        <f t="array" ref="D125">EVAL($AG$7,B125)</f>
        <v>3.0205249451526983</v>
      </c>
      <c r="F125" s="15" cm="1">
        <f t="array" ref="F125">EVAL($AG$9,B125)</f>
        <v>0.93348000114969376</v>
      </c>
      <c r="G125" s="15" cm="1">
        <f t="array" ref="G125">EVAL($AG$10,B125)</f>
        <v>0.93348000114969376</v>
      </c>
      <c r="H125" s="15" cm="1">
        <f t="array" ref="H125">EVAL($AG$11,B125)</f>
        <v>0.93348000114969376</v>
      </c>
      <c r="I125" s="15" cm="1">
        <f t="array" ref="I125">EVAL($AG$12,B125)</f>
        <v>0.94694097205807259</v>
      </c>
      <c r="J125" s="15" cm="1">
        <f t="array" ref="J125">EVAL($AG$13,B125)</f>
        <v>68.478826878601694</v>
      </c>
      <c r="K125" s="15" cm="1">
        <f t="array" ref="K125">EVAL($AG$14,B125)</f>
        <v>0.742117464396857</v>
      </c>
      <c r="L125" s="15" cm="1">
        <f t="array" ref="L125">EVAL($AG$15,B125)</f>
        <v>43.233000065235892</v>
      </c>
      <c r="M125" s="15" cm="1">
        <f t="array" ref="M125">EVAL($AG$16,B125)</f>
        <v>0.60979852951722302</v>
      </c>
      <c r="N125" s="15" cm="1">
        <f t="array" ref="N125">EVAL($AG$17,B125)</f>
        <v>28.99356405537446</v>
      </c>
      <c r="O125" s="15" cm="1">
        <f t="array" ref="O125">EVAL($AG$18,B125)</f>
        <v>1.3689986435066678E-2</v>
      </c>
      <c r="P125" s="15" cm="1">
        <f t="array" ref="P125">EVAL($AG$19,B125)</f>
        <v>1.3689986435066678E-2</v>
      </c>
      <c r="Q125" s="15" cm="1">
        <f t="array" ref="Q125">EVAL($AH$6,B125)</f>
        <v>0.84854843367283228</v>
      </c>
      <c r="R125" s="15" cm="1">
        <f t="array" ref="R125">EVAL($AH$7,B125)</f>
        <v>0.84854843367283228</v>
      </c>
      <c r="T125" s="15" cm="1">
        <f t="array" ref="T125">EVAL($AH$9,B125)</f>
        <v>0.57024432677526349</v>
      </c>
      <c r="U125" s="15" cm="1">
        <f t="array" ref="U125">EVAL($AH$10,B125)</f>
        <v>0.57024432677526349</v>
      </c>
      <c r="V125" s="15" cm="1">
        <f t="array" ref="V125">EVAL($AH$11,B125)</f>
        <v>0.57024432677526349</v>
      </c>
      <c r="W125" s="15" cm="1">
        <f t="array" ref="W125">EVAL($AH$12,B125)</f>
        <v>10.538118938698442</v>
      </c>
      <c r="X125" s="15" cm="1">
        <f t="array" ref="X125">EVAL($AH$13,B125)</f>
        <v>0.2941237848408591</v>
      </c>
      <c r="Y125" s="15" cm="1">
        <f t="array" ref="Y125">EVAL($AH$14,B125)</f>
        <v>0.2941237848408591</v>
      </c>
    </row>
    <row r="126" spans="1:25" x14ac:dyDescent="0.25">
      <c r="A126" s="20">
        <v>13.3</v>
      </c>
      <c r="B126" s="41">
        <f t="shared" si="1"/>
        <v>41.78318229274425</v>
      </c>
      <c r="C126" s="15" cm="1">
        <f t="array" ref="C126">EVAL($AG$6,B126)</f>
        <v>189.55890106542472</v>
      </c>
      <c r="D126" s="15" cm="1">
        <f t="array" ref="D126">EVAL($AG$7,B126)</f>
        <v>3.0269467034923245</v>
      </c>
      <c r="F126" s="15" cm="1">
        <f t="array" ref="F126">EVAL($AG$9,B126)</f>
        <v>0.94066611274563827</v>
      </c>
      <c r="G126" s="15" cm="1">
        <f t="array" ref="G126">EVAL($AG$10,B126)</f>
        <v>0.94066611274563827</v>
      </c>
      <c r="H126" s="15" cm="1">
        <f t="array" ref="H126">EVAL($AG$11,B126)</f>
        <v>0.94066611274563827</v>
      </c>
      <c r="I126" s="15" cm="1">
        <f t="array" ref="I126">EVAL($AG$12,B126)</f>
        <v>0.95371376144471876</v>
      </c>
      <c r="J126" s="15" cm="1">
        <f t="array" ref="J126">EVAL($AG$13,B126)</f>
        <v>68.867439877925236</v>
      </c>
      <c r="K126" s="15" cm="1">
        <f t="array" ref="K126">EVAL($AG$14,B126)</f>
        <v>0.74696231780079669</v>
      </c>
      <c r="L126" s="15" cm="1">
        <f t="array" ref="L126">EVAL($AG$15,B126)</f>
        <v>43.431806455967603</v>
      </c>
      <c r="M126" s="15" cm="1">
        <f t="array" ref="M126">EVAL($AG$16,B126)</f>
        <v>0.61214928871033891</v>
      </c>
      <c r="N126" s="15" cm="1">
        <f t="array" ref="N126">EVAL($AG$17,B126)</f>
        <v>29.083068170118281</v>
      </c>
      <c r="O126" s="15" cm="1">
        <f t="array" ref="O126">EVAL($AG$18,B126)</f>
        <v>1.3632968910185218E-2</v>
      </c>
      <c r="P126" s="15" cm="1">
        <f t="array" ref="P126">EVAL($AG$19,B126)</f>
        <v>1.3632968910185218E-2</v>
      </c>
      <c r="Q126" s="15" cm="1">
        <f t="array" ref="Q126">EVAL($AH$6,B126)</f>
        <v>0.85119940932748672</v>
      </c>
      <c r="R126" s="15" cm="1">
        <f t="array" ref="R126">EVAL($AH$7,B126)</f>
        <v>0.85119940932748672</v>
      </c>
      <c r="T126" s="15" cm="1">
        <f t="array" ref="T126">EVAL($AH$9,B126)</f>
        <v>0.57192785223823028</v>
      </c>
      <c r="U126" s="15" cm="1">
        <f t="array" ref="U126">EVAL($AH$10,B126)</f>
        <v>0.57192785223823028</v>
      </c>
      <c r="V126" s="15" cm="1">
        <f t="array" ref="V126">EVAL($AH$11,B126)</f>
        <v>0.57192785223823028</v>
      </c>
      <c r="W126" s="15" cm="1">
        <f t="array" ref="W126">EVAL($AH$12,B126)</f>
        <v>10.65634338387731</v>
      </c>
      <c r="X126" s="15" cm="1">
        <f t="array" ref="X126">EVAL($AH$13,B126)</f>
        <v>0.29470239244472579</v>
      </c>
      <c r="Y126" s="15" cm="1">
        <f t="array" ref="Y126">EVAL($AH$14,B126)</f>
        <v>0.29470239244472579</v>
      </c>
    </row>
    <row r="127" spans="1:25" x14ac:dyDescent="0.25">
      <c r="A127" s="20">
        <v>13.4</v>
      </c>
      <c r="B127" s="41">
        <f t="shared" si="1"/>
        <v>42.097341558103231</v>
      </c>
      <c r="C127" s="15" cm="1">
        <f t="array" ref="C127">EVAL($AG$6,B127)</f>
        <v>190.54332552614929</v>
      </c>
      <c r="D127" s="15" cm="1">
        <f t="array" ref="D127">EVAL($AG$7,B127)</f>
        <v>3.0333338581463343</v>
      </c>
      <c r="F127" s="15" cm="1">
        <f t="array" ref="F127">EVAL($AG$9,B127)</f>
        <v>0.9478530943000848</v>
      </c>
      <c r="G127" s="15" cm="1">
        <f t="array" ref="G127">EVAL($AG$10,B127)</f>
        <v>0.9478530943000848</v>
      </c>
      <c r="H127" s="15" cm="1">
        <f t="array" ref="H127">EVAL($AG$11,B127)</f>
        <v>0.9478530943000848</v>
      </c>
      <c r="I127" s="15" cm="1">
        <f t="array" ref="I127">EVAL($AG$12,B127)</f>
        <v>0.96048371497393792</v>
      </c>
      <c r="J127" s="15" cm="1">
        <f t="array" ref="J127">EVAL($AG$13,B127)</f>
        <v>69.255322496775179</v>
      </c>
      <c r="K127" s="15" cm="1">
        <f t="array" ref="K127">EVAL($AG$14,B127)</f>
        <v>0.7518021540485107</v>
      </c>
      <c r="L127" s="15" cm="1">
        <f t="array" ref="L127">EVAL($AG$15,B127)</f>
        <v>43.630027598063009</v>
      </c>
      <c r="M127" s="15" cm="1">
        <f t="array" ref="M127">EVAL($AG$16,B127)</f>
        <v>0.61449139952277509</v>
      </c>
      <c r="N127" s="15" cm="1">
        <f t="array" ref="N127">EVAL($AG$17,B127)</f>
        <v>29.172175039095666</v>
      </c>
      <c r="O127" s="15" cm="1">
        <f t="array" ref="O127">EVAL($AG$18,B127)</f>
        <v>1.3576613300434158E-2</v>
      </c>
      <c r="P127" s="15" cm="1">
        <f t="array" ref="P127">EVAL($AG$19,B127)</f>
        <v>1.3576613300434158E-2</v>
      </c>
      <c r="Q127" s="15" cm="1">
        <f t="array" ref="Q127">EVAL($AH$6,B127)</f>
        <v>0.85383871640443587</v>
      </c>
      <c r="R127" s="15" cm="1">
        <f t="array" ref="R127">EVAL($AH$7,B127)</f>
        <v>0.85383871640443587</v>
      </c>
      <c r="T127" s="15" cm="1">
        <f t="array" ref="T127">EVAL($AH$9,B127)</f>
        <v>0.5736036814143467</v>
      </c>
      <c r="U127" s="15" cm="1">
        <f t="array" ref="U127">EVAL($AH$10,B127)</f>
        <v>0.5736036814143467</v>
      </c>
      <c r="V127" s="15" cm="1">
        <f t="array" ref="V127">EVAL($AH$11,B127)</f>
        <v>0.5736036814143467</v>
      </c>
      <c r="W127" s="15" cm="1">
        <f t="array" ref="W127">EVAL($AH$12,B127)</f>
        <v>10.774993671866165</v>
      </c>
      <c r="X127" s="15" cm="1">
        <f t="array" ref="X127">EVAL($AH$13,B127)</f>
        <v>0.29527779135672949</v>
      </c>
      <c r="Y127" s="15" cm="1">
        <f t="array" ref="Y127">EVAL($AH$14,B127)</f>
        <v>0.29527779135672949</v>
      </c>
    </row>
    <row r="128" spans="1:25" x14ac:dyDescent="0.25">
      <c r="A128" s="20">
        <v>13.5</v>
      </c>
      <c r="B128" s="41">
        <f t="shared" si="1"/>
        <v>42.411500823462205</v>
      </c>
      <c r="C128" s="15" cm="1">
        <f t="array" ref="C128">EVAL($AG$6,B128)</f>
        <v>191.52548618932641</v>
      </c>
      <c r="D128" s="15" cm="1">
        <f t="array" ref="D128">EVAL($AG$7,B128)</f>
        <v>3.0396868517402633</v>
      </c>
      <c r="F128" s="15" cm="1">
        <f t="array" ref="F128">EVAL($AG$9,B128)</f>
        <v>0.95504093942483304</v>
      </c>
      <c r="G128" s="15" cm="1">
        <f t="array" ref="G128">EVAL($AG$10,B128)</f>
        <v>0.95504093942483304</v>
      </c>
      <c r="H128" s="15" cm="1">
        <f t="array" ref="H128">EVAL($AG$11,B128)</f>
        <v>0.95504093942483304</v>
      </c>
      <c r="I128" s="15" cm="1">
        <f t="array" ref="I128">EVAL($AG$12,B128)</f>
        <v>0.96725085498340946</v>
      </c>
      <c r="J128" s="15" cm="1">
        <f t="array" ref="J128">EVAL($AG$13,B128)</f>
        <v>69.642481543261638</v>
      </c>
      <c r="K128" s="15" cm="1">
        <f t="array" ref="K128">EVAL($AG$14,B128)</f>
        <v>0.75663701571979725</v>
      </c>
      <c r="L128" s="15" cm="1">
        <f t="array" ref="L128">EVAL($AG$15,B128)</f>
        <v>43.827669562782887</v>
      </c>
      <c r="M128" s="15" cm="1">
        <f t="array" ref="M128">EVAL($AG$16,B128)</f>
        <v>0.61682495795835124</v>
      </c>
      <c r="N128" s="15" cm="1">
        <f t="array" ref="N128">EVAL($AG$17,B128)</f>
        <v>29.260889370325007</v>
      </c>
      <c r="O128" s="15" cm="1">
        <f t="array" ref="O128">EVAL($AG$18,B128)</f>
        <v>1.3520907067412793E-2</v>
      </c>
      <c r="P128" s="15" cm="1">
        <f t="array" ref="P128">EVAL($AG$19,B128)</f>
        <v>1.3520907067412793E-2</v>
      </c>
      <c r="Q128" s="15" cm="1">
        <f t="array" ref="Q128">EVAL($AH$6,B128)</f>
        <v>0.85646649277236153</v>
      </c>
      <c r="R128" s="15" cm="1">
        <f t="array" ref="R128">EVAL($AH$7,B128)</f>
        <v>0.85646649277236153</v>
      </c>
      <c r="T128" s="15" cm="1">
        <f t="array" ref="T128">EVAL($AH$9,B128)</f>
        <v>0.57527190653130922</v>
      </c>
      <c r="U128" s="15" cm="1">
        <f t="array" ref="U128">EVAL($AH$10,B128)</f>
        <v>0.57527190653130922</v>
      </c>
      <c r="V128" s="15" cm="1">
        <f t="array" ref="V128">EVAL($AH$11,B128)</f>
        <v>0.57527190653130922</v>
      </c>
      <c r="W128" s="15" cm="1">
        <f t="array" ref="W128">EVAL($AH$12,B128)</f>
        <v>10.894068141427095</v>
      </c>
      <c r="X128" s="15" cm="1">
        <f t="array" ref="X128">EVAL($AH$13,B128)</f>
        <v>0.29585002311842157</v>
      </c>
      <c r="Y128" s="15" cm="1">
        <f t="array" ref="Y128">EVAL($AH$14,B128)</f>
        <v>0.29585002311842157</v>
      </c>
    </row>
    <row r="129" spans="1:25" x14ac:dyDescent="0.25">
      <c r="A129" s="20">
        <v>13.6</v>
      </c>
      <c r="B129" s="41">
        <f t="shared" si="1"/>
        <v>42.725660088821186</v>
      </c>
      <c r="C129" s="15" cm="1">
        <f t="array" ref="C129">EVAL($AG$6,B129)</f>
        <v>192.50540497237316</v>
      </c>
      <c r="D129" s="15" cm="1">
        <f t="array" ref="D129">EVAL($AG$7,B129)</f>
        <v>3.046006118009613</v>
      </c>
      <c r="F129" s="15" cm="1">
        <f t="array" ref="F129">EVAL($AG$9,B129)</f>
        <v>0.96222964182556103</v>
      </c>
      <c r="G129" s="15" cm="1">
        <f t="array" ref="G129">EVAL($AG$10,B129)</f>
        <v>0.96222964182556103</v>
      </c>
      <c r="H129" s="15" cm="1">
        <f t="array" ref="H129">EVAL($AG$11,B129)</f>
        <v>0.96222964182556103</v>
      </c>
      <c r="I129" s="15" cm="1">
        <f t="array" ref="I129">EVAL($AG$12,B129)</f>
        <v>0.97401520347072024</v>
      </c>
      <c r="J129" s="15" cm="1">
        <f t="array" ref="J129">EVAL($AG$13,B129)</f>
        <v>70.028923712117688</v>
      </c>
      <c r="K129" s="15" cm="1">
        <f t="array" ref="K129">EVAL($AG$14,B129)</f>
        <v>0.76146694472049947</v>
      </c>
      <c r="L129" s="15" cm="1">
        <f t="array" ref="L129">EVAL($AG$15,B129)</f>
        <v>44.02473831396297</v>
      </c>
      <c r="M129" s="15" cm="1">
        <f t="array" ref="M129">EVAL($AG$16,B129)</f>
        <v>0.61915005825317304</v>
      </c>
      <c r="N129" s="15" cm="1">
        <f t="array" ref="N129">EVAL($AG$17,B129)</f>
        <v>29.349215781640122</v>
      </c>
      <c r="O129" s="15" cm="1">
        <f t="array" ref="O129">EVAL($AG$18,B129)</f>
        <v>1.346583800082843E-2</v>
      </c>
      <c r="P129" s="15" cm="1">
        <f t="array" ref="P129">EVAL($AG$19,B129)</f>
        <v>1.346583800082843E-2</v>
      </c>
      <c r="Q129" s="15" cm="1">
        <f t="array" ref="Q129">EVAL($AH$6,B129)</f>
        <v>0.85908287366394276</v>
      </c>
      <c r="R129" s="15" cm="1">
        <f t="array" ref="R129">EVAL($AH$7,B129)</f>
        <v>0.85908287366394276</v>
      </c>
      <c r="T129" s="15" cm="1">
        <f t="array" ref="T129">EVAL($AH$9,B129)</f>
        <v>0.57693261803812756</v>
      </c>
      <c r="U129" s="15" cm="1">
        <f t="array" ref="U129">EVAL($AH$10,B129)</f>
        <v>0.57693261803812756</v>
      </c>
      <c r="V129" s="15" cm="1">
        <f t="array" ref="V129">EVAL($AH$11,B129)</f>
        <v>0.57693261803812756</v>
      </c>
      <c r="W129" s="15" cm="1">
        <f t="array" ref="W129">EVAL($AH$12,B129)</f>
        <v>11.013565150082293</v>
      </c>
      <c r="X129" s="15" cm="1">
        <f t="array" ref="X129">EVAL($AH$13,B129)</f>
        <v>0.29641912843062113</v>
      </c>
      <c r="Y129" s="15" cm="1">
        <f t="array" ref="Y129">EVAL($AH$14,B129)</f>
        <v>0.29641912843062113</v>
      </c>
    </row>
    <row r="130" spans="1:25" x14ac:dyDescent="0.25">
      <c r="A130" s="20">
        <v>13.7</v>
      </c>
      <c r="B130" s="41">
        <f t="shared" si="1"/>
        <v>43.03981935418016</v>
      </c>
      <c r="C130" s="15" cm="1">
        <f t="array" ref="C130">EVAL($AG$6,B130)</f>
        <v>193.48310342108707</v>
      </c>
      <c r="D130" s="15" cm="1">
        <f t="array" ref="D130">EVAL($AG$7,B130)</f>
        <v>3.0522920820423001</v>
      </c>
      <c r="F130" s="15" cm="1">
        <f t="array" ref="F130">EVAL($AG$9,B130)</f>
        <v>0.96941919529977638</v>
      </c>
      <c r="G130" s="15" cm="1">
        <f t="array" ref="G130">EVAL($AG$10,B130)</f>
        <v>0.96941919529977638</v>
      </c>
      <c r="H130" s="15" cm="1">
        <f t="array" ref="H130">EVAL($AG$11,B130)</f>
        <v>0.96941919529977638</v>
      </c>
      <c r="I130" s="15" cm="1">
        <f t="array" ref="I130">EVAL($AG$12,B130)</f>
        <v>0.98077678210101715</v>
      </c>
      <c r="J130" s="15" cm="1">
        <f t="array" ref="J130">EVAL($AG$13,B130)</f>
        <v>70.414655587407282</v>
      </c>
      <c r="K130" s="15" cm="1">
        <f t="array" ref="K130">EVAL($AG$14,B130)</f>
        <v>0.76629198229805606</v>
      </c>
      <c r="L130" s="15" cm="1">
        <f t="array" ref="L130">EVAL($AG$15,B130)</f>
        <v>44.221239710689687</v>
      </c>
      <c r="M130" s="15" cm="1">
        <f t="array" ref="M130">EVAL($AG$16,B130)</f>
        <v>0.62146679292091733</v>
      </c>
      <c r="N130" s="15" cm="1">
        <f t="array" ref="N130">EVAL($AG$17,B130)</f>
        <v>29.437158803066914</v>
      </c>
      <c r="O130" s="15" cm="1">
        <f t="array" ref="O130">EVAL($AG$18,B130)</f>
        <v>1.3411394207574229E-2</v>
      </c>
      <c r="P130" s="15" cm="1">
        <f t="array" ref="P130">EVAL($AG$19,B130)</f>
        <v>1.3411394207574229E-2</v>
      </c>
      <c r="Q130" s="15" cm="1">
        <f t="array" ref="Q130">EVAL($AH$6,B130)</f>
        <v>0.86168799174523125</v>
      </c>
      <c r="R130" s="15" cm="1">
        <f t="array" ref="R130">EVAL($AH$7,B130)</f>
        <v>0.86168799174523125</v>
      </c>
      <c r="T130" s="15" cm="1">
        <f t="array" ref="T130">EVAL($AH$9,B130)</f>
        <v>0.57858590465222781</v>
      </c>
      <c r="U130" s="15" cm="1">
        <f t="array" ref="U130">EVAL($AH$10,B130)</f>
        <v>0.57858590465222781</v>
      </c>
      <c r="V130" s="15" cm="1">
        <f t="array" ref="V130">EVAL($AH$11,B130)</f>
        <v>0.57858590465222781</v>
      </c>
      <c r="W130" s="15" cm="1">
        <f t="array" ref="W130">EVAL($AH$12,B130)</f>
        <v>11.133483073765722</v>
      </c>
      <c r="X130" s="15" cm="1">
        <f t="array" ref="X130">EVAL($AH$13,B130)</f>
        <v>0.29698514717647129</v>
      </c>
      <c r="Y130" s="15" cm="1">
        <f t="array" ref="Y130">EVAL($AH$14,B130)</f>
        <v>0.29698514717647129</v>
      </c>
    </row>
    <row r="131" spans="1:25" x14ac:dyDescent="0.25">
      <c r="A131" s="20">
        <v>13.8</v>
      </c>
      <c r="B131" s="41">
        <f t="shared" si="1"/>
        <v>43.353978619539149</v>
      </c>
      <c r="C131" s="15" cm="1">
        <f t="array" ref="C131">EVAL($AG$6,B131)</f>
        <v>194.45860271860991</v>
      </c>
      <c r="D131" s="15" cm="1">
        <f t="array" ref="D131">EVAL($AG$7,B131)</f>
        <v>3.0585451605127676</v>
      </c>
      <c r="F131" s="15" cm="1">
        <f t="array" ref="F131">EVAL($AG$9,B131)</f>
        <v>0.97660959373480993</v>
      </c>
      <c r="G131" s="15" cm="1">
        <f t="array" ref="G131">EVAL($AG$10,B131)</f>
        <v>0.97660959373480993</v>
      </c>
      <c r="H131" s="15" cm="1">
        <f t="array" ref="H131">EVAL($AG$11,B131)</f>
        <v>0.97660959373480993</v>
      </c>
      <c r="I131" s="15" cm="1">
        <f t="array" ref="I131">EVAL($AG$12,B131)</f>
        <v>0.98753561221441233</v>
      </c>
      <c r="J131" s="15" cm="1">
        <f t="array" ref="J131">EVAL($AG$13,B131)</f>
        <v>70.799683645147979</v>
      </c>
      <c r="K131" s="15" cm="1">
        <f t="array" ref="K131">EVAL($AG$14,B131)</f>
        <v>0.77111216905656987</v>
      </c>
      <c r="L131" s="15" cm="1">
        <f t="array" ref="L131">EVAL($AG$15,B131)</f>
        <v>44.417179509889998</v>
      </c>
      <c r="M131" s="15" cm="1">
        <f t="array" ref="M131">EVAL($AG$16,B131)</f>
        <v>0.62377525279663715</v>
      </c>
      <c r="N131" s="15" cm="1">
        <f t="array" ref="N131">EVAL($AG$17,B131)</f>
        <v>29.524722879120404</v>
      </c>
      <c r="O131" s="15" cm="1">
        <f t="array" ref="O131">EVAL($AG$18,B131)</f>
        <v>1.3357564101247235E-2</v>
      </c>
      <c r="P131" s="15" cm="1">
        <f t="array" ref="P131">EVAL($AG$19,B131)</f>
        <v>1.3357564101247235E-2</v>
      </c>
      <c r="Q131" s="15" cm="1">
        <f t="array" ref="Q131">EVAL($AH$6,B131)</f>
        <v>0.86428197718270261</v>
      </c>
      <c r="R131" s="15" cm="1">
        <f t="array" ref="R131">EVAL($AH$7,B131)</f>
        <v>0.86428197718270261</v>
      </c>
      <c r="T131" s="15" cm="1">
        <f t="array" ref="T131">EVAL($AH$9,B131)</f>
        <v>0.58023185340497185</v>
      </c>
      <c r="U131" s="15" cm="1">
        <f t="array" ref="U131">EVAL($AH$10,B131)</f>
        <v>0.58023185340497185</v>
      </c>
      <c r="V131" s="15" cm="1">
        <f t="array" ref="V131">EVAL($AH$11,B131)</f>
        <v>0.58023185340497185</v>
      </c>
      <c r="W131" s="15" cm="1">
        <f t="array" ref="W131">EVAL($AH$12,B131)</f>
        <v>11.253820306483544</v>
      </c>
      <c r="X131" s="15" cm="1">
        <f t="array" ref="X131">EVAL($AH$13,B131)</f>
        <v>0.29754811844369855</v>
      </c>
      <c r="Y131" s="15" cm="1">
        <f t="array" ref="Y131">EVAL($AH$14,B131)</f>
        <v>0.29754811844369855</v>
      </c>
    </row>
    <row r="132" spans="1:25" x14ac:dyDescent="0.25">
      <c r="A132" s="20">
        <v>13.9</v>
      </c>
      <c r="B132" s="41">
        <f t="shared" ref="B132:B195" si="2">A132*PI()</f>
        <v>43.668137884898123</v>
      </c>
      <c r="C132" s="15" cm="1">
        <f t="array" ref="C132">EVAL($AG$6,B132)</f>
        <v>195.43192369411432</v>
      </c>
      <c r="D132" s="15" cm="1">
        <f t="array" ref="D132">EVAL($AG$7,B132)</f>
        <v>3.0647657619081232</v>
      </c>
      <c r="F132" s="15" cm="1">
        <f t="array" ref="F132">EVAL($AG$9,B132)</f>
        <v>0.98380083110588268</v>
      </c>
      <c r="G132" s="15" cm="1">
        <f t="array" ref="G132">EVAL($AG$10,B132)</f>
        <v>0.98380083110588268</v>
      </c>
      <c r="H132" s="15" cm="1">
        <f t="array" ref="H132">EVAL($AG$11,B132)</f>
        <v>0.98380083110588268</v>
      </c>
      <c r="I132" s="15" cm="1">
        <f t="array" ref="I132">EVAL($AG$12,B132)</f>
        <v>0.99429171483319123</v>
      </c>
      <c r="J132" s="15" cm="1">
        <f t="array" ref="J132">EVAL($AG$13,B132)</f>
        <v>71.184014255854237</v>
      </c>
      <c r="K132" s="15" cm="1">
        <f t="array" ref="K132">EVAL($AG$14,B132)</f>
        <v>0.77592754497143546</v>
      </c>
      <c r="L132" s="15" cm="1">
        <f t="array" ref="L132">EVAL($AG$15,B132)</f>
        <v>44.61256336883941</v>
      </c>
      <c r="M132" s="15" cm="1">
        <f t="array" ref="M132">EVAL($AG$16,B132)</f>
        <v>0.62607552707914293</v>
      </c>
      <c r="N132" s="15" cm="1">
        <f t="array" ref="N132">EVAL($AG$17,B132)</f>
        <v>29.611912371025678</v>
      </c>
      <c r="O132" s="15" cm="1">
        <f t="array" ref="O132">EVAL($AG$18,B132)</f>
        <v>1.330433639208589E-2</v>
      </c>
      <c r="P132" s="15" cm="1">
        <f t="array" ref="P132">EVAL($AG$19,B132)</f>
        <v>1.330433639208589E-2</v>
      </c>
      <c r="Q132" s="15" cm="1">
        <f t="array" ref="Q132">EVAL($AH$6,B132)</f>
        <v>0.86686495770808913</v>
      </c>
      <c r="R132" s="15" cm="1">
        <f t="array" ref="R132">EVAL($AH$7,B132)</f>
        <v>0.86686495770808913</v>
      </c>
      <c r="T132" s="15" cm="1">
        <f t="array" ref="T132">EVAL($AH$9,B132)</f>
        <v>0.58187054968566354</v>
      </c>
      <c r="U132" s="15" cm="1">
        <f t="array" ref="U132">EVAL($AH$10,B132)</f>
        <v>0.58187054968566354</v>
      </c>
      <c r="V132" s="15" cm="1">
        <f t="array" ref="V132">EVAL($AH$11,B132)</f>
        <v>0.58187054968566354</v>
      </c>
      <c r="W132" s="15" cm="1">
        <f t="array" ref="W132">EVAL($AH$12,B132)</f>
        <v>11.374575259983382</v>
      </c>
      <c r="X132" s="15" cm="1">
        <f t="array" ref="X132">EVAL($AH$13,B132)</f>
        <v>0.29810808054611165</v>
      </c>
      <c r="Y132" s="15" cm="1">
        <f t="array" ref="Y132">EVAL($AH$14,B132)</f>
        <v>0.29810808054611165</v>
      </c>
    </row>
    <row r="133" spans="1:25" x14ac:dyDescent="0.25">
      <c r="A133" s="20">
        <v>14</v>
      </c>
      <c r="B133" s="41">
        <f t="shared" si="2"/>
        <v>43.982297150257104</v>
      </c>
      <c r="C133" s="15" cm="1">
        <f t="array" ref="C133">EVAL($AG$6,B133)</f>
        <v>196.40308683121788</v>
      </c>
      <c r="D133" s="15" cm="1">
        <f t="array" ref="D133">EVAL($AG$7,B133)</f>
        <v>3.0709542867465998</v>
      </c>
      <c r="F133" s="15" cm="1">
        <f t="array" ref="F133">EVAL($AG$9,B133)</f>
        <v>0.99099290147420749</v>
      </c>
      <c r="G133" s="15" cm="1">
        <f t="array" ref="G133">EVAL($AG$10,B133)</f>
        <v>0.99099290147420749</v>
      </c>
      <c r="H133" s="15" cm="1">
        <f t="array" ref="H133">EVAL($AG$11,B133)</f>
        <v>0.99099290147420749</v>
      </c>
      <c r="I133" s="15" cm="1">
        <f t="array" ref="I133">EVAL($AG$12,B133)</f>
        <v>1.0010451106687839</v>
      </c>
      <c r="J133" s="15" cm="1">
        <f t="array" ref="J133">EVAL($AG$13,B133)</f>
        <v>71.567653687001254</v>
      </c>
      <c r="K133" s="15" cm="1">
        <f t="array" ref="K133">EVAL($AG$14,B133)</f>
        <v>0.7807381494035166</v>
      </c>
      <c r="L133" s="15" cm="1">
        <f t="array" ref="L133">EVAL($AG$15,B133)</f>
        <v>44.807396847589949</v>
      </c>
      <c r="M133" s="15" cm="1">
        <f t="array" ref="M133">EVAL($AG$16,B133)</f>
        <v>0.62836770337201409</v>
      </c>
      <c r="N133" s="15" cm="1">
        <f t="array" ref="N133">EVAL($AG$17,B133)</f>
        <v>29.698731558865319</v>
      </c>
      <c r="O133" s="15" cm="1">
        <f t="array" ref="O133">EVAL($AG$18,B133)</f>
        <v>1.3251700077307334E-2</v>
      </c>
      <c r="P133" s="15" cm="1">
        <f t="array" ref="P133">EVAL($AG$19,B133)</f>
        <v>1.3251700077307334E-2</v>
      </c>
      <c r="Q133" s="15" cm="1">
        <f t="array" ref="Q133">EVAL($AH$6,B133)</f>
        <v>0.86943705868107035</v>
      </c>
      <c r="R133" s="15" cm="1">
        <f t="array" ref="R133">EVAL($AH$7,B133)</f>
        <v>0.86943705868107035</v>
      </c>
      <c r="T133" s="15" cm="1">
        <f t="array" ref="T133">EVAL($AH$9,B133)</f>
        <v>0.58350207728409142</v>
      </c>
      <c r="U133" s="15" cm="1">
        <f t="array" ref="U133">EVAL($AH$10,B133)</f>
        <v>0.58350207728409142</v>
      </c>
      <c r="V133" s="15" cm="1">
        <f t="array" ref="V133">EVAL($AH$11,B133)</f>
        <v>0.58350207728409142</v>
      </c>
      <c r="W133" s="15" cm="1">
        <f t="array" ref="W133">EVAL($AH$12,B133)</f>
        <v>11.495746363431733</v>
      </c>
      <c r="X133" s="15" cm="1">
        <f t="array" ref="X133">EVAL($AH$13,B133)</f>
        <v>0.29866507104436679</v>
      </c>
      <c r="Y133" s="15" cm="1">
        <f t="array" ref="Y133">EVAL($AH$14,B133)</f>
        <v>0.29866507104436679</v>
      </c>
    </row>
    <row r="134" spans="1:25" x14ac:dyDescent="0.25">
      <c r="A134" s="20">
        <v>14.1</v>
      </c>
      <c r="B134" s="41">
        <f t="shared" si="2"/>
        <v>44.296456415616085</v>
      </c>
      <c r="C134" s="15" cm="1">
        <f t="array" ref="C134">EVAL($AG$6,B134)</f>
        <v>197.37211227614185</v>
      </c>
      <c r="D134" s="15" cm="1">
        <f t="array" ref="D134">EVAL($AG$7,B134)</f>
        <v>3.0771111277886911</v>
      </c>
      <c r="F134" s="15" cm="1">
        <f t="array" ref="F134">EVAL($AG$9,B134)</f>
        <v>0.99818579898516091</v>
      </c>
      <c r="G134" s="15" cm="1">
        <f t="array" ref="G134">EVAL($AG$10,B134)</f>
        <v>0.99818579898516091</v>
      </c>
      <c r="H134" s="15" cm="1">
        <f t="array" ref="H134">EVAL($AG$11,B134)</f>
        <v>0.99818579898516091</v>
      </c>
      <c r="I134" s="15" cm="1">
        <f t="array" ref="I134">EVAL($AG$12,B134)</f>
        <v>1.0077958201285573</v>
      </c>
      <c r="J134" s="15" cm="1">
        <f t="array" ref="J134">EVAL($AG$13,B134)</f>
        <v>71.950608105415554</v>
      </c>
      <c r="K134" s="15" cm="1">
        <f t="array" ref="K134">EVAL($AG$14,B134)</f>
        <v>0.78554402111291854</v>
      </c>
      <c r="L134" s="15" cm="1">
        <f t="array" ref="L134">EVAL($AG$15,B134)</f>
        <v>45.001685411322889</v>
      </c>
      <c r="M134" s="15" cm="1">
        <f t="array" ref="M134">EVAL($AG$16,B134)</f>
        <v>0.63065186772330051</v>
      </c>
      <c r="N134" s="15" cm="1">
        <f t="array" ref="N134">EVAL($AG$17,B134)</f>
        <v>29.785184643656809</v>
      </c>
      <c r="O134" s="15" cm="1">
        <f t="array" ref="O134">EVAL($AG$18,B134)</f>
        <v>1.3199644431825825E-2</v>
      </c>
      <c r="P134" s="15" cm="1">
        <f t="array" ref="P134">EVAL($AG$19,B134)</f>
        <v>1.3199644431825825E-2</v>
      </c>
      <c r="Q134" s="15" cm="1">
        <f t="array" ref="Q134">EVAL($AH$6,B134)</f>
        <v>0.87199840314991928</v>
      </c>
      <c r="R134" s="15" cm="1">
        <f t="array" ref="R134">EVAL($AH$7,B134)</f>
        <v>0.87199840314991928</v>
      </c>
      <c r="T134" s="15" cm="1">
        <f t="array" ref="T134">EVAL($AH$9,B134)</f>
        <v>0.58512651843168118</v>
      </c>
      <c r="U134" s="15" cm="1">
        <f t="array" ref="U134">EVAL($AH$10,B134)</f>
        <v>0.58512651843168118</v>
      </c>
      <c r="V134" s="15" cm="1">
        <f t="array" ref="V134">EVAL($AH$11,B134)</f>
        <v>0.58512651843168118</v>
      </c>
      <c r="W134" s="15" cm="1">
        <f t="array" ref="W134">EVAL($AH$12,B134)</f>
        <v>11.61733206309971</v>
      </c>
      <c r="X134" s="15" cm="1">
        <f t="array" ref="X134">EVAL($AH$13,B134)</f>
        <v>0.29921912676603329</v>
      </c>
      <c r="Y134" s="15" cm="1">
        <f t="array" ref="Y134">EVAL($AH$14,B134)</f>
        <v>0.29921912676603329</v>
      </c>
    </row>
    <row r="135" spans="1:25" x14ac:dyDescent="0.25">
      <c r="A135" s="20">
        <v>14.2</v>
      </c>
      <c r="B135" s="41">
        <f t="shared" si="2"/>
        <v>44.610615680975059</v>
      </c>
      <c r="C135" s="15" cm="1">
        <f t="array" ref="C135">EVAL($AG$6,B135)</f>
        <v>198.33901984561956</v>
      </c>
      <c r="D135" s="15" cm="1">
        <f t="array" ref="D135">EVAL($AG$7,B135)</f>
        <v>3.0832366702412313</v>
      </c>
      <c r="F135" s="15" cm="1">
        <f t="array" ref="F135">EVAL($AG$9,B135)</f>
        <v>1.0053795178665044</v>
      </c>
      <c r="G135" s="15" cm="1">
        <f t="array" ref="G135">EVAL($AG$10,B135)</f>
        <v>1.0053795178665044</v>
      </c>
      <c r="H135" s="15" cm="1">
        <f t="array" ref="H135">EVAL($AG$11,B135)</f>
        <v>1.0053795178665044</v>
      </c>
      <c r="I135" s="15" cm="1">
        <f t="array" ref="I135">EVAL($AG$12,B135)</f>
        <v>1.0145438633224024</v>
      </c>
      <c r="J135" s="15" cm="1">
        <f t="array" ref="J135">EVAL($AG$13,B135)</f>
        <v>72.332883579593116</v>
      </c>
      <c r="K135" s="15" cm="1">
        <f t="array" ref="K135">EVAL($AG$14,B135)</f>
        <v>0.79034519827234939</v>
      </c>
      <c r="L135" s="15" cm="1">
        <f t="array" ref="L135">EVAL($AG$15,B135)</f>
        <v>45.195434432628076</v>
      </c>
      <c r="M135" s="15" cm="1">
        <f t="array" ref="M135">EVAL($AG$16,B135)</f>
        <v>0.63292810466396199</v>
      </c>
      <c r="N135" s="15" cm="1">
        <f t="array" ref="N135">EVAL($AG$17,B135)</f>
        <v>29.871275749362386</v>
      </c>
      <c r="O135" s="15" cm="1">
        <f t="array" ref="O135">EVAL($AG$18,B135)</f>
        <v>1.3148158999334658E-2</v>
      </c>
      <c r="P135" s="15" cm="1">
        <f t="array" ref="P135">EVAL($AG$19,B135)</f>
        <v>1.3148158999334658E-2</v>
      </c>
      <c r="Q135" s="15" cm="1">
        <f t="array" ref="Q135">EVAL($AH$6,B135)</f>
        <v>0.87454911191018037</v>
      </c>
      <c r="R135" s="15" cm="1">
        <f t="array" ref="R135">EVAL($AH$7,B135)</f>
        <v>0.87454911191018037</v>
      </c>
      <c r="T135" s="15" cm="1">
        <f t="array" ref="T135">EVAL($AH$9,B135)</f>
        <v>0.58674395384130174</v>
      </c>
      <c r="U135" s="15" cm="1">
        <f t="array" ref="U135">EVAL($AH$10,B135)</f>
        <v>0.58674395384130174</v>
      </c>
      <c r="V135" s="15" cm="1">
        <f t="array" ref="V135">EVAL($AH$11,B135)</f>
        <v>0.58674395384130174</v>
      </c>
      <c r="W135" s="15" cm="1">
        <f t="array" ref="W135">EVAL($AH$12,B135)</f>
        <v>11.739330822056672</v>
      </c>
      <c r="X135" s="15" cm="1">
        <f t="array" ref="X135">EVAL($AH$13,B135)</f>
        <v>0.29977028382498649</v>
      </c>
      <c r="Y135" s="15" cm="1">
        <f t="array" ref="Y135">EVAL($AH$14,B135)</f>
        <v>0.29977028382498649</v>
      </c>
    </row>
    <row r="136" spans="1:25" x14ac:dyDescent="0.25">
      <c r="A136" s="20">
        <v>14.3</v>
      </c>
      <c r="B136" s="41">
        <f t="shared" si="2"/>
        <v>44.924774946334047</v>
      </c>
      <c r="C136" s="15" cm="1">
        <f t="array" ref="C136">EVAL($AG$6,B136)</f>
        <v>199.30382903456444</v>
      </c>
      <c r="D136" s="15" cm="1">
        <f t="array" ref="D136">EVAL($AG$7,B136)</f>
        <v>3.0893312919547071</v>
      </c>
      <c r="F136" s="15" cm="1">
        <f t="array" ref="F136">EVAL($AG$9,B136)</f>
        <v>1.012574052426646</v>
      </c>
      <c r="G136" s="15" cm="1">
        <f t="array" ref="G136">EVAL($AG$10,B136)</f>
        <v>1.012574052426646</v>
      </c>
      <c r="H136" s="15" cm="1">
        <f t="array" ref="H136">EVAL($AG$11,B136)</f>
        <v>1.012574052426646</v>
      </c>
      <c r="I136" s="15" cm="1">
        <f t="array" ref="I136">EVAL($AG$12,B136)</f>
        <v>1.0212892600691303</v>
      </c>
      <c r="J136" s="15" cm="1">
        <f t="array" ref="J136">EVAL($AG$13,B136)</f>
        <v>72.714486081947683</v>
      </c>
      <c r="K136" s="15" cm="1">
        <f t="array" ref="K136">EVAL($AG$14,B136)</f>
        <v>0.79514171848009363</v>
      </c>
      <c r="L136" s="15" cm="1">
        <f t="array" ref="L136">EVAL($AG$15,B136)</f>
        <v>45.388649193712432</v>
      </c>
      <c r="M136" s="15" cm="1">
        <f t="array" ref="M136">EVAL($AG$16,B136)</f>
        <v>0.63519649724509186</v>
      </c>
      <c r="N136" s="15" cm="1">
        <f t="array" ref="N136">EVAL($AG$17,B136)</f>
        <v>29.957008924833872</v>
      </c>
      <c r="O136" s="15" cm="1">
        <f t="array" ref="O136">EVAL($AG$18,B136)</f>
        <v>1.3097233583735058E-2</v>
      </c>
      <c r="P136" s="15" cm="1">
        <f t="array" ref="P136">EVAL($AG$19,B136)</f>
        <v>1.3097233583735058E-2</v>
      </c>
      <c r="Q136" s="15" cm="1">
        <f t="array" ref="Q136">EVAL($AH$6,B136)</f>
        <v>0.87708930356145054</v>
      </c>
      <c r="R136" s="15" cm="1">
        <f t="array" ref="R136">EVAL($AH$7,B136)</f>
        <v>0.87708930356145054</v>
      </c>
      <c r="T136" s="15" cm="1">
        <f t="array" ref="T136">EVAL($AH$9,B136)</f>
        <v>0.58835446274578118</v>
      </c>
      <c r="U136" s="15" cm="1">
        <f t="array" ref="U136">EVAL($AH$10,B136)</f>
        <v>0.58835446274578118</v>
      </c>
      <c r="V136" s="15" cm="1">
        <f t="array" ref="V136">EVAL($AH$11,B136)</f>
        <v>0.58835446274578118</v>
      </c>
      <c r="W136" s="15" cm="1">
        <f t="array" ref="W136">EVAL($AH$12,B136)</f>
        <v>11.861741119871214</v>
      </c>
      <c r="X136" s="15" cm="1">
        <f t="array" ref="X136">EVAL($AH$13,B136)</f>
        <v>0.30031857764015407</v>
      </c>
      <c r="Y136" s="15" cm="1">
        <f t="array" ref="Y136">EVAL($AH$14,B136)</f>
        <v>0.30031857764015407</v>
      </c>
    </row>
    <row r="137" spans="1:25" x14ac:dyDescent="0.25">
      <c r="A137" s="20">
        <v>14.4</v>
      </c>
      <c r="B137" s="41">
        <f t="shared" si="2"/>
        <v>45.238934211693021</v>
      </c>
      <c r="C137" s="15" cm="1">
        <f t="array" ref="C137">EVAL($AG$6,B137)</f>
        <v>200.26655902350967</v>
      </c>
      <c r="D137" s="15" cm="1">
        <f t="array" ref="D137">EVAL($AG$7,B137)</f>
        <v>3.0953953636140912</v>
      </c>
      <c r="F137" s="15" cm="1">
        <f t="array" ref="F137">EVAL($AG$9,B137)</f>
        <v>1.0197693970529718</v>
      </c>
      <c r="G137" s="15" cm="1">
        <f t="array" ref="G137">EVAL($AG$10,B137)</f>
        <v>1.0197693970529718</v>
      </c>
      <c r="H137" s="15" cm="1">
        <f t="array" ref="H137">EVAL($AG$11,B137)</f>
        <v>1.0197693970529718</v>
      </c>
      <c r="I137" s="15" cm="1">
        <f t="array" ref="I137">EVAL($AG$12,B137)</f>
        <v>1.0280320299027039</v>
      </c>
      <c r="J137" s="15" cm="1">
        <f t="array" ref="J137">EVAL($AG$13,B137)</f>
        <v>73.095421490993687</v>
      </c>
      <c r="K137" s="15" cm="1">
        <f t="array" ref="K137">EVAL($AG$14,B137)</f>
        <v>0.79993361877261626</v>
      </c>
      <c r="L137" s="15" cm="1">
        <f t="array" ref="L137">EVAL($AG$15,B137)</f>
        <v>45.581334888541562</v>
      </c>
      <c r="M137" s="15" cm="1">
        <f t="array" ref="M137">EVAL($AG$16,B137)</f>
        <v>0.63745712707397917</v>
      </c>
      <c r="N137" s="15" cm="1">
        <f t="array" ref="N137">EVAL($AG$17,B137)</f>
        <v>30.042388145695526</v>
      </c>
      <c r="O137" s="15" cm="1">
        <f t="array" ref="O137">EVAL($AG$18,B137)</f>
        <v>1.3046858240895912E-2</v>
      </c>
      <c r="P137" s="15" cm="1">
        <f t="array" ref="P137">EVAL($AG$19,B137)</f>
        <v>1.3046858240895912E-2</v>
      </c>
      <c r="Q137" s="15" cm="1">
        <f t="array" ref="Q137">EVAL($AH$6,B137)</f>
        <v>0.87961909456235221</v>
      </c>
      <c r="R137" s="15" cm="1">
        <f t="array" ref="R137">EVAL($AH$7,B137)</f>
        <v>0.87961909456235221</v>
      </c>
      <c r="T137" s="15" cm="1">
        <f t="array" ref="T137">EVAL($AH$9,B137)</f>
        <v>0.58995812293519001</v>
      </c>
      <c r="U137" s="15" cm="1">
        <f t="array" ref="U137">EVAL($AH$10,B137)</f>
        <v>0.58995812293519001</v>
      </c>
      <c r="V137" s="15" cm="1">
        <f t="array" ref="V137">EVAL($AH$11,B137)</f>
        <v>0.58995812293519001</v>
      </c>
      <c r="W137" s="15" cm="1">
        <f t="array" ref="W137">EVAL($AH$12,B137)</f>
        <v>11.984561452319998</v>
      </c>
      <c r="X137" s="15" cm="1">
        <f t="array" ref="X137">EVAL($AH$13,B137)</f>
        <v>0.30086404295364422</v>
      </c>
      <c r="Y137" s="15" cm="1">
        <f t="array" ref="Y137">EVAL($AH$14,B137)</f>
        <v>0.30086404295364422</v>
      </c>
    </row>
    <row r="138" spans="1:25" x14ac:dyDescent="0.25">
      <c r="A138" s="20">
        <v>14.5</v>
      </c>
      <c r="B138" s="41">
        <f t="shared" si="2"/>
        <v>45.553093477052002</v>
      </c>
      <c r="C138" s="15" cm="1">
        <f t="array" ref="C138">EVAL($AG$6,B138)</f>
        <v>201.22722868582119</v>
      </c>
      <c r="D138" s="15" cm="1">
        <f t="array" ref="D138">EVAL($AG$7,B138)</f>
        <v>3.1014292489234068</v>
      </c>
      <c r="F138" s="15" cm="1">
        <f t="array" ref="F138">EVAL($AG$9,B138)</f>
        <v>1.026965546210189</v>
      </c>
      <c r="G138" s="15" cm="1">
        <f t="array" ref="G138">EVAL($AG$10,B138)</f>
        <v>1.026965546210189</v>
      </c>
      <c r="H138" s="15" cm="1">
        <f t="array" ref="H138">EVAL($AG$11,B138)</f>
        <v>1.026965546210189</v>
      </c>
      <c r="I138" s="15" cm="1">
        <f t="array" ref="I138">EVAL($AG$12,B138)</f>
        <v>1.0347721920782631</v>
      </c>
      <c r="J138" s="15" cm="1">
        <f t="array" ref="J138">EVAL($AG$13,B138)</f>
        <v>73.475695593462575</v>
      </c>
      <c r="K138" s="15" cm="1">
        <f t="array" ref="K138">EVAL($AG$14,B138)</f>
        <v>0.80472093563679015</v>
      </c>
      <c r="L138" s="15" cm="1">
        <f t="array" ref="L138">EVAL($AG$15,B138)</f>
        <v>45.773496624915097</v>
      </c>
      <c r="M138" s="15" cm="1">
        <f t="array" ref="M138">EVAL($AG$16,B138)</f>
        <v>0.63971007434903859</v>
      </c>
      <c r="N138" s="15" cm="1">
        <f t="array" ref="N138">EVAL($AG$17,B138)</f>
        <v>30.12741731616649</v>
      </c>
      <c r="O138" s="15" cm="1">
        <f t="array" ref="O138">EVAL($AG$18,B138)</f>
        <v>1.2997023270729843E-2</v>
      </c>
      <c r="P138" s="15" cm="1">
        <f t="array" ref="P138">EVAL($AG$19,B138)</f>
        <v>1.2997023270729843E-2</v>
      </c>
      <c r="Q138" s="15" cm="1">
        <f t="array" ref="Q138">EVAL($AH$6,B138)</f>
        <v>0.88213859928374572</v>
      </c>
      <c r="R138" s="15" cm="1">
        <f t="array" ref="R138">EVAL($AH$7,B138)</f>
        <v>0.88213859928374572</v>
      </c>
      <c r="T138" s="15" cm="1">
        <f t="array" ref="T138">EVAL($AH$9,B138)</f>
        <v>0.59155501079292294</v>
      </c>
      <c r="U138" s="15" cm="1">
        <f t="array" ref="U138">EVAL($AH$10,B138)</f>
        <v>0.59155501079292294</v>
      </c>
      <c r="V138" s="15" cm="1">
        <f t="array" ref="V138">EVAL($AH$11,B138)</f>
        <v>0.59155501079292294</v>
      </c>
      <c r="W138" s="15" cm="1">
        <f t="array" ref="W138">EVAL($AH$12,B138)</f>
        <v>12.10779033110305</v>
      </c>
      <c r="X138" s="15" cm="1">
        <f t="array" ref="X138">EVAL($AH$13,B138)</f>
        <v>0.30140671384827633</v>
      </c>
      <c r="Y138" s="15" cm="1">
        <f t="array" ref="Y138">EVAL($AH$14,B138)</f>
        <v>0.30140671384827633</v>
      </c>
    </row>
    <row r="139" spans="1:25" x14ac:dyDescent="0.25">
      <c r="A139" s="20">
        <v>14.6</v>
      </c>
      <c r="B139" s="41">
        <f t="shared" si="2"/>
        <v>45.867252742410976</v>
      </c>
      <c r="C139" s="15" cm="1">
        <f t="array" ref="C139">EVAL($AG$6,B139)</f>
        <v>202.18585659470148</v>
      </c>
      <c r="D139" s="15" cm="1">
        <f t="array" ref="D139">EVAL($AG$7,B139)</f>
        <v>3.1074333047843341</v>
      </c>
      <c r="F139" s="15" cm="1">
        <f t="array" ref="F139">EVAL($AG$9,B139)</f>
        <v>1.0341624944387513</v>
      </c>
      <c r="G139" s="15" cm="1">
        <f t="array" ref="G139">EVAL($AG$10,B139)</f>
        <v>1.0341624944387513</v>
      </c>
      <c r="H139" s="15" cm="1">
        <f t="array" ref="H139">EVAL($AG$11,B139)</f>
        <v>1.0341624944387513</v>
      </c>
      <c r="I139" s="15" cm="1">
        <f t="array" ref="I139">EVAL($AG$12,B139)</f>
        <v>1.0415097655780137</v>
      </c>
      <c r="J139" s="15" cm="1">
        <f t="array" ref="J139">EVAL($AG$13,B139)</f>
        <v>73.855314086359414</v>
      </c>
      <c r="K139" s="15" cm="1">
        <f t="array" ref="K139">EVAL($AG$14,B139)</f>
        <v>0.80950370502179092</v>
      </c>
      <c r="L139" s="15" cm="1">
        <f t="array" ref="L139">EVAL($AG$15,B139)</f>
        <v>45.965139426480114</v>
      </c>
      <c r="M139" s="15" cm="1">
        <f t="array" ref="M139">EVAL($AG$16,B139)</f>
        <v>0.64195541789367006</v>
      </c>
      <c r="N139" s="15" cm="1">
        <f t="array" ref="N139">EVAL($AG$17,B139)</f>
        <v>30.212100270826124</v>
      </c>
      <c r="O139" s="15" cm="1">
        <f t="array" ref="O139">EVAL($AG$18,B139)</f>
        <v>1.2947719209570873E-2</v>
      </c>
      <c r="P139" s="15" cm="1">
        <f t="array" ref="P139">EVAL($AG$19,B139)</f>
        <v>1.2947719209570873E-2</v>
      </c>
      <c r="Q139" s="15" cm="1">
        <f t="array" ref="Q139">EVAL($AH$6,B139)</f>
        <v>0.88464793006027376</v>
      </c>
      <c r="R139" s="15" cm="1">
        <f t="array" ref="R139">EVAL($AH$7,B139)</f>
        <v>0.88464793006027376</v>
      </c>
      <c r="T139" s="15" cm="1">
        <f t="array" ref="T139">EVAL($AH$9,B139)</f>
        <v>0.59314520133064563</v>
      </c>
      <c r="U139" s="15" cm="1">
        <f t="array" ref="U139">EVAL($AH$10,B139)</f>
        <v>0.59314520133064563</v>
      </c>
      <c r="V139" s="15" cm="1">
        <f t="array" ref="V139">EVAL($AH$11,B139)</f>
        <v>0.59314520133064563</v>
      </c>
      <c r="W139" s="15" cm="1">
        <f t="array" ref="W139">EVAL($AH$12,B139)</f>
        <v>12.231426283566684</v>
      </c>
      <c r="X139" s="15" cm="1">
        <f t="array" ref="X139">EVAL($AH$13,B139)</f>
        <v>0.30194662376454268</v>
      </c>
      <c r="Y139" s="15" cm="1">
        <f t="array" ref="Y139">EVAL($AH$14,B139)</f>
        <v>0.30194662376454268</v>
      </c>
    </row>
    <row r="140" spans="1:25" x14ac:dyDescent="0.25">
      <c r="A140" s="20">
        <v>14.7</v>
      </c>
      <c r="B140" s="41">
        <f t="shared" si="2"/>
        <v>46.181412007769957</v>
      </c>
      <c r="C140" s="15" cm="1">
        <f t="array" ref="C140">EVAL($AG$6,B140)</f>
        <v>203.14246102998302</v>
      </c>
      <c r="D140" s="15" cm="1">
        <f t="array" ref="D140">EVAL($AG$7,B140)</f>
        <v>3.1134078814690387</v>
      </c>
      <c r="F140" s="15" cm="1">
        <f t="array" ref="F140">EVAL($AG$9,B140)</f>
        <v>1.0413602363533017</v>
      </c>
      <c r="G140" s="15" cm="1">
        <f t="array" ref="G140">EVAL($AG$10,B140)</f>
        <v>1.0413602363533017</v>
      </c>
      <c r="H140" s="15" cm="1">
        <f t="array" ref="H140">EVAL($AG$11,B140)</f>
        <v>1.0413602363533017</v>
      </c>
      <c r="I140" s="15" cm="1">
        <f t="array" ref="I140">EVAL($AG$12,B140)</f>
        <v>1.0482447691169321</v>
      </c>
      <c r="J140" s="15" cm="1">
        <f t="array" ref="J140">EVAL($AG$13,B140)</f>
        <v>74.234282578958258</v>
      </c>
      <c r="K140" s="15" cm="1">
        <f t="array" ref="K140">EVAL($AG$14,B140)</f>
        <v>0.81428196235064521</v>
      </c>
      <c r="L140" s="15" cm="1">
        <f t="array" ref="L140">EVAL($AG$15,B140)</f>
        <v>46.156268234683644</v>
      </c>
      <c r="M140" s="15" cm="1">
        <f t="array" ref="M140">EVAL($AG$16,B140)</f>
        <v>0.64419323518907479</v>
      </c>
      <c r="N140" s="15" cm="1">
        <f t="array" ref="N140">EVAL($AG$17,B140)</f>
        <v>30.296440776323649</v>
      </c>
      <c r="O140" s="15" cm="1">
        <f t="array" ref="O140">EVAL($AG$18,B140)</f>
        <v>1.289893682284061E-2</v>
      </c>
      <c r="P140" s="15" cm="1">
        <f t="array" ref="P140">EVAL($AG$19,B140)</f>
        <v>1.289893682284061E-2</v>
      </c>
      <c r="Q140" s="15" cm="1">
        <f t="array" ref="Q140">EVAL($AH$6,B140)</f>
        <v>0.88714719724028368</v>
      </c>
      <c r="R140" s="15" cm="1">
        <f t="array" ref="R140">EVAL($AH$7,B140)</f>
        <v>0.88714719724028368</v>
      </c>
      <c r="T140" s="15" cm="1">
        <f t="array" ref="T140">EVAL($AH$9,B140)</f>
        <v>0.59472876822213605</v>
      </c>
      <c r="U140" s="15" cm="1">
        <f t="array" ref="U140">EVAL($AH$10,B140)</f>
        <v>0.59472876822213605</v>
      </c>
      <c r="V140" s="15" cm="1">
        <f t="array" ref="V140">EVAL($AH$11,B140)</f>
        <v>0.59472876822213605</v>
      </c>
      <c r="W140" s="15" cm="1">
        <f t="array" ref="W140">EVAL($AH$12,B140)</f>
        <v>12.355467852432577</v>
      </c>
      <c r="X140" s="15" cm="1">
        <f t="array" ref="X140">EVAL($AH$13,B140)</f>
        <v>0.30248380551701864</v>
      </c>
      <c r="Y140" s="15" cm="1">
        <f t="array" ref="Y140">EVAL($AH$14,B140)</f>
        <v>0.30248380551701864</v>
      </c>
    </row>
    <row r="141" spans="1:25" x14ac:dyDescent="0.25">
      <c r="A141" s="20">
        <v>14.8</v>
      </c>
      <c r="B141" s="41">
        <f t="shared" si="2"/>
        <v>46.495571273128938</v>
      </c>
      <c r="C141" s="15" cm="1">
        <f t="array" ref="C141">EVAL($AG$6,B141)</f>
        <v>204.09705998472509</v>
      </c>
      <c r="D141" s="15" cm="1">
        <f t="array" ref="D141">EVAL($AG$7,B141)</f>
        <v>3.1193533227874668</v>
      </c>
      <c r="F141" s="15" cm="1">
        <f t="array" ref="F141">EVAL($AG$9,B141)</f>
        <v>1.0485587666411675</v>
      </c>
      <c r="G141" s="15" cm="1">
        <f t="array" ref="G141">EVAL($AG$10,B141)</f>
        <v>1.0485587666411675</v>
      </c>
      <c r="H141" s="15" cm="1">
        <f t="array" ref="H141">EVAL($AG$11,B141)</f>
        <v>1.0485587666411675</v>
      </c>
      <c r="I141" s="15" cm="1">
        <f t="array" ref="I141">EVAL($AG$12,B141)</f>
        <v>1.0549772211483206</v>
      </c>
      <c r="J141" s="15" cm="1">
        <f t="array" ref="J141">EVAL($AG$13,B141)</f>
        <v>74.612606594740356</v>
      </c>
      <c r="K141" s="15" cm="1">
        <f t="array" ref="K141">EVAL($AG$14,B141)</f>
        <v>0.81905574253145597</v>
      </c>
      <c r="L141" s="15" cm="1">
        <f t="array" ref="L141">EVAL($AG$15,B141)</f>
        <v>46.346887910666823</v>
      </c>
      <c r="M141" s="15" cm="1">
        <f t="array" ref="M141">EVAL($AG$16,B141)</f>
        <v>0.64642360240606789</v>
      </c>
      <c r="N141" s="15" cm="1">
        <f t="array" ref="N141">EVAL($AG$17,B141)</f>
        <v>30.380442533034511</v>
      </c>
      <c r="O141" s="15" cm="1">
        <f t="array" ref="O141">EVAL($AG$18,B141)</f>
        <v>1.2850667097989994E-2</v>
      </c>
      <c r="P141" s="15" cm="1">
        <f t="array" ref="P141">EVAL($AG$19,B141)</f>
        <v>1.2850667097989994E-2</v>
      </c>
      <c r="Q141" s="15" cm="1">
        <f t="array" ref="Q141">EVAL($AH$6,B141)</f>
        <v>0.88963650923419457</v>
      </c>
      <c r="R141" s="15" cm="1">
        <f t="array" ref="R141">EVAL($AH$7,B141)</f>
        <v>0.88963650923419457</v>
      </c>
      <c r="T141" s="15" cm="1">
        <f t="array" ref="T141">EVAL($AH$9,B141)</f>
        <v>0.59630578383606603</v>
      </c>
      <c r="U141" s="15" cm="1">
        <f t="array" ref="U141">EVAL($AH$10,B141)</f>
        <v>0.59630578383606603</v>
      </c>
      <c r="V141" s="15" cm="1">
        <f t="array" ref="V141">EVAL($AH$11,B141)</f>
        <v>0.59630578383606603</v>
      </c>
      <c r="W141" s="15" cm="1">
        <f t="array" ref="W141">EVAL($AH$12,B141)</f>
        <v>12.479913595533672</v>
      </c>
      <c r="X141" s="15" cm="1">
        <f t="array" ref="X141">EVAL($AH$13,B141)</f>
        <v>0.3030182913102466</v>
      </c>
      <c r="Y141" s="15" cm="1">
        <f t="array" ref="Y141">EVAL($AH$14,B141)</f>
        <v>0.3030182913102466</v>
      </c>
    </row>
    <row r="142" spans="1:25" x14ac:dyDescent="0.25">
      <c r="A142" s="20">
        <v>14.9</v>
      </c>
      <c r="B142" s="41">
        <f t="shared" si="2"/>
        <v>46.809730538487919</v>
      </c>
      <c r="C142" s="15" cm="1">
        <f t="array" ref="C142">EVAL($AG$6,B142)</f>
        <v>205.04967117161866</v>
      </c>
      <c r="D142" s="15" cm="1">
        <f t="array" ref="D142">EVAL($AG$7,B142)</f>
        <v>3.1252699662493364</v>
      </c>
      <c r="F142" s="15" cm="1">
        <f t="array" ref="F142">EVAL($AG$9,B142)</f>
        <v>1.0557580800609045</v>
      </c>
      <c r="G142" s="15" cm="1">
        <f t="array" ref="G142">EVAL($AG$10,B142)</f>
        <v>1.0557580800609045</v>
      </c>
      <c r="H142" s="15" cm="1">
        <f t="array" ref="H142">EVAL($AG$11,B142)</f>
        <v>1.0557580800609045</v>
      </c>
      <c r="I142" s="15" cm="1">
        <f t="array" ref="I142">EVAL($AG$12,B142)</f>
        <v>1.0617071398692153</v>
      </c>
      <c r="J142" s="15" cm="1">
        <f t="array" ref="J142">EVAL($AG$13,B142)</f>
        <v>74.990291573277034</v>
      </c>
      <c r="K142" s="15" cm="1">
        <f t="array" ref="K142">EVAL($AG$14,B142)</f>
        <v>0.82382507996832099</v>
      </c>
      <c r="L142" s="15" cm="1">
        <f t="array" ref="L142">EVAL($AG$15,B142)</f>
        <v>46.537003237103598</v>
      </c>
      <c r="M142" s="15" cm="1">
        <f t="array" ref="M142">EVAL($AG$16,B142)</f>
        <v>0.64864659443593553</v>
      </c>
      <c r="N142" s="15" cm="1">
        <f t="array" ref="N142">EVAL($AG$17,B142)</f>
        <v>30.464109176665723</v>
      </c>
      <c r="O142" s="15" cm="1">
        <f t="array" ref="O142">EVAL($AG$18,B142)</f>
        <v>1.2802901237704415E-2</v>
      </c>
      <c r="P142" s="15" cm="1">
        <f t="array" ref="P142">EVAL($AG$19,B142)</f>
        <v>1.2802901237704415E-2</v>
      </c>
      <c r="Q142" s="15" cm="1">
        <f t="array" ref="Q142">EVAL($AH$6,B142)</f>
        <v>0.89211597256137631</v>
      </c>
      <c r="R142" s="15" cm="1">
        <f t="array" ref="R142">EVAL($AH$7,B142)</f>
        <v>0.89211597256137631</v>
      </c>
      <c r="T142" s="15" cm="1">
        <f t="array" ref="T142">EVAL($AH$9,B142)</f>
        <v>0.59787631926776863</v>
      </c>
      <c r="U142" s="15" cm="1">
        <f t="array" ref="U142">EVAL($AH$10,B142)</f>
        <v>0.59787631926776863</v>
      </c>
      <c r="V142" s="15" cm="1">
        <f t="array" ref="V142">EVAL($AH$11,B142)</f>
        <v>0.59787631926776863</v>
      </c>
      <c r="W142" s="15" cm="1">
        <f t="array" ref="W142">EVAL($AH$12,B142)</f>
        <v>12.604762085556334</v>
      </c>
      <c r="X142" s="15" cm="1">
        <f t="array" ref="X142">EVAL($AH$13,B142)</f>
        <v>0.30355011275411237</v>
      </c>
      <c r="Y142" s="15" cm="1">
        <f t="array" ref="Y142">EVAL($AH$14,B142)</f>
        <v>0.30355011275411237</v>
      </c>
    </row>
    <row r="143" spans="1:25" x14ac:dyDescent="0.25">
      <c r="A143" s="20">
        <v>15</v>
      </c>
      <c r="B143" s="41">
        <f t="shared" si="2"/>
        <v>47.123889803846893</v>
      </c>
      <c r="C143" s="15" cm="1">
        <f t="array" ref="C143">EVAL($AG$6,B143)</f>
        <v>206.00031202920408</v>
      </c>
      <c r="D143" s="15" cm="1">
        <f t="array" ref="D143">EVAL($AG$7,B143)</f>
        <v>3.1311581432209827</v>
      </c>
      <c r="F143" s="15" cm="1">
        <f t="array" ref="F143">EVAL($AG$9,B143)</f>
        <v>1.0629581714408549</v>
      </c>
      <c r="G143" s="15" cm="1">
        <f t="array" ref="G143">EVAL($AG$10,B143)</f>
        <v>1.0629581714408549</v>
      </c>
      <c r="H143" s="15" cm="1">
        <f t="array" ref="H143">EVAL($AG$11,B143)</f>
        <v>1.0629581714408549</v>
      </c>
      <c r="I143" s="15" cm="1">
        <f t="array" ref="I143">EVAL($AG$12,B143)</f>
        <v>1.0684345432256306</v>
      </c>
      <c r="J143" s="15" cm="1">
        <f t="array" ref="J143">EVAL($AG$13,B143)</f>
        <v>75.367342872058018</v>
      </c>
      <c r="K143" s="15" cm="1">
        <f t="array" ref="K143">EVAL($AG$14,B143)</f>
        <v>0.82859000857193221</v>
      </c>
      <c r="L143" s="15" cm="1">
        <f t="array" ref="L143">EVAL($AG$15,B143)</f>
        <v>46.726618919984126</v>
      </c>
      <c r="M143" s="15" cm="1">
        <f t="array" ref="M143">EVAL($AG$16,B143)</f>
        <v>0.65086228492035259</v>
      </c>
      <c r="N143" s="15" cm="1">
        <f t="array" ref="N143">EVAL($AG$17,B143)</f>
        <v>30.54744427981133</v>
      </c>
      <c r="O143" s="15" cm="1">
        <f t="array" ref="O143">EVAL($AG$18,B143)</f>
        <v>1.2755630653360906E-2</v>
      </c>
      <c r="P143" s="15" cm="1">
        <f t="array" ref="P143">EVAL($AG$19,B143)</f>
        <v>1.2755630653360906E-2</v>
      </c>
      <c r="Q143" s="15" cm="1">
        <f t="array" ref="Q143">EVAL($AH$6,B143)</f>
        <v>0.89458569189557369</v>
      </c>
      <c r="R143" s="15" cm="1">
        <f t="array" ref="R143">EVAL($AH$7,B143)</f>
        <v>0.89458569189557369</v>
      </c>
      <c r="T143" s="15" cm="1">
        <f t="array" ref="T143">EVAL($AH$9,B143)</f>
        <v>0.59944044437001787</v>
      </c>
      <c r="U143" s="15" cm="1">
        <f t="array" ref="U143">EVAL($AH$10,B143)</f>
        <v>0.59944044437001787</v>
      </c>
      <c r="V143" s="15" cm="1">
        <f t="array" ref="V143">EVAL($AH$11,B143)</f>
        <v>0.59944044437001787</v>
      </c>
      <c r="W143" s="15" cm="1">
        <f t="array" ref="W143">EVAL($AH$12,B143)</f>
        <v>12.730011909788372</v>
      </c>
      <c r="X143" s="15" cm="1">
        <f t="array" ref="X143">EVAL($AH$13,B143)</f>
        <v>0.30407930087873197</v>
      </c>
      <c r="Y143" s="15" cm="1">
        <f t="array" ref="Y143">EVAL($AH$14,B143)</f>
        <v>0.30407930087873197</v>
      </c>
    </row>
    <row r="144" spans="1:25" x14ac:dyDescent="0.25">
      <c r="A144" s="20">
        <v>15.1</v>
      </c>
      <c r="B144" s="41">
        <f t="shared" si="2"/>
        <v>47.438049069205874</v>
      </c>
      <c r="C144" s="15" cm="1">
        <f t="array" ref="C144">EVAL($AG$6,B144)</f>
        <v>206.94899972791285</v>
      </c>
      <c r="D144" s="15" cm="1">
        <f t="array" ref="D144">EVAL($AG$7,B144)</f>
        <v>3.1370181790773031</v>
      </c>
      <c r="F144" s="15" cm="1">
        <f t="array" ref="F144">EVAL($AG$9,B144)</f>
        <v>1.0701590356777673</v>
      </c>
      <c r="G144" s="15" cm="1">
        <f t="array" ref="G144">EVAL($AG$10,B144)</f>
        <v>1.0701590356777673</v>
      </c>
      <c r="H144" s="15" cm="1">
        <f t="array" ref="H144">EVAL($AG$11,B144)</f>
        <v>1.0701590356777673</v>
      </c>
      <c r="I144" s="15" cm="1">
        <f t="array" ref="I144">EVAL($AG$12,B144)</f>
        <v>1.0751594489176775</v>
      </c>
      <c r="J144" s="15" cm="1">
        <f t="array" ref="J144">EVAL($AG$13,B144)</f>
        <v>75.74376576826883</v>
      </c>
      <c r="K144" s="15" cm="1">
        <f t="array" ref="K144">EVAL($AG$14,B144)</f>
        <v>0.83335056176989963</v>
      </c>
      <c r="L144" s="15" cm="1">
        <f t="array" ref="L144">EVAL($AG$15,B144)</f>
        <v>46.915739590347165</v>
      </c>
      <c r="M144" s="15" cm="1">
        <f t="array" ref="M144">EVAL($AG$16,B144)</f>
        <v>0.65307074628041473</v>
      </c>
      <c r="N144" s="15" cm="1">
        <f t="array" ref="N144">EVAL($AG$17,B144)</f>
        <v>30.630451353460881</v>
      </c>
      <c r="O144" s="15" cm="1">
        <f t="array" ref="O144">EVAL($AG$18,B144)</f>
        <v>1.2708846958726185E-2</v>
      </c>
      <c r="P144" s="15" cm="1">
        <f t="array" ref="P144">EVAL($AG$19,B144)</f>
        <v>1.2708846958726185E-2</v>
      </c>
      <c r="Q144" s="15" cm="1">
        <f t="array" ref="Q144">EVAL($AH$6,B144)</f>
        <v>0.89704577010895847</v>
      </c>
      <c r="R144" s="15" cm="1">
        <f t="array" ref="R144">EVAL($AH$7,B144)</f>
        <v>0.89704577010895847</v>
      </c>
      <c r="T144" s="15" cm="1">
        <f t="array" ref="T144">EVAL($AH$9,B144)</f>
        <v>0.6009982277828696</v>
      </c>
      <c r="U144" s="15" cm="1">
        <f t="array" ref="U144">EVAL($AH$10,B144)</f>
        <v>0.6009982277828696</v>
      </c>
      <c r="V144" s="15" cm="1">
        <f t="array" ref="V144">EVAL($AH$11,B144)</f>
        <v>0.6009982277828696</v>
      </c>
      <c r="W144" s="15" cm="1">
        <f t="array" ref="W144">EVAL($AH$12,B144)</f>
        <v>12.855661669873234</v>
      </c>
      <c r="X144" s="15" cm="1">
        <f t="array" ref="X144">EVAL($AH$13,B144)</f>
        <v>0.3046058861488718</v>
      </c>
      <c r="Y144" s="15" cm="1">
        <f t="array" ref="Y144">EVAL($AH$14,B144)</f>
        <v>0.3046058861488718</v>
      </c>
    </row>
    <row r="145" spans="1:25" x14ac:dyDescent="0.25">
      <c r="A145" s="20">
        <v>15.2</v>
      </c>
      <c r="B145" s="41">
        <f t="shared" si="2"/>
        <v>47.752208334564855</v>
      </c>
      <c r="C145" s="15" cm="1">
        <f t="array" ref="C145">EVAL($AG$6,B145)</f>
        <v>207.89575117593623</v>
      </c>
      <c r="D145" s="15" cm="1">
        <f t="array" ref="D145">EVAL($AG$7,B145)</f>
        <v>3.1428503933489593</v>
      </c>
      <c r="F145" s="15" cm="1">
        <f t="array" ref="F145">EVAL($AG$9,B145)</f>
        <v>1.0773606677354466</v>
      </c>
      <c r="G145" s="15" cm="1">
        <f t="array" ref="G145">EVAL($AG$10,B145)</f>
        <v>1.0773606677354466</v>
      </c>
      <c r="H145" s="15" cm="1">
        <f t="array" ref="H145">EVAL($AG$11,B145)</f>
        <v>1.0773606677354466</v>
      </c>
      <c r="I145" s="15" cm="1">
        <f t="array" ref="I145">EVAL($AG$12,B145)</f>
        <v>1.0818818744045402</v>
      </c>
      <c r="J145" s="15" cm="1">
        <f t="array" ref="J145">EVAL($AG$13,B145)</f>
        <v>76.119565460518032</v>
      </c>
      <c r="K145" s="15" cm="1">
        <f t="array" ref="K145">EVAL($AG$14,B145)</f>
        <v>0.83810677251678412</v>
      </c>
      <c r="L145" s="15" cm="1">
        <f t="array" ref="L145">EVAL($AG$15,B145)</f>
        <v>47.104369805961483</v>
      </c>
      <c r="M145" s="15" cm="1">
        <f t="array" ref="M145">EVAL($AG$16,B145)</f>
        <v>0.65527204974480602</v>
      </c>
      <c r="N145" s="15" cm="1">
        <f t="array" ref="N145">EVAL($AG$17,B145)</f>
        <v>30.713133848461794</v>
      </c>
      <c r="O145" s="15" cm="1">
        <f t="array" ref="O145">EVAL($AG$18,B145)</f>
        <v>1.2662541963885263E-2</v>
      </c>
      <c r="P145" s="15" cm="1">
        <f t="array" ref="P145">EVAL($AG$19,B145)</f>
        <v>1.2662541963885263E-2</v>
      </c>
      <c r="Q145" s="15" cm="1">
        <f t="array" ref="Q145">EVAL($AH$6,B145)</f>
        <v>0.89949630831483895</v>
      </c>
      <c r="R145" s="15" cm="1">
        <f t="array" ref="R145">EVAL($AH$7,B145)</f>
        <v>0.89949630831483895</v>
      </c>
      <c r="T145" s="15" cm="1">
        <f t="array" ref="T145">EVAL($AH$9,B145)</f>
        <v>0.60254973696259273</v>
      </c>
      <c r="U145" s="15" cm="1">
        <f t="array" ref="U145">EVAL($AH$10,B145)</f>
        <v>0.60254973696259273</v>
      </c>
      <c r="V145" s="15" cm="1">
        <f t="array" ref="V145">EVAL($AH$11,B145)</f>
        <v>0.60254973696259273</v>
      </c>
      <c r="W145" s="15" cm="1">
        <f t="array" ref="W145">EVAL($AH$12,B145)</f>
        <v>12.981709981569974</v>
      </c>
      <c r="X145" s="15" cm="1">
        <f t="array" ref="X145">EVAL($AH$13,B145)</f>
        <v>0.30512989847791505</v>
      </c>
      <c r="Y145" s="15" cm="1">
        <f t="array" ref="Y145">EVAL($AH$14,B145)</f>
        <v>0.30512989847791505</v>
      </c>
    </row>
    <row r="146" spans="1:25" x14ac:dyDescent="0.25">
      <c r="A146" s="20">
        <v>15.3</v>
      </c>
      <c r="B146" s="41">
        <f t="shared" si="2"/>
        <v>48.066367599923836</v>
      </c>
      <c r="C146" s="15" cm="1">
        <f t="array" ref="C146">EVAL($AG$6,B146)</f>
        <v>208.84058302492687</v>
      </c>
      <c r="D146" s="15" cm="1">
        <f t="array" ref="D146">EVAL($AG$7,B146)</f>
        <v>3.1486550998650147</v>
      </c>
      <c r="F146" s="15" cm="1">
        <f t="array" ref="F146">EVAL($AG$9,B146)</f>
        <v>1.0845630626434313</v>
      </c>
      <c r="G146" s="15" cm="1">
        <f t="array" ref="G146">EVAL($AG$10,B146)</f>
        <v>1.0845630626434313</v>
      </c>
      <c r="H146" s="15" cm="1">
        <f t="array" ref="H146">EVAL($AG$11,B146)</f>
        <v>1.0845630626434313</v>
      </c>
      <c r="I146" s="15" cm="1">
        <f t="array" ref="I146">EVAL($AG$12,B146)</f>
        <v>1.0886018369093133</v>
      </c>
      <c r="J146" s="15" cm="1">
        <f t="array" ref="J146">EVAL($AG$13,B146)</f>
        <v>76.4947470705157</v>
      </c>
      <c r="K146" s="15" cm="1">
        <f t="array" ref="K146">EVAL($AG$14,B146)</f>
        <v>0.84285867330385555</v>
      </c>
      <c r="L146" s="15" cm="1">
        <f t="array" ref="L146">EVAL($AG$15,B146)</f>
        <v>47.292514052958836</v>
      </c>
      <c r="M146" s="15" cm="1">
        <f t="array" ref="M146">EVAL($AG$16,B146)</f>
        <v>0.65746626537713382</v>
      </c>
      <c r="N146" s="15" cm="1">
        <f t="array" ref="N146">EVAL($AG$17,B146)</f>
        <v>30.795495156937701</v>
      </c>
      <c r="O146" s="15" cm="1">
        <f t="array" ref="O146">EVAL($AG$18,B146)</f>
        <v>1.2616707669390862E-2</v>
      </c>
      <c r="P146" s="15" cm="1">
        <f t="array" ref="P146">EVAL($AG$19,B146)</f>
        <v>1.2616707669390862E-2</v>
      </c>
      <c r="Q146" s="15" cm="1">
        <f t="array" ref="Q146">EVAL($AH$6,B146)</f>
        <v>0.90193740590908245</v>
      </c>
      <c r="R146" s="15" cm="1">
        <f t="array" ref="R146">EVAL($AH$7,B146)</f>
        <v>0.90193740590908245</v>
      </c>
      <c r="T146" s="15" cm="1">
        <f t="array" ref="T146">EVAL($AH$9,B146)</f>
        <v>0.60409503820972155</v>
      </c>
      <c r="U146" s="15" cm="1">
        <f t="array" ref="U146">EVAL($AH$10,B146)</f>
        <v>0.60409503820972155</v>
      </c>
      <c r="V146" s="15" cm="1">
        <f t="array" ref="V146">EVAL($AH$11,B146)</f>
        <v>0.60409503820972155</v>
      </c>
      <c r="W146" s="15" cm="1">
        <f t="array" ref="W146">EVAL($AH$12,B146)</f>
        <v>13.108155474518469</v>
      </c>
      <c r="X146" s="15" cm="1">
        <f t="array" ref="X146">EVAL($AH$13,B146)</f>
        <v>0.30565136724139497</v>
      </c>
      <c r="Y146" s="15" cm="1">
        <f t="array" ref="Y146">EVAL($AH$14,B146)</f>
        <v>0.30565136724139497</v>
      </c>
    </row>
    <row r="147" spans="1:25" x14ac:dyDescent="0.25">
      <c r="A147" s="20">
        <v>15.4</v>
      </c>
      <c r="B147" s="41">
        <f t="shared" si="2"/>
        <v>48.380526865282818</v>
      </c>
      <c r="C147" s="15" cm="1">
        <f t="array" ref="C147">EVAL($AG$6,B147)</f>
        <v>209.78351167554248</v>
      </c>
      <c r="D147" s="15" cm="1">
        <f t="array" ref="D147">EVAL($AG$7,B147)</f>
        <v>3.1544326068911968</v>
      </c>
      <c r="F147" s="15" cm="1">
        <f t="array" ref="F147">EVAL($AG$9,B147)</f>
        <v>1.0917662154957204</v>
      </c>
      <c r="G147" s="15" cm="1">
        <f t="array" ref="G147">EVAL($AG$10,B147)</f>
        <v>1.0917662154957204</v>
      </c>
      <c r="H147" s="15" cm="1">
        <f t="array" ref="H147">EVAL($AG$11,B147)</f>
        <v>1.0917662154957204</v>
      </c>
      <c r="I147" s="15" cm="1">
        <f t="array" ref="I147">EVAL($AG$12,B147)</f>
        <v>1.0953193534237275</v>
      </c>
      <c r="J147" s="15" cm="1">
        <f t="array" ref="J147">EVAL($AG$13,B147)</f>
        <v>76.869315644706404</v>
      </c>
      <c r="K147" s="15" cm="1">
        <f t="array" ref="K147">EVAL($AG$14,B147)</f>
        <v>0.84760629616859851</v>
      </c>
      <c r="L147" s="15" cm="1">
        <f t="array" ref="L147">EVAL($AG$15,B147)</f>
        <v>47.480176747420522</v>
      </c>
      <c r="M147" s="15" cm="1">
        <f t="array" ref="M147">EVAL($AG$16,B147)</f>
        <v>0.65965346210246756</v>
      </c>
      <c r="N147" s="15" cm="1">
        <f t="array" ref="N147">EVAL($AG$17,B147)</f>
        <v>30.877538613664466</v>
      </c>
      <c r="O147" s="15" cm="1">
        <f t="array" ref="O147">EVAL($AG$18,B147)</f>
        <v>1.2571336260623889E-2</v>
      </c>
      <c r="P147" s="15" cm="1">
        <f t="array" ref="P147">EVAL($AG$19,B147)</f>
        <v>1.2571336260623889E-2</v>
      </c>
      <c r="Q147" s="15" cm="1">
        <f t="array" ref="Q147">EVAL($AH$6,B147)</f>
        <v>0.90436916061030437</v>
      </c>
      <c r="R147" s="15" cm="1">
        <f t="array" ref="R147">EVAL($AH$7,B147)</f>
        <v>0.90436916061030437</v>
      </c>
      <c r="T147" s="15" cm="1">
        <f t="array" ref="T147">EVAL($AH$9,B147)</f>
        <v>0.6056341966962705</v>
      </c>
      <c r="U147" s="15" cm="1">
        <f t="array" ref="U147">EVAL($AH$10,B147)</f>
        <v>0.6056341966962705</v>
      </c>
      <c r="V147" s="15" cm="1">
        <f t="array" ref="V147">EVAL($AH$11,B147)</f>
        <v>0.6056341966962705</v>
      </c>
      <c r="W147" s="15" cm="1">
        <f t="array" ref="W147">EVAL($AH$12,B147)</f>
        <v>13.234996792010568</v>
      </c>
      <c r="X147" s="15" cm="1">
        <f t="array" ref="X147">EVAL($AH$13,B147)</f>
        <v>0.30617032129010952</v>
      </c>
      <c r="Y147" s="15" cm="1">
        <f t="array" ref="Y147">EVAL($AH$14,B147)</f>
        <v>0.30617032129010952</v>
      </c>
    </row>
    <row r="148" spans="1:25" x14ac:dyDescent="0.25">
      <c r="A148" s="20">
        <v>15.5</v>
      </c>
      <c r="B148" s="41">
        <f t="shared" si="2"/>
        <v>48.694686130641792</v>
      </c>
      <c r="C148" s="15" cm="1">
        <f t="array" ref="C148">EVAL($AG$6,B148)</f>
        <v>210.72455328283084</v>
      </c>
      <c r="D148" s="15" cm="1">
        <f t="array" ref="D148">EVAL($AG$7,B148)</f>
        <v>3.1601832172639108</v>
      </c>
      <c r="F148" s="15" cm="1">
        <f t="array" ref="F148">EVAL($AG$9,B148)</f>
        <v>1.0989701214495149</v>
      </c>
      <c r="G148" s="15" cm="1">
        <f t="array" ref="G148">EVAL($AG$10,B148)</f>
        <v>1.0989701214495149</v>
      </c>
      <c r="H148" s="15" cm="1">
        <f t="array" ref="H148">EVAL($AG$11,B148)</f>
        <v>1.0989701214495149</v>
      </c>
      <c r="I148" s="15" cm="1">
        <f t="array" ref="I148">EVAL($AG$12,B148)</f>
        <v>1.1020344407127252</v>
      </c>
      <c r="J148" s="15" cm="1">
        <f t="array" ref="J148">EVAL($AG$13,B148)</f>
        <v>77.243276155855654</v>
      </c>
      <c r="K148" s="15" cm="1">
        <f t="array" ref="K148">EVAL($AG$14,B148)</f>
        <v>0.85234967270394268</v>
      </c>
      <c r="L148" s="15" cm="1">
        <f t="array" ref="L148">EVAL($AG$15,B148)</f>
        <v>47.66736223691808</v>
      </c>
      <c r="M148" s="15" cm="1">
        <f t="array" ref="M148">EVAL($AG$16,B148)</f>
        <v>0.66183370773309746</v>
      </c>
      <c r="N148" s="15" cm="1">
        <f t="array" ref="N148">EVAL($AG$17,B148)</f>
        <v>30.959267497404937</v>
      </c>
      <c r="O148" s="15" cm="1">
        <f t="array" ref="O148">EVAL($AG$18,B148)</f>
        <v>1.2526420102356505E-2</v>
      </c>
      <c r="P148" s="15" cm="1">
        <f t="array" ref="P148">EVAL($AG$19,B148)</f>
        <v>1.2526420102356505E-2</v>
      </c>
      <c r="Q148" s="15" cm="1">
        <f t="array" ref="Q148">EVAL($AH$6,B148)</f>
        <v>0.90679166849885429</v>
      </c>
      <c r="R148" s="15" cm="1">
        <f t="array" ref="R148">EVAL($AH$7,B148)</f>
        <v>0.90679166849885429</v>
      </c>
      <c r="T148" s="15" cm="1">
        <f t="array" ref="T148">EVAL($AH$9,B148)</f>
        <v>0.60716727649212876</v>
      </c>
      <c r="U148" s="15" cm="1">
        <f t="array" ref="U148">EVAL($AH$10,B148)</f>
        <v>0.60716727649212876</v>
      </c>
      <c r="V148" s="15" cm="1">
        <f t="array" ref="V148">EVAL($AH$11,B148)</f>
        <v>0.60716727649212876</v>
      </c>
      <c r="W148" s="15" cm="1">
        <f t="array" ref="W148">EVAL($AH$12,B148)</f>
        <v>13.362232590765865</v>
      </c>
      <c r="X148" s="15" cm="1">
        <f t="array" ref="X148">EVAL($AH$13,B148)</f>
        <v>0.30668678896283297</v>
      </c>
      <c r="Y148" s="15" cm="1">
        <f t="array" ref="Y148">EVAL($AH$14,B148)</f>
        <v>0.30668678896283297</v>
      </c>
    </row>
    <row r="149" spans="1:25" x14ac:dyDescent="0.25">
      <c r="A149" s="20">
        <v>15.6</v>
      </c>
      <c r="B149" s="41">
        <f t="shared" si="2"/>
        <v>49.008845396000773</v>
      </c>
      <c r="C149" s="15" cm="1">
        <f t="array" ref="C149">EVAL($AG$6,B149)</f>
        <v>211.66372376146853</v>
      </c>
      <c r="D149" s="15" cm="1">
        <f t="array" ref="D149">EVAL($AG$7,B149)</f>
        <v>3.1659072285202092</v>
      </c>
      <c r="F149" s="15" cm="1">
        <f t="array" ref="F149">EVAL($AG$9,B149)</f>
        <v>1.1061747757240057</v>
      </c>
      <c r="G149" s="15" cm="1">
        <f t="array" ref="G149">EVAL($AG$10,B149)</f>
        <v>1.1061747757240057</v>
      </c>
      <c r="H149" s="15" cm="1">
        <f t="array" ref="H149">EVAL($AG$11,B149)</f>
        <v>1.1061747757240057</v>
      </c>
      <c r="I149" s="15" cm="1">
        <f t="array" ref="I149">EVAL($AG$12,B149)</f>
        <v>1.1087471153189399</v>
      </c>
      <c r="J149" s="15" cm="1">
        <f t="array" ref="J149">EVAL($AG$13,B149)</f>
        <v>77.616633504594049</v>
      </c>
      <c r="K149" s="15" cm="1">
        <f t="array" ref="K149">EVAL($AG$14,B149)</f>
        <v>0.85708883406726821</v>
      </c>
      <c r="L149" s="15" cm="1">
        <f t="array" ref="L149">EVAL($AG$15,B149)</f>
        <v>47.854074802010906</v>
      </c>
      <c r="M149" s="15" cm="1">
        <f t="array" ref="M149">EVAL($AG$16,B149)</f>
        <v>0.66400706899355577</v>
      </c>
      <c r="N149" s="15" cm="1">
        <f t="array" ref="N149">EVAL($AG$17,B149)</f>
        <v>31.040685032204529</v>
      </c>
      <c r="O149" s="15" cm="1">
        <f t="array" ref="O149">EVAL($AG$18,B149)</f>
        <v>1.2481951733508776E-2</v>
      </c>
      <c r="P149" s="15" cm="1">
        <f t="array" ref="P149">EVAL($AG$19,B149)</f>
        <v>1.2481951733508776E-2</v>
      </c>
      <c r="Q149" s="15" cm="1">
        <f t="array" ref="Q149">EVAL($AH$6,B149)</f>
        <v>0.90920502405465631</v>
      </c>
      <c r="R149" s="15" cm="1">
        <f t="array" ref="R149">EVAL($AH$7,B149)</f>
        <v>0.90920502405465631</v>
      </c>
      <c r="T149" s="15" cm="1">
        <f t="array" ref="T149">EVAL($AH$9,B149)</f>
        <v>0.60869434059067706</v>
      </c>
      <c r="U149" s="15" cm="1">
        <f t="array" ref="U149">EVAL($AH$10,B149)</f>
        <v>0.60869434059067706</v>
      </c>
      <c r="V149" s="15" cm="1">
        <f t="array" ref="V149">EVAL($AH$11,B149)</f>
        <v>0.60869434059067706</v>
      </c>
      <c r="W149" s="15" cm="1">
        <f t="array" ref="W149">EVAL($AH$12,B149)</f>
        <v>13.489861540713061</v>
      </c>
      <c r="X149" s="15" cm="1">
        <f t="array" ref="X149">EVAL($AH$13,B149)</f>
        <v>0.30720079809864037</v>
      </c>
      <c r="Y149" s="15" cm="1">
        <f t="array" ref="Y149">EVAL($AH$14,B149)</f>
        <v>0.30720079809864037</v>
      </c>
    </row>
    <row r="150" spans="1:25" x14ac:dyDescent="0.25">
      <c r="A150" s="20">
        <v>15.7</v>
      </c>
      <c r="B150" s="41">
        <f t="shared" si="2"/>
        <v>49.323004661359747</v>
      </c>
      <c r="C150" s="15" cm="1">
        <f t="array" ref="C150">EVAL($AG$6,B150)</f>
        <v>212.60103879085341</v>
      </c>
      <c r="D150" s="15" cm="1">
        <f t="array" ref="D150">EVAL($AG$7,B150)</f>
        <v>3.1716049330238123</v>
      </c>
      <c r="F150" s="15" cm="1">
        <f t="array" ref="F150">EVAL($AG$9,B150)</f>
        <v>1.1133801735991851</v>
      </c>
      <c r="G150" s="15" cm="1">
        <f t="array" ref="G150">EVAL($AG$10,B150)</f>
        <v>1.1133801735991851</v>
      </c>
      <c r="H150" s="15" cm="1">
        <f t="array" ref="H150">EVAL($AG$11,B150)</f>
        <v>1.1133801735991851</v>
      </c>
      <c r="I150" s="15" cm="1">
        <f t="array" ref="I150">EVAL($AG$12,B150)</f>
        <v>1.1154573935670464</v>
      </c>
      <c r="J150" s="15" cm="1">
        <f t="array" ref="J150">EVAL($AG$13,B150)</f>
        <v>77.989392520918997</v>
      </c>
      <c r="K150" s="15" cm="1">
        <f t="array" ref="K150">EVAL($AG$14,B150)</f>
        <v>0.86182381098915595</v>
      </c>
      <c r="L150" s="15" cm="1">
        <f t="array" ref="L150">EVAL($AG$15,B150)</f>
        <v>48.040318657701484</v>
      </c>
      <c r="M150" s="15" cm="1">
        <f t="array" ref="M150">EVAL($AG$16,B150)</f>
        <v>0.66617361154491339</v>
      </c>
      <c r="N150" s="15" cm="1">
        <f t="array" ref="N150">EVAL($AG$17,B150)</f>
        <v>31.121794388648585</v>
      </c>
      <c r="O150" s="15" cm="1">
        <f t="array" ref="O150">EVAL($AG$18,B150)</f>
        <v>1.2437923862091202E-2</v>
      </c>
      <c r="P150" s="15" cm="1">
        <f t="array" ref="P150">EVAL($AG$19,B150)</f>
        <v>1.2437923862091202E-2</v>
      </c>
      <c r="Q150" s="15" cm="1">
        <f t="array" ref="Q150">EVAL($AH$6,B150)</f>
        <v>0.91160932019393703</v>
      </c>
      <c r="R150" s="15" cm="1">
        <f t="array" ref="R150">EVAL($AH$7,B150)</f>
        <v>0.91160932019393703</v>
      </c>
      <c r="T150" s="15" cm="1">
        <f t="array" ref="T150">EVAL($AH$9,B150)</f>
        <v>0.61021545093364582</v>
      </c>
      <c r="U150" s="15" cm="1">
        <f t="array" ref="U150">EVAL($AH$10,B150)</f>
        <v>0.61021545093364582</v>
      </c>
      <c r="V150" s="15" cm="1">
        <f t="array" ref="V150">EVAL($AH$11,B150)</f>
        <v>0.61021545093364582</v>
      </c>
      <c r="W150" s="15" cm="1">
        <f t="array" ref="W150">EVAL($AH$12,B150)</f>
        <v>13.617882324776076</v>
      </c>
      <c r="X150" s="15" cm="1">
        <f t="array" ref="X150">EVAL($AH$13,B150)</f>
        <v>0.30771237604885798</v>
      </c>
      <c r="Y150" s="15" cm="1">
        <f t="array" ref="Y150">EVAL($AH$14,B150)</f>
        <v>0.30771237604885798</v>
      </c>
    </row>
    <row r="151" spans="1:25" x14ac:dyDescent="0.25">
      <c r="A151" s="20">
        <v>15.8</v>
      </c>
      <c r="B151" s="41">
        <f t="shared" si="2"/>
        <v>49.637163926718735</v>
      </c>
      <c r="C151" s="15" cm="1">
        <f t="array" ref="C151">EVAL($AG$6,B151)</f>
        <v>213.53651382005899</v>
      </c>
      <c r="D151" s="15" cm="1">
        <f t="array" ref="D151">EVAL($AG$7,B151)</f>
        <v>3.1772766180873795</v>
      </c>
      <c r="F151" s="15" cm="1">
        <f t="array" ref="F151">EVAL($AG$9,B151)</f>
        <v>1.1205863104146998</v>
      </c>
      <c r="G151" s="15" cm="1">
        <f t="array" ref="G151">EVAL($AG$10,B151)</f>
        <v>1.1205863104146998</v>
      </c>
      <c r="H151" s="15" cm="1">
        <f t="array" ref="H151">EVAL($AG$11,B151)</f>
        <v>1.1205863104146998</v>
      </c>
      <c r="I151" s="15" cm="1">
        <f t="array" ref="I151">EVAL($AG$12,B151)</f>
        <v>1.1221652915680103</v>
      </c>
      <c r="J151" s="15" cm="1">
        <f t="array" ref="J151">EVAL($AG$13,B151)</f>
        <v>78.361557965656118</v>
      </c>
      <c r="K151" s="15" cm="1">
        <f t="array" ref="K151">EVAL($AG$14,B151)</f>
        <v>0.86655463378192288</v>
      </c>
      <c r="L151" s="15" cm="1">
        <f t="array" ref="L151">EVAL($AG$15,B151)</f>
        <v>48.226097954850367</v>
      </c>
      <c r="M151" s="15" cm="1">
        <f t="array" ref="M151">EVAL($AG$16,B151)</f>
        <v>0.6683334000083887</v>
      </c>
      <c r="N151" s="15" cm="1">
        <f t="array" ref="N151">EVAL($AG$17,B151)</f>
        <v>31.202598685083178</v>
      </c>
      <c r="O151" s="15" cm="1">
        <f t="array" ref="O151">EVAL($AG$18,B151)</f>
        <v>1.2394329360325102E-2</v>
      </c>
      <c r="P151" s="15" cm="1">
        <f t="array" ref="P151">EVAL($AG$19,B151)</f>
        <v>1.2394329360325102E-2</v>
      </c>
      <c r="Q151" s="15" cm="1">
        <f t="array" ref="Q151">EVAL($AH$6,B151)</f>
        <v>0.9140046483048847</v>
      </c>
      <c r="R151" s="15" cm="1">
        <f t="array" ref="R151">EVAL($AH$7,B151)</f>
        <v>0.9140046483048847</v>
      </c>
      <c r="T151" s="15" cm="1">
        <f t="array" ref="T151">EVAL($AH$9,B151)</f>
        <v>0.61173066843524904</v>
      </c>
      <c r="U151" s="15" cm="1">
        <f t="array" ref="U151">EVAL($AH$10,B151)</f>
        <v>0.61173066843524904</v>
      </c>
      <c r="V151" s="15" cm="1">
        <f t="array" ref="V151">EVAL($AH$11,B151)</f>
        <v>0.61173066843524904</v>
      </c>
      <c r="W151" s="15" cm="1">
        <f t="array" ref="W151">EVAL($AH$12,B151)</f>
        <v>13.746293638665065</v>
      </c>
      <c r="X151" s="15" cm="1">
        <f t="array" ref="X151">EVAL($AH$13,B151)</f>
        <v>0.30822154968865445</v>
      </c>
      <c r="Y151" s="15" cm="1">
        <f t="array" ref="Y151">EVAL($AH$14,B151)</f>
        <v>0.30822154968865445</v>
      </c>
    </row>
    <row r="152" spans="1:25" x14ac:dyDescent="0.25">
      <c r="A152" s="20">
        <v>15.9</v>
      </c>
      <c r="B152" s="41">
        <f t="shared" si="2"/>
        <v>49.951323192077709</v>
      </c>
      <c r="C152" s="15" cm="1">
        <f t="array" ref="C152">EVAL($AG$6,B152)</f>
        <v>214.47016407265122</v>
      </c>
      <c r="D152" s="15" cm="1">
        <f t="array" ref="D152">EVAL($AG$7,B152)</f>
        <v>3.1829225660911038</v>
      </c>
      <c r="F152" s="15" cm="1">
        <f t="array" ref="F152">EVAL($AG$9,B152)</f>
        <v>1.1277931815687114</v>
      </c>
      <c r="G152" s="15" cm="1">
        <f t="array" ref="G152">EVAL($AG$10,B152)</f>
        <v>1.1277931815687114</v>
      </c>
      <c r="H152" s="15" cm="1">
        <f t="array" ref="H152">EVAL($AG$11,B152)</f>
        <v>1.1277931815687114</v>
      </c>
      <c r="I152" s="15" cm="1">
        <f t="array" ref="I152">EVAL($AG$12,B152)</f>
        <v>1.1288708252232063</v>
      </c>
      <c r="J152" s="15" cm="1">
        <f t="array" ref="J152">EVAL($AG$13,B152)</f>
        <v>78.73313453188041</v>
      </c>
      <c r="K152" s="15" cm="1">
        <f t="array" ref="K152">EVAL($AG$14,B152)</f>
        <v>0.87128133234791405</v>
      </c>
      <c r="L152" s="15" cm="1">
        <f t="array" ref="L152">EVAL($AG$15,B152)</f>
        <v>48.411416781551154</v>
      </c>
      <c r="M152" s="15" cm="1">
        <f t="array" ref="M152">EVAL($AG$16,B152)</f>
        <v>0.67048649798827742</v>
      </c>
      <c r="N152" s="15" cm="1">
        <f t="array" ref="N152">EVAL($AG$17,B152)</f>
        <v>31.283100988800246</v>
      </c>
      <c r="O152" s="15" cm="1">
        <f t="array" ref="O152">EVAL($AG$18,B152)</f>
        <v>1.2351161259933855E-2</v>
      </c>
      <c r="P152" s="15" cm="1">
        <f t="array" ref="P152">EVAL($AG$19,B152)</f>
        <v>1.2351161259933855E-2</v>
      </c>
      <c r="Q152" s="15" cm="1">
        <f t="array" ref="Q152">EVAL($AH$6,B152)</f>
        <v>0.91639109828227017</v>
      </c>
      <c r="R152" s="15" cm="1">
        <f t="array" ref="R152">EVAL($AH$7,B152)</f>
        <v>0.91639109828227017</v>
      </c>
      <c r="T152" s="15" cm="1">
        <f t="array" ref="T152">EVAL($AH$9,B152)</f>
        <v>0.61324005300560791</v>
      </c>
      <c r="U152" s="15" cm="1">
        <f t="array" ref="U152">EVAL($AH$10,B152)</f>
        <v>0.61324005300560791</v>
      </c>
      <c r="V152" s="15" cm="1">
        <f t="array" ref="V152">EVAL($AH$11,B152)</f>
        <v>0.61324005300560791</v>
      </c>
      <c r="W152" s="15" cm="1">
        <f t="array" ref="W152">EVAL($AH$12,B152)</f>
        <v>13.875094190671829</v>
      </c>
      <c r="X152" s="15" cm="1">
        <f t="array" ref="X152">EVAL($AH$13,B152)</f>
        <v>0.30872834542828381</v>
      </c>
      <c r="Y152" s="15" cm="1">
        <f t="array" ref="Y152">EVAL($AH$14,B152)</f>
        <v>0.30872834542828381</v>
      </c>
    </row>
    <row r="153" spans="1:25" x14ac:dyDescent="0.25">
      <c r="A153" s="20">
        <v>16</v>
      </c>
      <c r="B153" s="41">
        <f t="shared" si="2"/>
        <v>50.26548245743669</v>
      </c>
      <c r="C153" s="15" cm="1">
        <f t="array" ref="C153">EVAL($AG$6,B153)</f>
        <v>215.40200455137725</v>
      </c>
      <c r="D153" s="15" cm="1">
        <f t="array" ref="D153">EVAL($AG$7,B153)</f>
        <v>3.1885430545978224</v>
      </c>
      <c r="F153" s="15" cm="1">
        <f t="array" ref="F153">EVAL($AG$9,B153)</f>
        <v>1.1350007825168049</v>
      </c>
      <c r="G153" s="15" cm="1">
        <f t="array" ref="G153">EVAL($AG$10,B153)</f>
        <v>1.1350007825168049</v>
      </c>
      <c r="H153" s="15" cm="1">
        <f t="array" ref="H153">EVAL($AG$11,B153)</f>
        <v>1.1350007825168049</v>
      </c>
      <c r="I153" s="15" cm="1">
        <f t="array" ref="I153">EVAL($AG$12,B153)</f>
        <v>1.1355740102284566</v>
      </c>
      <c r="J153" s="15" cm="1">
        <f t="array" ref="J153">EVAL($AG$13,B153)</f>
        <v>79.10412684630063</v>
      </c>
      <c r="K153" s="15" cm="1">
        <f t="array" ref="K153">EVAL($AG$14,B153)</f>
        <v>0.87600393618759664</v>
      </c>
      <c r="L153" s="15" cm="1">
        <f t="array" ref="L153">EVAL($AG$15,B153)</f>
        <v>48.5962791644681</v>
      </c>
      <c r="M153" s="15" cm="1">
        <f t="array" ref="M153">EVAL($AG$16,B153)</f>
        <v>0.67263296809424478</v>
      </c>
      <c r="N153" s="15" cm="1">
        <f t="array" ref="N153">EVAL($AG$17,B153)</f>
        <v>31.363304317188806</v>
      </c>
      <c r="O153" s="15" cm="1">
        <f t="array" ref="O153">EVAL($AG$18,B153)</f>
        <v>1.2308412747597615E-2</v>
      </c>
      <c r="P153" s="15" cm="1">
        <f t="array" ref="P153">EVAL($AG$19,B153)</f>
        <v>1.2308412747597615E-2</v>
      </c>
      <c r="Q153" s="15" cm="1">
        <f t="array" ref="Q153">EVAL($AH$6,B153)</f>
        <v>0.91876875856107432</v>
      </c>
      <c r="R153" s="15" cm="1">
        <f t="array" ref="R153">EVAL($AH$7,B153)</f>
        <v>0.91876875856107432</v>
      </c>
      <c r="T153" s="15" cm="1">
        <f t="array" ref="T153">EVAL($AH$9,B153)</f>
        <v>0.61474366357350485</v>
      </c>
      <c r="U153" s="15" cm="1">
        <f t="array" ref="U153">EVAL($AH$10,B153)</f>
        <v>0.61474366357350485</v>
      </c>
      <c r="V153" s="15" cm="1">
        <f t="array" ref="V153">EVAL($AH$11,B153)</f>
        <v>0.61474366357350485</v>
      </c>
      <c r="W153" s="15" cm="1">
        <f t="array" ref="W153">EVAL($AH$12,B153)</f>
        <v>14.004282701470121</v>
      </c>
      <c r="X153" s="15" cm="1">
        <f t="array" ref="X153">EVAL($AH$13,B153)</f>
        <v>0.30923278922399511</v>
      </c>
      <c r="Y153" s="15" cm="1">
        <f t="array" ref="Y153">EVAL($AH$14,B153)</f>
        <v>0.30923278922399511</v>
      </c>
    </row>
    <row r="154" spans="1:25" x14ac:dyDescent="0.25">
      <c r="A154" s="20">
        <v>16.100000000000001</v>
      </c>
      <c r="B154" s="41">
        <f t="shared" si="2"/>
        <v>50.579641722795671</v>
      </c>
      <c r="C154" s="15" cm="1">
        <f t="array" ref="C154">EVAL($AG$6,B154)</f>
        <v>216.33205004272753</v>
      </c>
      <c r="D154" s="15" cm="1">
        <f t="array" ref="D154">EVAL($AG$7,B154)</f>
        <v>3.1941383564647263</v>
      </c>
      <c r="F154" s="15" cm="1">
        <f t="array" ref="F154">EVAL($AG$9,B154)</f>
        <v>1.1422091087709196</v>
      </c>
      <c r="G154" s="15" cm="1">
        <f t="array" ref="G154">EVAL($AG$10,B154)</f>
        <v>1.1422091087709196</v>
      </c>
      <c r="H154" s="15" cm="1">
        <f t="array" ref="H154">EVAL($AG$11,B154)</f>
        <v>1.1422091087709196</v>
      </c>
      <c r="I154" s="15" cm="1">
        <f t="array" ref="I154">EVAL($AG$12,B154)</f>
        <v>1.1422748620779521</v>
      </c>
      <c r="J154" s="15" cm="1">
        <f t="array" ref="J154">EVAL($AG$13,B154)</f>
        <v>79.474539470606359</v>
      </c>
      <c r="K154" s="15" cm="1">
        <f t="array" ref="K154">EVAL($AG$14,B154)</f>
        <v>0.88072247440743934</v>
      </c>
      <c r="L154" s="15" cm="1">
        <f t="array" ref="L154">EVAL($AG$15,B154)</f>
        <v>48.780689070137015</v>
      </c>
      <c r="M154" s="15" cm="1">
        <f t="array" ref="M154">EVAL($AG$16,B154)</f>
        <v>0.67477287196298885</v>
      </c>
      <c r="N154" s="15" cm="1">
        <f t="array" ref="N154">EVAL($AG$17,B154)</f>
        <v>31.443211638853132</v>
      </c>
      <c r="O154" s="15" cm="1">
        <f t="array" ref="O154">EVAL($AG$18,B154)</f>
        <v>1.2266077160565081E-2</v>
      </c>
      <c r="P154" s="15" cm="1">
        <f t="array" ref="P154">EVAL($AG$19,B154)</f>
        <v>1.2266077160565081E-2</v>
      </c>
      <c r="Q154" s="15" cm="1">
        <f t="array" ref="Q154">EVAL($AH$6,B154)</f>
        <v>0.92113771614915541</v>
      </c>
      <c r="R154" s="15" cm="1">
        <f t="array" ref="R154">EVAL($AH$7,B154)</f>
        <v>0.92113771614915541</v>
      </c>
      <c r="T154" s="15" cm="1">
        <f t="array" ref="T154">EVAL($AH$9,B154)</f>
        <v>0.61624155810847836</v>
      </c>
      <c r="U154" s="15" cm="1">
        <f t="array" ref="U154">EVAL($AH$10,B154)</f>
        <v>0.61624155810847836</v>
      </c>
      <c r="V154" s="15" cm="1">
        <f t="array" ref="V154">EVAL($AH$11,B154)</f>
        <v>0.61624155810847836</v>
      </c>
      <c r="W154" s="15" cm="1">
        <f t="array" ref="W154">EVAL($AH$12,B154)</f>
        <v>14.133857903920138</v>
      </c>
      <c r="X154" s="15" cm="1">
        <f t="array" ref="X154">EVAL($AH$13,B154)</f>
        <v>0.30973490658861985</v>
      </c>
      <c r="Y154" s="15" cm="1">
        <f t="array" ref="Y154">EVAL($AH$14,B154)</f>
        <v>0.30973490658861985</v>
      </c>
    </row>
    <row r="155" spans="1:25" x14ac:dyDescent="0.25">
      <c r="A155" s="20">
        <v>16.2</v>
      </c>
      <c r="B155" s="41">
        <f t="shared" si="2"/>
        <v>50.893800988154645</v>
      </c>
      <c r="C155" s="15" cm="1">
        <f t="array" ref="C155">EVAL($AG$6,B155)</f>
        <v>217.26031512137493</v>
      </c>
      <c r="D155" s="15" cm="1">
        <f t="array" ref="D155">EVAL($AG$7,B155)</f>
        <v>3.1997087399518058</v>
      </c>
      <c r="F155" s="15" cm="1">
        <f t="array" ref="F155">EVAL($AG$9,B155)</f>
        <v>1.1494181558982985</v>
      </c>
      <c r="G155" s="15" cm="1">
        <f t="array" ref="G155">EVAL($AG$10,B155)</f>
        <v>1.1494181558982985</v>
      </c>
      <c r="H155" s="15" cm="1">
        <f t="array" ref="H155">EVAL($AG$11,B155)</f>
        <v>1.1494181558982985</v>
      </c>
      <c r="I155" s="15" cm="1">
        <f t="array" ref="I155">EVAL($AG$12,B155)</f>
        <v>1.1489733960680784</v>
      </c>
      <c r="J155" s="15" cm="1">
        <f t="array" ref="J155">EVAL($AG$13,B155)</f>
        <v>79.844376902779274</v>
      </c>
      <c r="K155" s="15" cm="1">
        <f t="array" ref="K155">EVAL($AG$14,B155)</f>
        <v>0.88543697572758073</v>
      </c>
      <c r="L155" s="15" cm="1">
        <f t="array" ref="L155">EVAL($AG$15,B155)</f>
        <v>48.964650406230412</v>
      </c>
      <c r="M155" s="15" cm="1">
        <f t="array" ref="M155">EVAL($AG$16,B155)</f>
        <v>0.67690627027929939</v>
      </c>
      <c r="N155" s="15" cm="1">
        <f t="array" ref="N155">EVAL($AG$17,B155)</f>
        <v>31.522825874698988</v>
      </c>
      <c r="O155" s="15" cm="1">
        <f t="array" ref="O155">EVAL($AG$18,B155)</f>
        <v>1.222414798241594E-2</v>
      </c>
      <c r="P155" s="15" cm="1">
        <f t="array" ref="P155">EVAL($AG$19,B155)</f>
        <v>1.222414798241594E-2</v>
      </c>
      <c r="Q155" s="15" cm="1">
        <f t="array" ref="Q155">EVAL($AH$6,B155)</f>
        <v>0.92349805665898099</v>
      </c>
      <c r="R155" s="15" cm="1">
        <f t="array" ref="R155">EVAL($AH$7,B155)</f>
        <v>0.92349805665898099</v>
      </c>
      <c r="T155" s="15" cm="1">
        <f t="array" ref="T155">EVAL($AH$9,B155)</f>
        <v>0.61773379364228731</v>
      </c>
      <c r="U155" s="15" cm="1">
        <f t="array" ref="U155">EVAL($AH$10,B155)</f>
        <v>0.61773379364228731</v>
      </c>
      <c r="V155" s="15" cm="1">
        <f t="array" ref="V155">EVAL($AH$11,B155)</f>
        <v>0.61773379364228731</v>
      </c>
      <c r="W155" s="15" cm="1">
        <f t="array" ref="W155">EVAL($AH$12,B155)</f>
        <v>14.263818542877347</v>
      </c>
      <c r="X155" s="15" cm="1">
        <f t="array" ref="X155">EVAL($AH$13,B155)</f>
        <v>0.31023472260184737</v>
      </c>
      <c r="Y155" s="15" cm="1">
        <f t="array" ref="Y155">EVAL($AH$14,B155)</f>
        <v>0.31023472260184737</v>
      </c>
    </row>
    <row r="156" spans="1:25" x14ac:dyDescent="0.25">
      <c r="A156" s="20">
        <v>16.3</v>
      </c>
      <c r="B156" s="41">
        <f t="shared" si="2"/>
        <v>51.207960253513633</v>
      </c>
      <c r="C156" s="15" cm="1">
        <f t="array" ref="C156">EVAL($AG$6,B156)</f>
        <v>218.18681415449817</v>
      </c>
      <c r="D156" s="15" cm="1">
        <f t="array" ref="D156">EVAL($AG$7,B156)</f>
        <v>3.2052544688271487</v>
      </c>
      <c r="F156" s="15" cm="1">
        <f t="array" ref="F156">EVAL($AG$9,B156)</f>
        <v>1.1566279195204796</v>
      </c>
      <c r="G156" s="15" cm="1">
        <f t="array" ref="G156">EVAL($AG$10,B156)</f>
        <v>1.1566279195204796</v>
      </c>
      <c r="H156" s="15" cm="1">
        <f t="array" ref="H156">EVAL($AG$11,B156)</f>
        <v>1.1566279195204796</v>
      </c>
      <c r="I156" s="15" cm="1">
        <f t="array" ref="I156">EVAL($AG$12,B156)</f>
        <v>1.1556696273011517</v>
      </c>
      <c r="J156" s="15" cm="1">
        <f t="array" ref="J156">EVAL($AG$13,B156)</f>
        <v>80.213643578371034</v>
      </c>
      <c r="K156" s="15" cm="1">
        <f t="array" ref="K156">EVAL($AG$14,B156)</f>
        <v>0.89014746848932058</v>
      </c>
      <c r="L156" s="15" cm="1">
        <f t="array" ref="L156">EVAL($AG$15,B156)</f>
        <v>49.148167022788783</v>
      </c>
      <c r="M156" s="15" cm="1">
        <f t="array" ref="M156">EVAL($AG$16,B156)</f>
        <v>0.67903322279653966</v>
      </c>
      <c r="N156" s="15" cm="1">
        <f t="array" ref="N156">EVAL($AG$17,B156)</f>
        <v>31.602149898989364</v>
      </c>
      <c r="O156" s="15" cm="1">
        <f t="array" ref="O156">EVAL($AG$18,B156)</f>
        <v>1.2182618838967749E-2</v>
      </c>
      <c r="P156" s="15" cm="1">
        <f t="array" ref="P156">EVAL($AG$19,B156)</f>
        <v>1.2182618838967749E-2</v>
      </c>
      <c r="Q156" s="15" cm="1">
        <f t="array" ref="Q156">EVAL($AH$6,B156)</f>
        <v>0.92584986433847116</v>
      </c>
      <c r="R156" s="15" cm="1">
        <f t="array" ref="R156">EVAL($AH$7,B156)</f>
        <v>0.92584986433847116</v>
      </c>
      <c r="T156" s="15" cm="1">
        <f t="array" ref="T156">EVAL($AH$9,B156)</f>
        <v>0.61922042628976803</v>
      </c>
      <c r="U156" s="15" cm="1">
        <f t="array" ref="U156">EVAL($AH$10,B156)</f>
        <v>0.61922042628976803</v>
      </c>
      <c r="V156" s="15" cm="1">
        <f t="array" ref="V156">EVAL($AH$11,B156)</f>
        <v>0.61922042628976803</v>
      </c>
      <c r="W156" s="15" cm="1">
        <f t="array" ref="W156">EVAL($AH$12,B156)</f>
        <v>14.394163375005578</v>
      </c>
      <c r="X156" s="15" cm="1">
        <f t="array" ref="X156">EVAL($AH$13,B156)</f>
        <v>0.31073226192020181</v>
      </c>
      <c r="Y156" s="15" cm="1">
        <f t="array" ref="Y156">EVAL($AH$14,B156)</f>
        <v>0.31073226192020181</v>
      </c>
    </row>
    <row r="157" spans="1:25" x14ac:dyDescent="0.25">
      <c r="A157" s="20">
        <v>16.399999999999999</v>
      </c>
      <c r="B157" s="41">
        <f t="shared" si="2"/>
        <v>51.5221195188726</v>
      </c>
      <c r="C157" s="15" cm="1">
        <f t="array" ref="C157">EVAL($AG$6,B157)</f>
        <v>219.11156130598724</v>
      </c>
      <c r="D157" s="15" cm="1">
        <f t="array" ref="D157">EVAL($AG$7,B157)</f>
        <v>3.2107758024691866</v>
      </c>
      <c r="F157" s="15" cm="1">
        <f t="array" ref="F157">EVAL($AG$9,B157)</f>
        <v>1.1638383953122902</v>
      </c>
      <c r="G157" s="15" cm="1">
        <f t="array" ref="G157">EVAL($AG$10,B157)</f>
        <v>1.1638383953122902</v>
      </c>
      <c r="H157" s="15" cm="1">
        <f t="array" ref="H157">EVAL($AG$11,B157)</f>
        <v>1.1638383953122902</v>
      </c>
      <c r="I157" s="15" cm="1">
        <f t="array" ref="I157">EVAL($AG$12,B157)</f>
        <v>1.1623635706890472</v>
      </c>
      <c r="J157" s="15" cm="1">
        <f t="array" ref="J157">EVAL($AG$13,B157)</f>
        <v>80.582343871746431</v>
      </c>
      <c r="K157" s="15" cm="1">
        <f t="array" ref="K157">EVAL($AG$14,B157)</f>
        <v>0.89485398066239774</v>
      </c>
      <c r="L157" s="15" cm="1">
        <f t="array" ref="L157">EVAL($AG$15,B157)</f>
        <v>49.331242713418305</v>
      </c>
      <c r="M157" s="15" cm="1">
        <f t="array" ref="M157">EVAL($AG$16,B157)</f>
        <v>0.68115378835655649</v>
      </c>
      <c r="N157" s="15" cm="1">
        <f t="array" ref="N157">EVAL($AG$17,B157)</f>
        <v>31.681186540370195</v>
      </c>
      <c r="O157" s="15" cm="1">
        <f t="array" ref="O157">EVAL($AG$18,B157)</f>
        <v>1.2141483494321783E-2</v>
      </c>
      <c r="P157" s="15" cm="1">
        <f t="array" ref="P157">EVAL($AG$19,B157)</f>
        <v>1.2141483494321783E-2</v>
      </c>
      <c r="Q157" s="15" cm="1">
        <f t="array" ref="Q157">EVAL($AH$6,B157)</f>
        <v>0.92819322210096766</v>
      </c>
      <c r="R157" s="15" cm="1">
        <f t="array" ref="R157">EVAL($AH$7,B157)</f>
        <v>0.92819322210096766</v>
      </c>
      <c r="T157" s="15" cm="1">
        <f t="array" ref="T157">EVAL($AH$9,B157)</f>
        <v>0.62070151126909812</v>
      </c>
      <c r="U157" s="15" cm="1">
        <f t="array" ref="U157">EVAL($AH$10,B157)</f>
        <v>0.62070151126909812</v>
      </c>
      <c r="V157" s="15" cm="1">
        <f t="array" ref="V157">EVAL($AH$11,B157)</f>
        <v>0.62070151126909812</v>
      </c>
      <c r="W157" s="15" cm="1">
        <f t="array" ref="W157">EVAL($AH$12,B157)</f>
        <v>14.524891168593852</v>
      </c>
      <c r="X157" s="15" cm="1">
        <f t="array" ref="X157">EVAL($AH$13,B157)</f>
        <v>0.31122754878672743</v>
      </c>
      <c r="Y157" s="15" cm="1">
        <f t="array" ref="Y157">EVAL($AH$14,B157)</f>
        <v>0.31122754878672743</v>
      </c>
    </row>
    <row r="158" spans="1:25" x14ac:dyDescent="0.25">
      <c r="A158" s="20">
        <v>16.5</v>
      </c>
      <c r="B158" s="41">
        <f t="shared" si="2"/>
        <v>51.836278784231588</v>
      </c>
      <c r="C158" s="15" cm="1">
        <f t="array" ref="C158">EVAL($AG$6,B158)</f>
        <v>220.03457054054266</v>
      </c>
      <c r="D158" s="15" cm="1">
        <f t="array" ref="D158">EVAL($AG$7,B158)</f>
        <v>3.216272995966015</v>
      </c>
      <c r="F158" s="15" cm="1">
        <f t="array" ref="F158">EVAL($AG$9,B158)</f>
        <v>1.1710495790008821</v>
      </c>
      <c r="G158" s="15" cm="1">
        <f t="array" ref="G158">EVAL($AG$10,B158)</f>
        <v>1.1710495790008821</v>
      </c>
      <c r="H158" s="15" cm="1">
        <f t="array" ref="H158">EVAL($AG$11,B158)</f>
        <v>1.1710495790008821</v>
      </c>
      <c r="I158" s="15" cm="1">
        <f t="array" ref="I158">EVAL($AG$12,B158)</f>
        <v>1.1690552409567518</v>
      </c>
      <c r="J158" s="15" cm="1">
        <f t="array" ref="J158">EVAL($AG$13,B158)</f>
        <v>80.950482097295534</v>
      </c>
      <c r="K158" s="15" cm="1">
        <f t="array" ref="K158">EVAL($AG$14,B158)</f>
        <v>0.89955653985210438</v>
      </c>
      <c r="L158" s="15" cm="1">
        <f t="array" ref="L158">EVAL($AG$15,B158)</f>
        <v>49.513881216456845</v>
      </c>
      <c r="M158" s="15" cm="1">
        <f t="array" ref="M158">EVAL($AG$16,B158)</f>
        <v>0.68326802490905203</v>
      </c>
      <c r="N158" s="15" cm="1">
        <f t="array" ref="N158">EVAL($AG$17,B158)</f>
        <v>31.759938582867733</v>
      </c>
      <c r="O158" s="15" cm="1">
        <f t="array" ref="O158">EVAL($AG$18,B158)</f>
        <v>1.2100735847041964E-2</v>
      </c>
      <c r="P158" s="15" cm="1">
        <f t="array" ref="P158">EVAL($AG$19,B158)</f>
        <v>1.2100735847041964E-2</v>
      </c>
      <c r="Q158" s="15" cm="1">
        <f t="array" ref="Q158">EVAL($AH$6,B158)</f>
        <v>0.93052821155437015</v>
      </c>
      <c r="R158" s="15" cm="1">
        <f t="array" ref="R158">EVAL($AH$7,B158)</f>
        <v>0.93052821155437015</v>
      </c>
      <c r="T158" s="15" cm="1">
        <f t="array" ref="T158">EVAL($AH$9,B158)</f>
        <v>0.62217710292149653</v>
      </c>
      <c r="U158" s="15" cm="1">
        <f t="array" ref="U158">EVAL($AH$10,B158)</f>
        <v>0.62217710292149653</v>
      </c>
      <c r="V158" s="15" cm="1">
        <f t="array" ref="V158">EVAL($AH$11,B158)</f>
        <v>0.62217710292149653</v>
      </c>
      <c r="W158" s="15" cm="1">
        <f t="array" ref="W158">EVAL($AH$12,B158)</f>
        <v>14.656000703377551</v>
      </c>
      <c r="X158" s="15" cm="1">
        <f t="array" ref="X158">EVAL($AH$13,B158)</f>
        <v>0.31172060704039678</v>
      </c>
      <c r="Y158" s="15" cm="1">
        <f t="array" ref="Y158">EVAL($AH$14,B158)</f>
        <v>0.31172060704039678</v>
      </c>
    </row>
    <row r="159" spans="1:25" x14ac:dyDescent="0.25">
      <c r="A159" s="20">
        <v>16.600000000000001</v>
      </c>
      <c r="B159" s="41">
        <f t="shared" si="2"/>
        <v>52.150438049590569</v>
      </c>
      <c r="C159" s="15" cm="1">
        <f t="array" ref="C159">EVAL($AG$6,B159)</f>
        <v>220.95585562766496</v>
      </c>
      <c r="D159" s="15" cm="1">
        <f t="array" ref="D159">EVAL($AG$7,B159)</f>
        <v>3.2217463002118758</v>
      </c>
      <c r="F159" s="15" cm="1">
        <f t="array" ref="F159">EVAL($AG$9,B159)</f>
        <v>1.1782614663647895</v>
      </c>
      <c r="G159" s="15" cm="1">
        <f t="array" ref="G159">EVAL($AG$10,B159)</f>
        <v>1.1782614663647895</v>
      </c>
      <c r="H159" s="15" cm="1">
        <f t="array" ref="H159">EVAL($AG$11,B159)</f>
        <v>1.1782614663647895</v>
      </c>
      <c r="I159" s="15" cm="1">
        <f t="array" ref="I159">EVAL($AG$12,B159)</f>
        <v>1.1757446526458273</v>
      </c>
      <c r="J159" s="15" cm="1">
        <f t="array" ref="J159">EVAL($AG$13,B159)</f>
        <v>81.318062510614197</v>
      </c>
      <c r="K159" s="15" cm="1">
        <f t="array" ref="K159">EVAL($AG$14,B159)</f>
        <v>0.90425517330620975</v>
      </c>
      <c r="L159" s="15" cm="1">
        <f t="array" ref="L159">EVAL($AG$15,B159)</f>
        <v>49.696086216108846</v>
      </c>
      <c r="M159" s="15" cm="1">
        <f t="array" ref="M159">EVAL($AG$16,B159)</f>
        <v>0.68537598953042855</v>
      </c>
      <c r="N159" s="15" cm="1">
        <f t="array" ref="N159">EVAL($AG$17,B159)</f>
        <v>31.838408766858013</v>
      </c>
      <c r="O159" s="15" cm="1">
        <f t="array" ref="O159">EVAL($AG$18,B159)</f>
        <v>1.2060369926461889E-2</v>
      </c>
      <c r="P159" s="15" cm="1">
        <f t="array" ref="P159">EVAL($AG$19,B159)</f>
        <v>1.2060369926461889E-2</v>
      </c>
      <c r="Q159" s="15" cm="1">
        <f t="array" ref="Q159">EVAL($AH$6,B159)</f>
        <v>0.93285491302946577</v>
      </c>
      <c r="R159" s="15" cm="1">
        <f t="array" ref="R159">EVAL($AH$7,B159)</f>
        <v>0.93285491302946577</v>
      </c>
      <c r="T159" s="15" cm="1">
        <f t="array" ref="T159">EVAL($AH$9,B159)</f>
        <v>0.62364725473037075</v>
      </c>
      <c r="U159" s="15" cm="1">
        <f t="array" ref="U159">EVAL($AH$10,B159)</f>
        <v>0.62364725473037075</v>
      </c>
      <c r="V159" s="15" cm="1">
        <f t="array" ref="V159">EVAL($AH$11,B159)</f>
        <v>0.62364725473037075</v>
      </c>
      <c r="W159" s="15" cm="1">
        <f t="array" ref="W159">EVAL($AH$12,B159)</f>
        <v>14.787490770363119</v>
      </c>
      <c r="X159" s="15" cm="1">
        <f t="array" ref="X159">EVAL($AH$13,B159)</f>
        <v>0.31221146012524831</v>
      </c>
      <c r="Y159" s="15" cm="1">
        <f t="array" ref="Y159">EVAL($AH$14,B159)</f>
        <v>0.31221146012524831</v>
      </c>
    </row>
    <row r="160" spans="1:25" x14ac:dyDescent="0.25">
      <c r="A160" s="20">
        <v>16.7</v>
      </c>
      <c r="B160" s="41">
        <f t="shared" si="2"/>
        <v>52.464597314949543</v>
      </c>
      <c r="C160" s="15" cm="1">
        <f t="array" ref="C160">EVAL($AG$6,B160)</f>
        <v>221.87543014554174</v>
      </c>
      <c r="D160" s="15" cm="1">
        <f t="array" ref="D160">EVAL($AG$7,B160)</f>
        <v>3.2271959620009043</v>
      </c>
      <c r="F160" s="15" cm="1">
        <f t="array" ref="F160">EVAL($AG$9,B160)</f>
        <v>1.1854740532329975</v>
      </c>
      <c r="G160" s="15" cm="1">
        <f t="array" ref="G160">EVAL($AG$10,B160)</f>
        <v>1.1854740532329975</v>
      </c>
      <c r="H160" s="15" cm="1">
        <f t="array" ref="H160">EVAL($AG$11,B160)</f>
        <v>1.1854740532329975</v>
      </c>
      <c r="I160" s="15" cm="1">
        <f t="array" ref="I160">EVAL($AG$12,B160)</f>
        <v>1.1824318201177795</v>
      </c>
      <c r="J160" s="15" cm="1">
        <f t="array" ref="J160">EVAL($AG$13,B160)</f>
        <v>81.685089309654145</v>
      </c>
      <c r="K160" s="15" cm="1">
        <f t="array" ref="K160">EVAL($AG$14,B160)</f>
        <v>0.90894990792171726</v>
      </c>
      <c r="L160" s="15" cm="1">
        <f t="array" ref="L160">EVAL($AG$15,B160)</f>
        <v>49.877861343550222</v>
      </c>
      <c r="M160" s="15" cm="1">
        <f t="array" ref="M160">EVAL($AG$16,B160)</f>
        <v>0.68747773844212068</v>
      </c>
      <c r="N160" s="15" cm="1">
        <f t="array" ref="N160">EVAL($AG$17,B160)</f>
        <v>31.916599790009613</v>
      </c>
      <c r="O160" s="15" cm="1">
        <f t="array" ref="O160">EVAL($AG$18,B160)</f>
        <v>1.202037988911479E-2</v>
      </c>
      <c r="P160" s="15" cm="1">
        <f t="array" ref="P160">EVAL($AG$19,B160)</f>
        <v>1.202037988911479E-2</v>
      </c>
      <c r="Q160" s="15" cm="1">
        <f t="array" ref="Q160">EVAL($AH$6,B160)</f>
        <v>0.93517340560747242</v>
      </c>
      <c r="R160" s="15" cm="1">
        <f t="array" ref="R160">EVAL($AH$7,B160)</f>
        <v>0.93517340560747242</v>
      </c>
      <c r="T160" s="15" cm="1">
        <f t="array" ref="T160">EVAL($AH$9,B160)</f>
        <v>0.62511201933993543</v>
      </c>
      <c r="U160" s="15" cm="1">
        <f t="array" ref="U160">EVAL($AH$10,B160)</f>
        <v>0.62511201933993543</v>
      </c>
      <c r="V160" s="15" cm="1">
        <f t="array" ref="V160">EVAL($AH$11,B160)</f>
        <v>0.62511201933993543</v>
      </c>
      <c r="W160" s="15" cm="1">
        <f t="array" ref="W160">EVAL($AH$12,B160)</f>
        <v>14.919360171656557</v>
      </c>
      <c r="X160" s="15" cm="1">
        <f t="array" ref="X160">EVAL($AH$13,B160)</f>
        <v>0.31270013109926331</v>
      </c>
      <c r="Y160" s="15" cm="1">
        <f t="array" ref="Y160">EVAL($AH$14,B160)</f>
        <v>0.31270013109926331</v>
      </c>
    </row>
    <row r="161" spans="1:25" x14ac:dyDescent="0.25">
      <c r="A161" s="20">
        <v>16.8</v>
      </c>
      <c r="B161" s="41">
        <f t="shared" si="2"/>
        <v>52.778756580308524</v>
      </c>
      <c r="C161" s="15" cm="1">
        <f t="array" ref="C161">EVAL($AG$6,B161)</f>
        <v>222.79330748483528</v>
      </c>
      <c r="D161" s="15" cm="1">
        <f t="array" ref="D161">EVAL($AG$7,B161)</f>
        <v>3.2326222241182334</v>
      </c>
      <c r="F161" s="15" cm="1">
        <f t="array" ref="F161">EVAL($AG$9,B161)</f>
        <v>1.1926873354840495</v>
      </c>
      <c r="G161" s="15" cm="1">
        <f t="array" ref="G161">EVAL($AG$10,B161)</f>
        <v>1.1926873354840495</v>
      </c>
      <c r="H161" s="15" cm="1">
        <f t="array" ref="H161">EVAL($AG$11,B161)</f>
        <v>1.1926873354840495</v>
      </c>
      <c r="I161" s="15" cm="1">
        <f t="array" ref="I161">EVAL($AG$12,B161)</f>
        <v>1.1891167575573627</v>
      </c>
      <c r="J161" s="15" cm="1">
        <f t="array" ref="J161">EVAL($AG$13,B161)</f>
        <v>82.051566635844608</v>
      </c>
      <c r="K161" s="15" cm="1">
        <f t="array" ref="K161">EVAL($AG$14,B161)</f>
        <v>0.91364077025145518</v>
      </c>
      <c r="L161" s="15" cm="1">
        <f t="array" ref="L161">EVAL($AG$15,B161)</f>
        <v>50.059210178004342</v>
      </c>
      <c r="M161" s="15" cm="1">
        <f t="array" ref="M161">EVAL($AG$16,B161)</f>
        <v>0.6895733270284421</v>
      </c>
      <c r="N161" s="15" cm="1">
        <f t="array" ref="N161">EVAL($AG$17,B161)</f>
        <v>31.994514308200618</v>
      </c>
      <c r="O161" s="15" cm="1">
        <f t="array" ref="O161">EVAL($AG$18,B161)</f>
        <v>1.1980760015281602E-2</v>
      </c>
      <c r="P161" s="15" cm="1">
        <f t="array" ref="P161">EVAL($AG$19,B161)</f>
        <v>1.1980760015281602E-2</v>
      </c>
      <c r="Q161" s="15" cm="1">
        <f t="array" ref="Q161">EVAL($AH$6,B161)</f>
        <v>0.93748376714683246</v>
      </c>
      <c r="R161" s="15" cm="1">
        <f t="array" ref="R161">EVAL($AH$7,B161)</f>
        <v>0.93748376714683246</v>
      </c>
      <c r="T161" s="15" cm="1">
        <f t="array" ref="T161">EVAL($AH$9,B161)</f>
        <v>0.62657144857331815</v>
      </c>
      <c r="U161" s="15" cm="1">
        <f t="array" ref="U161">EVAL($AH$10,B161)</f>
        <v>0.62657144857331815</v>
      </c>
      <c r="V161" s="15" cm="1">
        <f t="array" ref="V161">EVAL($AH$11,B161)</f>
        <v>0.62657144857331815</v>
      </c>
      <c r="W161" s="15" cm="1">
        <f t="array" ref="W161">EVAL($AH$12,B161)</f>
        <v>15.051607720295785</v>
      </c>
      <c r="X161" s="15" cm="1">
        <f t="array" ref="X161">EVAL($AH$13,B161)</f>
        <v>0.31318664264299256</v>
      </c>
      <c r="Y161" s="15" cm="1">
        <f t="array" ref="Y161">EVAL($AH$14,B161)</f>
        <v>0.31318664264299256</v>
      </c>
    </row>
    <row r="162" spans="1:25" x14ac:dyDescent="0.25">
      <c r="A162" s="20">
        <v>16.899999999999999</v>
      </c>
      <c r="B162" s="41">
        <f t="shared" si="2"/>
        <v>53.092915845667498</v>
      </c>
      <c r="C162" s="15" cm="1">
        <f t="array" ref="C162">EVAL($AG$6,B162)</f>
        <v>223.70950085237078</v>
      </c>
      <c r="D162" s="15" cm="1">
        <f t="array" ref="D162">EVAL($AG$7,B162)</f>
        <v>3.2380253254285392</v>
      </c>
      <c r="F162" s="15" cm="1">
        <f t="array" ref="F162">EVAL($AG$9,B162)</f>
        <v>1.1999013090451589</v>
      </c>
      <c r="G162" s="15" cm="1">
        <f t="array" ref="G162">EVAL($AG$10,B162)</f>
        <v>1.1999013090451589</v>
      </c>
      <c r="H162" s="15" cm="1">
        <f t="array" ref="H162">EVAL($AG$11,B162)</f>
        <v>1.1999013090451589</v>
      </c>
      <c r="I162" s="15" cm="1">
        <f t="array" ref="I162">EVAL($AG$12,B162)</f>
        <v>1.1957994789757826</v>
      </c>
      <c r="J162" s="15" cm="1">
        <f t="array" ref="J162">EVAL($AG$13,B162)</f>
        <v>82.417498575184268</v>
      </c>
      <c r="K162" s="15" cm="1">
        <f t="array" ref="K162">EVAL($AG$14,B162)</f>
        <v>0.91832778651049674</v>
      </c>
      <c r="L162" s="15" cm="1">
        <f t="array" ref="L162">EVAL($AG$15,B162)</f>
        <v>50.240136247789593</v>
      </c>
      <c r="M162" s="15" cm="1">
        <f t="array" ref="M162">EVAL($AG$16,B162)</f>
        <v>0.6916628098539459</v>
      </c>
      <c r="N162" s="15" cm="1">
        <f t="array" ref="N162">EVAL($AG$17,B162)</f>
        <v>32.072154936410399</v>
      </c>
      <c r="O162" s="15" cm="1">
        <f t="array" ref="O162">EVAL($AG$18,B162)</f>
        <v>1.1941504705652747E-2</v>
      </c>
      <c r="P162" s="15" cm="1">
        <f t="array" ref="P162">EVAL($AG$19,B162)</f>
        <v>1.1941504705652747E-2</v>
      </c>
      <c r="Q162" s="15" cm="1">
        <f t="array" ref="Q162">EVAL($AH$6,B162)</f>
        <v>0.93978607430926997</v>
      </c>
      <c r="R162" s="15" cm="1">
        <f t="array" ref="R162">EVAL($AH$7,B162)</f>
        <v>0.93978607430926997</v>
      </c>
      <c r="T162" s="15" cm="1">
        <f t="array" ref="T162">EVAL($AH$9,B162)</f>
        <v>0.6280255934501664</v>
      </c>
      <c r="U162" s="15" cm="1">
        <f t="array" ref="U162">EVAL($AH$10,B162)</f>
        <v>0.6280255934501664</v>
      </c>
      <c r="V162" s="15" cm="1">
        <f t="array" ref="V162">EVAL($AH$11,B162)</f>
        <v>0.6280255934501664</v>
      </c>
      <c r="W162" s="15" cm="1">
        <f t="array" ref="W162">EVAL($AH$12,B162)</f>
        <v>15.184232240086002</v>
      </c>
      <c r="X162" s="15" cm="1">
        <f t="array" ref="X162">EVAL($AH$13,B162)</f>
        <v>0.31367101706793876</v>
      </c>
      <c r="Y162" s="15" cm="1">
        <f t="array" ref="Y162">EVAL($AH$14,B162)</f>
        <v>0.31367101706793876</v>
      </c>
    </row>
    <row r="163" spans="1:25" x14ac:dyDescent="0.25">
      <c r="A163" s="20">
        <v>17</v>
      </c>
      <c r="B163" s="41">
        <f t="shared" si="2"/>
        <v>53.407075111026487</v>
      </c>
      <c r="C163" s="15" cm="1">
        <f t="array" ref="C163">EVAL($AG$6,B163)</f>
        <v>224.62402327473325</v>
      </c>
      <c r="D163" s="15" cm="1">
        <f t="array" ref="D163">EVAL($AG$7,B163)</f>
        <v>3.2434055009621265</v>
      </c>
      <c r="F163" s="15" cm="1">
        <f t="array" ref="F163">EVAL($AG$9,B163)</f>
        <v>1.2071159698913523</v>
      </c>
      <c r="G163" s="15" cm="1">
        <f t="array" ref="G163">EVAL($AG$10,B163)</f>
        <v>1.2071159698913523</v>
      </c>
      <c r="H163" s="15" cm="1">
        <f t="array" ref="H163">EVAL($AG$11,B163)</f>
        <v>1.2071159698913523</v>
      </c>
      <c r="I163" s="15" cm="1">
        <f t="array" ref="I163">EVAL($AG$12,B163)</f>
        <v>1.2024799982138401</v>
      </c>
      <c r="J163" s="15" cm="1">
        <f t="array" ref="J163">EVAL($AG$13,B163)</f>
        <v>82.782889159307089</v>
      </c>
      <c r="K163" s="15" cm="1">
        <f t="array" ref="K163">EVAL($AG$14,B163)</f>
        <v>0.9230109825824323</v>
      </c>
      <c r="L163" s="15" cm="1">
        <f t="array" ref="L163">EVAL($AG$15,B163)</f>
        <v>50.420643031340028</v>
      </c>
      <c r="M163" s="15" cm="1">
        <f t="array" ref="M163">EVAL($AG$16,B163)</f>
        <v>0.69374624068033552</v>
      </c>
      <c r="N163" s="15" cm="1">
        <f t="array" ref="N163">EVAL($AG$17,B163)</f>
        <v>32.149524249587273</v>
      </c>
      <c r="O163" s="15" cm="1">
        <f t="array" ref="O163">EVAL($AG$18,B163)</f>
        <v>1.1902608478098967E-2</v>
      </c>
      <c r="P163" s="15" cm="1">
        <f t="array" ref="P163">EVAL($AG$19,B163)</f>
        <v>1.1902608478098967E-2</v>
      </c>
      <c r="Q163" s="15" cm="1">
        <f t="array" ref="Q163">EVAL($AH$6,B163)</f>
        <v>0.94208040258514725</v>
      </c>
      <c r="R163" s="15" cm="1">
        <f t="array" ref="R163">EVAL($AH$7,B163)</f>
        <v>0.94208040258514725</v>
      </c>
      <c r="T163" s="15" cm="1">
        <f t="array" ref="T163">EVAL($AH$9,B163)</f>
        <v>0.62947450420377882</v>
      </c>
      <c r="U163" s="15" cm="1">
        <f t="array" ref="U163">EVAL($AH$10,B163)</f>
        <v>0.62947450420377882</v>
      </c>
      <c r="V163" s="15" cm="1">
        <f t="array" ref="V163">EVAL($AH$11,B163)</f>
        <v>0.62947450420377882</v>
      </c>
      <c r="W163" s="15" cm="1">
        <f t="array" ref="W163">EVAL($AH$12,B163)</f>
        <v>15.317232565438935</v>
      </c>
      <c r="X163" s="15" cm="1">
        <f t="array" ref="X163">EVAL($AH$13,B163)</f>
        <v>0.31415327632470536</v>
      </c>
      <c r="Y163" s="15" cm="1">
        <f t="array" ref="Y163">EVAL($AH$14,B163)</f>
        <v>0.31415327632470536</v>
      </c>
    </row>
    <row r="164" spans="1:25" x14ac:dyDescent="0.25">
      <c r="A164" s="20">
        <v>17.100000000000001</v>
      </c>
      <c r="B164" s="41">
        <f t="shared" si="2"/>
        <v>53.721234376385468</v>
      </c>
      <c r="C164" s="15" cm="1">
        <f t="array" ref="C164">EVAL($AG$6,B164)</f>
        <v>225.53688760177167</v>
      </c>
      <c r="D164" s="15" cm="1">
        <f t="array" ref="D164">EVAL($AG$7,B164)</f>
        <v>3.2487629819986261</v>
      </c>
      <c r="F164" s="15" cm="1">
        <f t="array" ref="F164">EVAL($AG$9,B164)</f>
        <v>1.2143313140446319</v>
      </c>
      <c r="G164" s="15" cm="1">
        <f t="array" ref="G164">EVAL($AG$10,B164)</f>
        <v>1.2143313140446319</v>
      </c>
      <c r="H164" s="15" cm="1">
        <f t="array" ref="H164">EVAL($AG$11,B164)</f>
        <v>1.2143313140446319</v>
      </c>
      <c r="I164" s="15" cm="1">
        <f t="array" ref="I164">EVAL($AG$12,B164)</f>
        <v>1.2091583289449943</v>
      </c>
      <c r="J164" s="15" cm="1">
        <f t="array" ref="J164">EVAL($AG$13,B164)</f>
        <v>83.147742366520703</v>
      </c>
      <c r="K164" s="15" cm="1">
        <f t="array" ref="K164">EVAL($AG$14,B164)</f>
        <v>0.92769038402548565</v>
      </c>
      <c r="L164" s="15" cm="1">
        <f t="array" ref="L164">EVAL($AG$15,B164)</f>
        <v>50.600733958199761</v>
      </c>
      <c r="M164" s="15" cm="1">
        <f t="array" ref="M164">EVAL($AG$16,B164)</f>
        <v>0.69582367248292087</v>
      </c>
      <c r="N164" s="15" cm="1">
        <f t="array" ref="N164">EVAL($AG$17,B164)</f>
        <v>32.226624783492909</v>
      </c>
      <c r="O164" s="15" cm="1">
        <f t="array" ref="O164">EVAL($AG$18,B164)</f>
        <v>1.1864065964547189E-2</v>
      </c>
      <c r="P164" s="15" cm="1">
        <f t="array" ref="P164">EVAL($AG$19,B164)</f>
        <v>1.1864065964547189E-2</v>
      </c>
      <c r="Q164" s="15" cm="1">
        <f t="array" ref="Q164">EVAL($AH$6,B164)</f>
        <v>0.94436682631813629</v>
      </c>
      <c r="R164" s="15" cm="1">
        <f t="array" ref="R164">EVAL($AH$7,B164)</f>
        <v>0.94436682631813629</v>
      </c>
      <c r="T164" s="15" cm="1">
        <f t="array" ref="T164">EVAL($AH$9,B164)</f>
        <v>0.63091823029777083</v>
      </c>
      <c r="U164" s="15" cm="1">
        <f t="array" ref="U164">EVAL($AH$10,B164)</f>
        <v>0.63091823029777083</v>
      </c>
      <c r="V164" s="15" cm="1">
        <f t="array" ref="V164">EVAL($AH$11,B164)</f>
        <v>0.63091823029777083</v>
      </c>
      <c r="W164" s="15" cm="1">
        <f t="array" ref="W164">EVAL($AH$12,B164)</f>
        <v>15.450607541215327</v>
      </c>
      <c r="X164" s="15" cm="1">
        <f t="array" ref="X164">EVAL($AH$13,B164)</f>
        <v>0.31463344201091831</v>
      </c>
      <c r="Y164" s="15" cm="1">
        <f t="array" ref="Y164">EVAL($AH$14,B164)</f>
        <v>0.31463344201091831</v>
      </c>
    </row>
    <row r="165" spans="1:25" x14ac:dyDescent="0.25">
      <c r="A165" s="20">
        <v>17.2</v>
      </c>
      <c r="B165" s="41">
        <f t="shared" si="2"/>
        <v>54.035393641744442</v>
      </c>
      <c r="C165" s="15" cm="1">
        <f t="array" ref="C165">EVAL($AG$6,B165)</f>
        <v>226.44810651001535</v>
      </c>
      <c r="D165" s="15" cm="1">
        <f t="array" ref="D165">EVAL($AG$7,B165)</f>
        <v>3.2540979961483854</v>
      </c>
      <c r="F165" s="15" cm="1">
        <f t="array" ref="F165">EVAL($AG$9,B165)</f>
        <v>1.221547337573152</v>
      </c>
      <c r="G165" s="15" cm="1">
        <f t="array" ref="G165">EVAL($AG$10,B165)</f>
        <v>1.221547337573152</v>
      </c>
      <c r="H165" s="15" cm="1">
        <f t="array" ref="H165">EVAL($AG$11,B165)</f>
        <v>1.221547337573152</v>
      </c>
      <c r="I165" s="15" cm="1">
        <f t="array" ref="I165">EVAL($AG$12,B165)</f>
        <v>1.215834484678346</v>
      </c>
      <c r="J165" s="15" cm="1">
        <f t="array" ref="J165">EVAL($AG$13,B165)</f>
        <v>83.512062122819358</v>
      </c>
      <c r="K165" s="15" cm="1">
        <f t="array" ref="K165">EVAL($AG$14,B165)</f>
        <v>0.9323660160784788</v>
      </c>
      <c r="L165" s="15" cm="1">
        <f t="array" ref="L165">EVAL($AG$15,B165)</f>
        <v>50.780412409991456</v>
      </c>
      <c r="M165" s="15" cm="1">
        <f t="array" ref="M165">EVAL($AG$16,B165)</f>
        <v>0.69789515746664754</v>
      </c>
      <c r="N165" s="15" cm="1">
        <f t="array" ref="N165">EVAL($AG$17,B165)</f>
        <v>32.303459035523836</v>
      </c>
      <c r="O165" s="15" cm="1">
        <f t="array" ref="O165">EVAL($AG$18,B165)</f>
        <v>1.1825871907957445E-2</v>
      </c>
      <c r="P165" s="15" cm="1">
        <f t="array" ref="P165">EVAL($AG$19,B165)</f>
        <v>1.1825871907957445E-2</v>
      </c>
      <c r="Q165" s="15" cm="1">
        <f t="array" ref="Q165">EVAL($AH$6,B165)</f>
        <v>0.94664541872922858</v>
      </c>
      <c r="R165" s="15" cm="1">
        <f t="array" ref="R165">EVAL($AH$7,B165)</f>
        <v>0.94664541872922858</v>
      </c>
      <c r="T165" s="15" cm="1">
        <f t="array" ref="T165">EVAL($AH$9,B165)</f>
        <v>0.63235682044229147</v>
      </c>
      <c r="U165" s="15" cm="1">
        <f t="array" ref="U165">EVAL($AH$10,B165)</f>
        <v>0.63235682044229147</v>
      </c>
      <c r="V165" s="15" cm="1">
        <f t="array" ref="V165">EVAL($AH$11,B165)</f>
        <v>0.63235682044229147</v>
      </c>
      <c r="W165" s="15" cm="1">
        <f t="array" ref="W165">EVAL($AH$12,B165)</f>
        <v>15.584356022570491</v>
      </c>
      <c r="X165" s="15" cm="1">
        <f t="array" ref="X165">EVAL($AH$13,B165)</f>
        <v>0.315111535378929</v>
      </c>
      <c r="Y165" s="15" cm="1">
        <f t="array" ref="Y165">EVAL($AH$14,B165)</f>
        <v>0.315111535378929</v>
      </c>
    </row>
    <row r="166" spans="1:25" x14ac:dyDescent="0.25">
      <c r="A166" s="20">
        <v>17.3</v>
      </c>
      <c r="B166" s="41">
        <f t="shared" si="2"/>
        <v>54.349552907103423</v>
      </c>
      <c r="C166" s="15" cm="1">
        <f t="array" ref="C166">EVAL($AG$6,B166)</f>
        <v>227.35769250600626</v>
      </c>
      <c r="D166" s="15" cm="1">
        <f t="array" ref="D166">EVAL($AG$7,B166)</f>
        <v>3.2594107674316426</v>
      </c>
      <c r="F166" s="15" cm="1">
        <f t="array" ref="F166">EVAL($AG$9,B166)</f>
        <v>1.2287640365904293</v>
      </c>
      <c r="G166" s="15" cm="1">
        <f t="array" ref="G166">EVAL($AG$10,B166)</f>
        <v>1.2287640365904293</v>
      </c>
      <c r="H166" s="15" cm="1">
        <f t="array" ref="H166">EVAL($AG$11,B166)</f>
        <v>1.2287640365904293</v>
      </c>
      <c r="I166" s="15" cm="1">
        <f t="array" ref="I166">EVAL($AG$12,B166)</f>
        <v>1.2225084787615716</v>
      </c>
      <c r="J166" s="15" cm="1">
        <f t="array" ref="J166">EVAL($AG$13,B166)</f>
        <v>83.875852302871976</v>
      </c>
      <c r="K166" s="15" cm="1">
        <f t="array" ref="K166">EVAL($AG$14,B166)</f>
        <v>0.93703790366666373</v>
      </c>
      <c r="L166" s="15" cm="1">
        <f t="array" ref="L166">EVAL($AG$15,B166)</f>
        <v>50.959681721360674</v>
      </c>
      <c r="M166" s="15" cm="1">
        <f t="array" ref="M166">EVAL($AG$16,B166)</f>
        <v>0.69996074708170852</v>
      </c>
      <c r="N166" s="15" cm="1">
        <f t="array" ref="N166">EVAL($AG$17,B166)</f>
        <v>32.380029465511377</v>
      </c>
      <c r="O166" s="15" cm="1">
        <f t="array" ref="O166">EVAL($AG$18,B166)</f>
        <v>1.1788021159396868E-2</v>
      </c>
      <c r="P166" s="15" cm="1">
        <f t="array" ref="P166">EVAL($AG$19,B166)</f>
        <v>1.1788021159396868E-2</v>
      </c>
      <c r="Q166" s="15" cm="1">
        <f t="array" ref="Q166">EVAL($AH$6,B166)</f>
        <v>0.94891625194010953</v>
      </c>
      <c r="R166" s="15" cm="1">
        <f t="array" ref="R166">EVAL($AH$7,B166)</f>
        <v>0.94891625194010953</v>
      </c>
      <c r="T166" s="15" cm="1">
        <f t="array" ref="T166">EVAL($AH$9,B166)</f>
        <v>0.63379032260980972</v>
      </c>
      <c r="U166" s="15" cm="1">
        <f t="array" ref="U166">EVAL($AH$10,B166)</f>
        <v>0.63379032260980972</v>
      </c>
      <c r="V166" s="15" cm="1">
        <f t="array" ref="V166">EVAL($AH$11,B166)</f>
        <v>0.63379032260980972</v>
      </c>
      <c r="W166" s="15" cm="1">
        <f t="array" ref="W166">EVAL($AH$12,B166)</f>
        <v>15.718476874803343</v>
      </c>
      <c r="X166" s="15" cm="1">
        <f t="array" ref="X166">EVAL($AH$13,B166)</f>
        <v>0.31558757734330523</v>
      </c>
      <c r="Y166" s="15" cm="1">
        <f t="array" ref="Y166">EVAL($AH$14,B166)</f>
        <v>0.31558757734330523</v>
      </c>
    </row>
    <row r="167" spans="1:25" x14ac:dyDescent="0.25">
      <c r="A167" s="20">
        <v>17.399999999999999</v>
      </c>
      <c r="B167" s="41">
        <f t="shared" si="2"/>
        <v>54.663712172462397</v>
      </c>
      <c r="C167" s="15" cm="1">
        <f t="array" ref="C167">EVAL($AG$6,B167)</f>
        <v>228.26565792954472</v>
      </c>
      <c r="D167" s="15" cm="1">
        <f t="array" ref="D167">EVAL($AG$7,B167)</f>
        <v>3.2647015163555251</v>
      </c>
      <c r="F167" s="15" cm="1">
        <f t="array" ref="F167">EVAL($AG$9,B167)</f>
        <v>1.2359814072545421</v>
      </c>
      <c r="G167" s="15" cm="1">
        <f t="array" ref="G167">EVAL($AG$10,B167)</f>
        <v>1.2359814072545421</v>
      </c>
      <c r="H167" s="15" cm="1">
        <f t="array" ref="H167">EVAL($AG$11,B167)</f>
        <v>1.2359814072545421</v>
      </c>
      <c r="I167" s="15" cm="1">
        <f t="array" ref="I167">EVAL($AG$12,B167)</f>
        <v>1.2291803243837562</v>
      </c>
      <c r="J167" s="15" cm="1">
        <f t="array" ref="J167">EVAL($AG$13,B167)</f>
        <v>84.239116730985288</v>
      </c>
      <c r="K167" s="15" cm="1">
        <f t="array" ref="K167">EVAL($AG$14,B167)</f>
        <v>0.94170607140739915</v>
      </c>
      <c r="L167" s="15" cm="1">
        <f t="array" ref="L167">EVAL($AG$15,B167)</f>
        <v>51.138545180895612</v>
      </c>
      <c r="M167" s="15" cm="1">
        <f t="array" ref="M167">EVAL($AG$16,B167)</f>
        <v>0.70202049203874661</v>
      </c>
      <c r="N167" s="15" cm="1">
        <f t="array" ref="N167">EVAL($AG$17,B167)</f>
        <v>32.45633849650001</v>
      </c>
      <c r="O167" s="15" cm="1">
        <f t="array" ref="O167">EVAL($AG$18,B167)</f>
        <v>1.1750508675207258E-2</v>
      </c>
      <c r="P167" s="15" cm="1">
        <f t="array" ref="P167">EVAL($AG$19,B167)</f>
        <v>1.1750508675207258E-2</v>
      </c>
      <c r="Q167" s="15" cm="1">
        <f t="array" ref="Q167">EVAL($AH$6,B167)</f>
        <v>0.95117939699590792</v>
      </c>
      <c r="R167" s="15" cm="1">
        <f t="array" ref="R167">EVAL($AH$7,B167)</f>
        <v>0.95117939699590792</v>
      </c>
      <c r="T167" s="15" cm="1">
        <f t="array" ref="T167">EVAL($AH$9,B167)</f>
        <v>0.63521878405047438</v>
      </c>
      <c r="U167" s="15" cm="1">
        <f t="array" ref="U167">EVAL($AH$10,B167)</f>
        <v>0.63521878405047438</v>
      </c>
      <c r="V167" s="15" cm="1">
        <f t="array" ref="V167">EVAL($AH$11,B167)</f>
        <v>0.63521878405047438</v>
      </c>
      <c r="W167" s="15" cm="1">
        <f t="array" ref="W167">EVAL($AH$12,B167)</f>
        <v>15.852968973208148</v>
      </c>
      <c r="X167" s="15" cm="1">
        <f t="array" ref="X167">EVAL($AH$13,B167)</f>
        <v>0.31606158848811688</v>
      </c>
      <c r="Y167" s="15" cm="1">
        <f t="array" ref="Y167">EVAL($AH$14,B167)</f>
        <v>0.31606158848811688</v>
      </c>
    </row>
    <row r="168" spans="1:25" x14ac:dyDescent="0.25">
      <c r="A168" s="20">
        <v>17.5</v>
      </c>
      <c r="B168" s="41">
        <f t="shared" si="2"/>
        <v>54.977871437821378</v>
      </c>
      <c r="C168" s="15" cm="1">
        <f t="array" ref="C168">EVAL($AG$6,B168)</f>
        <v>229.17201495685916</v>
      </c>
      <c r="D168" s="15" cm="1">
        <f t="array" ref="D168">EVAL($AG$7,B168)</f>
        <v>3.2699704599889818</v>
      </c>
      <c r="F168" s="15" cm="1">
        <f t="array" ref="F168">EVAL($AG$9,B168)</f>
        <v>1.2431994457673814</v>
      </c>
      <c r="G168" s="15" cm="1">
        <f t="array" ref="G168">EVAL($AG$10,B168)</f>
        <v>1.2431994457673814</v>
      </c>
      <c r="H168" s="15" cm="1">
        <f t="array" ref="H168">EVAL($AG$11,B168)</f>
        <v>1.2431994457673814</v>
      </c>
      <c r="I168" s="15" cm="1">
        <f t="array" ref="I168">EVAL($AG$12,B168)</f>
        <v>1.2358500345781902</v>
      </c>
      <c r="J168" s="15" cm="1">
        <f t="array" ref="J168">EVAL($AG$13,B168)</f>
        <v>84.601859182044237</v>
      </c>
      <c r="K168" s="15" cm="1">
        <f t="array" ref="K168">EVAL($AG$14,B168)</f>
        <v>0.94637054361570638</v>
      </c>
      <c r="L168" s="15" cm="1">
        <f t="array" ref="L168">EVAL($AG$15,B168)</f>
        <v>51.317006032024167</v>
      </c>
      <c r="M168" s="15" cm="1">
        <f t="array" ref="M168">EVAL($AG$16,B168)</f>
        <v>0.70407444232367067</v>
      </c>
      <c r="N168" s="15" cm="1">
        <f t="array" ref="N168">EVAL($AG$17,B168)</f>
        <v>32.532388515505545</v>
      </c>
      <c r="O168" s="15" cm="1">
        <f t="array" ref="O168">EVAL($AG$18,B168)</f>
        <v>1.1713329514262629E-2</v>
      </c>
      <c r="P168" s="15" cm="1">
        <f t="array" ref="P168">EVAL($AG$19,B168)</f>
        <v>1.1713329514262629E-2</v>
      </c>
      <c r="Q168" s="15" cm="1">
        <f t="array" ref="Q168">EVAL($AH$6,B168)</f>
        <v>0.95343492388735207</v>
      </c>
      <c r="R168" s="15" cm="1">
        <f t="array" ref="R168">EVAL($AH$7,B168)</f>
        <v>0.95343492388735207</v>
      </c>
      <c r="T168" s="15" cm="1">
        <f t="array" ref="T168">EVAL($AH$9,B168)</f>
        <v>0.63664225130707519</v>
      </c>
      <c r="U168" s="15" cm="1">
        <f t="array" ref="U168">EVAL($AH$10,B168)</f>
        <v>0.63664225130707519</v>
      </c>
      <c r="V168" s="15" cm="1">
        <f t="array" ref="V168">EVAL($AH$11,B168)</f>
        <v>0.63664225130707519</v>
      </c>
      <c r="W168" s="15" cm="1">
        <f t="array" ref="W168">EVAL($AH$12,B168)</f>
        <v>15.987831202929515</v>
      </c>
      <c r="X168" s="15" cm="1">
        <f t="array" ref="X168">EVAL($AH$13,B168)</f>
        <v>0.3165335890740244</v>
      </c>
      <c r="Y168" s="15" cm="1">
        <f t="array" ref="Y168">EVAL($AH$14,B168)</f>
        <v>0.3165335890740244</v>
      </c>
    </row>
    <row r="169" spans="1:25" x14ac:dyDescent="0.25">
      <c r="A169" s="20">
        <v>17.600000000000001</v>
      </c>
      <c r="B169" s="41">
        <f t="shared" si="2"/>
        <v>55.292030703180366</v>
      </c>
      <c r="C169" s="15" cm="1">
        <f t="array" ref="C169">EVAL($AG$6,B169)</f>
        <v>230.07677560369495</v>
      </c>
      <c r="D169" s="15" cm="1">
        <f t="array" ref="D169">EVAL($AG$7,B169)</f>
        <v>3.2752178120356921</v>
      </c>
      <c r="F169" s="15" cm="1">
        <f t="array" ref="F169">EVAL($AG$9,B169)</f>
        <v>1.2504181483738979</v>
      </c>
      <c r="G169" s="15" cm="1">
        <f t="array" ref="G169">EVAL($AG$10,B169)</f>
        <v>1.2504181483738979</v>
      </c>
      <c r="H169" s="15" cm="1">
        <f t="array" ref="H169">EVAL($AG$11,B169)</f>
        <v>1.2504181483738979</v>
      </c>
      <c r="I169" s="15" cm="1">
        <f t="array" ref="I169">EVAL($AG$12,B169)</f>
        <v>1.242517622225084</v>
      </c>
      <c r="J169" s="15" cm="1">
        <f t="array" ref="J169">EVAL($AG$13,B169)</f>
        <v>84.964083382429081</v>
      </c>
      <c r="K169" s="15" cm="1">
        <f t="array" ref="K169">EVAL($AG$14,B169)</f>
        <v>0.95103134430968594</v>
      </c>
      <c r="L169" s="15" cm="1">
        <f t="array" ref="L169">EVAL($AG$15,B169)</f>
        <v>51.495067473888355</v>
      </c>
      <c r="M169" s="15" cm="1">
        <f t="array" ref="M169">EVAL($AG$16,B169)</f>
        <v>0.70612264721208917</v>
      </c>
      <c r="N169" s="15" cm="1">
        <f t="array" ref="N169">EVAL($AG$17,B169)</f>
        <v>32.608181874253326</v>
      </c>
      <c r="O169" s="15" cm="1">
        <f t="array" ref="O169">EVAL($AG$18,B169)</f>
        <v>1.1676478835313331E-2</v>
      </c>
      <c r="P169" s="15" cm="1">
        <f t="array" ref="P169">EVAL($AG$19,B169)</f>
        <v>1.1676478835313331E-2</v>
      </c>
      <c r="Q169" s="15" cm="1">
        <f t="array" ref="Q169">EVAL($AH$6,B169)</f>
        <v>0.95568290157234537</v>
      </c>
      <c r="R169" s="15" cm="1">
        <f t="array" ref="R169">EVAL($AH$7,B169)</f>
        <v>0.95568290157234537</v>
      </c>
      <c r="T169" s="15" cm="1">
        <f t="array" ref="T169">EVAL($AH$9,B169)</f>
        <v>0.63806077022960539</v>
      </c>
      <c r="U169" s="15" cm="1">
        <f t="array" ref="U169">EVAL($AH$10,B169)</f>
        <v>0.63806077022960539</v>
      </c>
      <c r="V169" s="15" cm="1">
        <f t="array" ref="V169">EVAL($AH$11,B169)</f>
        <v>0.63806077022960539</v>
      </c>
      <c r="W169" s="15" cm="1">
        <f t="array" ref="W169">EVAL($AH$12,B169)</f>
        <v>16.123062458820325</v>
      </c>
      <c r="X169" s="15" cm="1">
        <f t="array" ref="X169">EVAL($AH$13,B169)</f>
        <v>0.3170035990451755</v>
      </c>
      <c r="Y169" s="15" cm="1">
        <f t="array" ref="Y169">EVAL($AH$14,B169)</f>
        <v>0.3170035990451755</v>
      </c>
    </row>
    <row r="170" spans="1:25" x14ac:dyDescent="0.25">
      <c r="A170" s="20">
        <v>17.7</v>
      </c>
      <c r="B170" s="41">
        <f t="shared" si="2"/>
        <v>55.606189968539333</v>
      </c>
      <c r="C170" s="15" cm="1">
        <f t="array" ref="C170">EVAL($AG$6,B170)</f>
        <v>230.97995172832825</v>
      </c>
      <c r="D170" s="15" cm="1">
        <f t="array" ref="D170">EVAL($AG$7,B170)</f>
        <v>3.280443782905023</v>
      </c>
      <c r="F170" s="15" cm="1">
        <f t="array" ref="F170">EVAL($AG$9,B170)</f>
        <v>1.2576375113613667</v>
      </c>
      <c r="G170" s="15" cm="1">
        <f t="array" ref="G170">EVAL($AG$10,B170)</f>
        <v>1.2576375113613667</v>
      </c>
      <c r="H170" s="15" cm="1">
        <f t="array" ref="H170">EVAL($AG$11,B170)</f>
        <v>1.2576375113613667</v>
      </c>
      <c r="I170" s="15" cm="1">
        <f t="array" ref="I170">EVAL($AG$12,B170)</f>
        <v>1.2491831000542253</v>
      </c>
      <c r="J170" s="15" cm="1">
        <f t="array" ref="J170">EVAL($AG$13,B170)</f>
        <v>85.325793010910459</v>
      </c>
      <c r="K170" s="15" cm="1">
        <f t="array" ref="K170">EVAL($AG$14,B170)</f>
        <v>0.95568849721580718</v>
      </c>
      <c r="L170" s="15" cm="1">
        <f t="array" ref="L170">EVAL($AG$15,B170)</f>
        <v>51.672732662196708</v>
      </c>
      <c r="M170" s="15" cm="1">
        <f t="array" ref="M170">EVAL($AG$16,B170)</f>
        <v>0.70816515528337409</v>
      </c>
      <c r="N170" s="15" cm="1">
        <f t="array" ref="N170">EVAL($AG$17,B170)</f>
        <v>32.683720889897103</v>
      </c>
      <c r="O170" s="15" cm="1">
        <f t="array" ref="O170">EVAL($AG$18,B170)</f>
        <v>1.163995189441373E-2</v>
      </c>
      <c r="P170" s="15" cm="1">
        <f t="array" ref="P170">EVAL($AG$19,B170)</f>
        <v>1.163995189441373E-2</v>
      </c>
      <c r="Q170" s="15" cm="1">
        <f t="array" ref="Q170">EVAL($AH$6,B170)</f>
        <v>0.95792339799697601</v>
      </c>
      <c r="R170" s="15" cm="1">
        <f t="array" ref="R170">EVAL($AH$7,B170)</f>
        <v>0.95792339799697601</v>
      </c>
      <c r="T170" s="15" cm="1">
        <f t="array" ref="T170">EVAL($AH$9,B170)</f>
        <v>0.63947438598944439</v>
      </c>
      <c r="U170" s="15" cm="1">
        <f t="array" ref="U170">EVAL($AH$10,B170)</f>
        <v>0.63947438598944439</v>
      </c>
      <c r="V170" s="15" cm="1">
        <f t="array" ref="V170">EVAL($AH$11,B170)</f>
        <v>0.63947438598944439</v>
      </c>
      <c r="W170" s="15" cm="1">
        <f t="array" ref="W170">EVAL($AH$12,B170)</f>
        <v>16.258661645302244</v>
      </c>
      <c r="X170" s="15" cm="1">
        <f t="array" ref="X170">EVAL($AH$13,B170)</f>
        <v>0.31747163803591538</v>
      </c>
      <c r="Y170" s="15" cm="1">
        <f t="array" ref="Y170">EVAL($AH$14,B170)</f>
        <v>0.31747163803591538</v>
      </c>
    </row>
    <row r="171" spans="1:25" x14ac:dyDescent="0.25">
      <c r="A171" s="20">
        <v>17.8</v>
      </c>
      <c r="B171" s="41">
        <f t="shared" si="2"/>
        <v>55.920349233898321</v>
      </c>
      <c r="C171" s="15" cm="1">
        <f t="array" ref="C171">EVAL($AG$6,B171)</f>
        <v>231.88155503450889</v>
      </c>
      <c r="D171" s="15" cm="1">
        <f t="array" ref="D171">EVAL($AG$7,B171)</f>
        <v>3.2856485797811077</v>
      </c>
      <c r="F171" s="15" cm="1">
        <f t="array" ref="F171">EVAL($AG$9,B171)</f>
        <v>1.2648575310586909</v>
      </c>
      <c r="G171" s="15" cm="1">
        <f t="array" ref="G171">EVAL($AG$10,B171)</f>
        <v>1.2648575310586909</v>
      </c>
      <c r="H171" s="15" cm="1">
        <f t="array" ref="H171">EVAL($AG$11,B171)</f>
        <v>1.2648575310586909</v>
      </c>
      <c r="I171" s="15" cm="1">
        <f t="array" ref="I171">EVAL($AG$12,B171)</f>
        <v>1.2558464806475842</v>
      </c>
      <c r="J171" s="15" cm="1">
        <f t="array" ref="J171">EVAL($AG$13,B171)</f>
        <v>85.686991699523517</v>
      </c>
      <c r="K171" s="15" cm="1">
        <f t="array" ref="K171">EVAL($AG$14,B171)</f>
        <v>0.96034202577408634</v>
      </c>
      <c r="L171" s="15" cm="1">
        <f t="array" ref="L171">EVAL($AG$15,B171)</f>
        <v>51.850004710056197</v>
      </c>
      <c r="M171" s="15" cm="1">
        <f t="array" ref="M171">EVAL($AG$16,B171)</f>
        <v>0.71020201443437758</v>
      </c>
      <c r="N171" s="15" cm="1">
        <f t="array" ref="N171">EVAL($AG$17,B171)</f>
        <v>32.759007845719545</v>
      </c>
      <c r="O171" s="15" cm="1">
        <f t="array" ref="O171">EVAL($AG$18,B171)</f>
        <v>1.160374404243002E-2</v>
      </c>
      <c r="P171" s="15" cm="1">
        <f t="array" ref="P171">EVAL($AG$19,B171)</f>
        <v>1.160374404243002E-2</v>
      </c>
      <c r="Q171" s="15" cm="1">
        <f t="array" ref="Q171">EVAL($AH$6,B171)</f>
        <v>0.9601564801159933</v>
      </c>
      <c r="R171" s="15" cm="1">
        <f t="array" ref="R171">EVAL($AH$7,B171)</f>
        <v>0.9601564801159933</v>
      </c>
      <c r="T171" s="15" cm="1">
        <f t="array" ref="T171">EVAL($AH$9,B171)</f>
        <v>0.64088314309317596</v>
      </c>
      <c r="U171" s="15" cm="1">
        <f t="array" ref="U171">EVAL($AH$10,B171)</f>
        <v>0.64088314309317596</v>
      </c>
      <c r="V171" s="15" cm="1">
        <f t="array" ref="V171">EVAL($AH$11,B171)</f>
        <v>0.64088314309317596</v>
      </c>
      <c r="W171" s="15" cm="1">
        <f t="array" ref="W171">EVAL($AH$12,B171)</f>
        <v>16.394627676229543</v>
      </c>
      <c r="X171" s="15" cm="1">
        <f t="array" ref="X171">EVAL($AH$13,B171)</f>
        <v>0.31793772537732029</v>
      </c>
      <c r="Y171" s="15" cm="1">
        <f t="array" ref="Y171">EVAL($AH$14,B171)</f>
        <v>0.31793772537732029</v>
      </c>
    </row>
    <row r="172" spans="1:25" x14ac:dyDescent="0.25">
      <c r="A172" s="20">
        <v>17.899999999999999</v>
      </c>
      <c r="B172" s="41">
        <f t="shared" si="2"/>
        <v>56.234508499257295</v>
      </c>
      <c r="C172" s="15" cm="1">
        <f t="array" ref="C172">EVAL($AG$6,B172)</f>
        <v>232.78159707432772</v>
      </c>
      <c r="D172" s="15" cm="1">
        <f t="array" ref="D172">EVAL($AG$7,B172)</f>
        <v>3.2908324066900803</v>
      </c>
      <c r="F172" s="15" cm="1">
        <f t="array" ref="F172">EVAL($AG$9,B172)</f>
        <v>1.2720782038356833</v>
      </c>
      <c r="G172" s="15" cm="1">
        <f t="array" ref="G172">EVAL($AG$10,B172)</f>
        <v>1.2720782038356833</v>
      </c>
      <c r="H172" s="15" cm="1">
        <f t="array" ref="H172">EVAL($AG$11,B172)</f>
        <v>1.2720782038356833</v>
      </c>
      <c r="I172" s="15" cm="1">
        <f t="array" ref="I172">EVAL($AG$12,B172)</f>
        <v>1.2625077764418382</v>
      </c>
      <c r="J172" s="15" cm="1">
        <f t="array" ref="J172">EVAL($AG$13,B172)</f>
        <v>86.047683034420004</v>
      </c>
      <c r="K172" s="15" cm="1">
        <f t="array" ref="K172">EVAL($AG$14,B172)</f>
        <v>0.96499195314312047</v>
      </c>
      <c r="L172" s="15" cm="1">
        <f t="array" ref="L172">EVAL($AG$15,B172)</f>
        <v>52.02688668878271</v>
      </c>
      <c r="M172" s="15" cm="1">
        <f t="array" ref="M172">EVAL($AG$16,B172)</f>
        <v>0.71223327189278895</v>
      </c>
      <c r="N172" s="15" cm="1">
        <f t="array" ref="N172">EVAL($AG$17,B172)</f>
        <v>32.834044991814416</v>
      </c>
      <c r="O172" s="15" cm="1">
        <f t="array" ref="O172">EVAL($AG$18,B172)</f>
        <v>1.1567850722625748E-2</v>
      </c>
      <c r="P172" s="15" cm="1">
        <f t="array" ref="P172">EVAL($AG$19,B172)</f>
        <v>1.1567850722625748E-2</v>
      </c>
      <c r="Q172" s="15" cm="1">
        <f t="array" ref="Q172">EVAL($AH$6,B172)</f>
        <v>0.96238221391274315</v>
      </c>
      <c r="R172" s="15" cm="1">
        <f t="array" ref="R172">EVAL($AH$7,B172)</f>
        <v>0.96238221391274315</v>
      </c>
      <c r="T172" s="15" cm="1">
        <f t="array" ref="T172">EVAL($AH$9,B172)</f>
        <v>0.64228708539604251</v>
      </c>
      <c r="U172" s="15" cm="1">
        <f t="array" ref="U172">EVAL($AH$10,B172)</f>
        <v>0.64228708539604251</v>
      </c>
      <c r="V172" s="15" cm="1">
        <f t="array" ref="V172">EVAL($AH$11,B172)</f>
        <v>0.64228708539604251</v>
      </c>
      <c r="W172" s="15" cm="1">
        <f t="array" ref="W172">EVAL($AH$12,B172)</f>
        <v>16.530959474754944</v>
      </c>
      <c r="X172" s="15" cm="1">
        <f t="array" ref="X172">EVAL($AH$13,B172)</f>
        <v>0.31840188010355425</v>
      </c>
      <c r="Y172" s="15" cm="1">
        <f t="array" ref="Y172">EVAL($AH$14,B172)</f>
        <v>0.31840188010355425</v>
      </c>
    </row>
    <row r="173" spans="1:25" x14ac:dyDescent="0.25">
      <c r="A173" s="20">
        <v>18</v>
      </c>
      <c r="B173" s="41">
        <f t="shared" si="2"/>
        <v>56.548667764616276</v>
      </c>
      <c r="C173" s="15" cm="1">
        <f t="array" ref="C173">EVAL($AG$6,B173)</f>
        <v>233.68008925101836</v>
      </c>
      <c r="D173" s="15" cm="1">
        <f t="array" ref="D173">EVAL($AG$7,B173)</f>
        <v>3.2959954645655518</v>
      </c>
      <c r="F173" s="15" cm="1">
        <f t="array" ref="F173">EVAL($AG$9,B173)</f>
        <v>1.2792995261023961</v>
      </c>
      <c r="G173" s="15" cm="1">
        <f t="array" ref="G173">EVAL($AG$10,B173)</f>
        <v>1.2792995261023961</v>
      </c>
      <c r="H173" s="15" cm="1">
        <f t="array" ref="H173">EVAL($AG$11,B173)</f>
        <v>1.2792995261023961</v>
      </c>
      <c r="I173" s="15" cm="1">
        <f t="array" ref="I173">EVAL($AG$12,B173)</f>
        <v>1.2691669997308577</v>
      </c>
      <c r="J173" s="15" cm="1">
        <f t="array" ref="J173">EVAL($AG$13,B173)</f>
        <v>86.407870556701141</v>
      </c>
      <c r="K173" s="15" cm="1">
        <f t="array" ref="K173">EVAL($AG$14,B173)</f>
        <v>0.96963830220502656</v>
      </c>
      <c r="L173" s="15" cm="1">
        <f t="array" ref="L173">EVAL($AG$15,B173)</f>
        <v>52.203381628692291</v>
      </c>
      <c r="M173" s="15" cm="1">
        <f t="array" ref="M173">EVAL($AG$16,B173)</f>
        <v>0.71425897423016826</v>
      </c>
      <c r="N173" s="15" cm="1">
        <f t="array" ref="N173">EVAL($AG$17,B173)</f>
        <v>32.908834545751439</v>
      </c>
      <c r="O173" s="15" cm="1">
        <f t="array" ref="O173">EVAL($AG$18,B173)</f>
        <v>1.1532267468321634E-2</v>
      </c>
      <c r="P173" s="15" cm="1">
        <f t="array" ref="P173">EVAL($AG$19,B173)</f>
        <v>1.1532267468321634E-2</v>
      </c>
      <c r="Q173" s="15" cm="1">
        <f t="array" ref="Q173">EVAL($AH$6,B173)</f>
        <v>0.96460066441860526</v>
      </c>
      <c r="R173" s="15" cm="1">
        <f t="array" ref="R173">EVAL($AH$7,B173)</f>
        <v>0.96460066441860526</v>
      </c>
      <c r="T173" s="15" cm="1">
        <f t="array" ref="T173">EVAL($AH$9,B173)</f>
        <v>0.64368625611505748</v>
      </c>
      <c r="U173" s="15" cm="1">
        <f t="array" ref="U173">EVAL($AH$10,B173)</f>
        <v>0.64368625611505748</v>
      </c>
      <c r="V173" s="15" cm="1">
        <f t="array" ref="V173">EVAL($AH$11,B173)</f>
        <v>0.64368625611505748</v>
      </c>
      <c r="W173" s="15" cm="1">
        <f t="array" ref="W173">EVAL($AH$12,B173)</f>
        <v>16.667655973198535</v>
      </c>
      <c r="X173" s="15" cm="1">
        <f t="array" ref="X173">EVAL($AH$13,B173)</f>
        <v>0.31886412095805972</v>
      </c>
      <c r="Y173" s="15" cm="1">
        <f t="array" ref="Y173">EVAL($AH$14,B173)</f>
        <v>0.31886412095805972</v>
      </c>
    </row>
    <row r="174" spans="1:25" x14ac:dyDescent="0.25">
      <c r="A174" s="20">
        <v>18.100000000000001</v>
      </c>
      <c r="B174" s="41">
        <f t="shared" si="2"/>
        <v>56.862827029975257</v>
      </c>
      <c r="C174" s="15" cm="1">
        <f t="array" ref="C174">EVAL($AG$6,B174)</f>
        <v>234.57704282169178</v>
      </c>
      <c r="D174" s="15" cm="1">
        <f t="array" ref="D174">EVAL($AG$7,B174)</f>
        <v>3.3011379513123784</v>
      </c>
      <c r="F174" s="15" cm="1">
        <f t="array" ref="F174">EVAL($AG$9,B174)</f>
        <v>1.2865214943084495</v>
      </c>
      <c r="G174" s="15" cm="1">
        <f t="array" ref="G174">EVAL($AG$10,B174)</f>
        <v>1.2865214943084495</v>
      </c>
      <c r="H174" s="15" cm="1">
        <f t="array" ref="H174">EVAL($AG$11,B174)</f>
        <v>1.2865214943084495</v>
      </c>
      <c r="I174" s="15" cm="1">
        <f t="array" ref="I174">EVAL($AG$12,B174)</f>
        <v>1.2758241626681306</v>
      </c>
      <c r="J174" s="15" cm="1">
        <f t="array" ref="J174">EVAL($AG$13,B174)</f>
        <v>86.767557763230712</v>
      </c>
      <c r="K174" s="15" cm="1">
        <f t="array" ref="K174">EVAL($AG$14,B174)</f>
        <v>0.97428109557026032</v>
      </c>
      <c r="L174" s="15" cm="1">
        <f t="array" ref="L174">EVAL($AG$15,B174)</f>
        <v>52.37949251987316</v>
      </c>
      <c r="M174" s="15" cm="1">
        <f t="array" ref="M174">EVAL($AG$16,B174)</f>
        <v>0.71627916737465225</v>
      </c>
      <c r="N174" s="15" cm="1">
        <f t="array" ref="N174">EVAL($AG$17,B174)</f>
        <v>32.983378693224246</v>
      </c>
      <c r="O174" s="15" cm="1">
        <f t="array" ref="O174">EVAL($AG$18,B174)</f>
        <v>1.1496989900627442E-2</v>
      </c>
      <c r="P174" s="15" cm="1">
        <f t="array" ref="P174">EVAL($AG$19,B174)</f>
        <v>1.1496989900627442E-2</v>
      </c>
      <c r="Q174" s="15" cm="1">
        <f t="array" ref="Q174">EVAL($AH$6,B174)</f>
        <v>0.9668118957319306</v>
      </c>
      <c r="R174" s="15" cm="1">
        <f t="array" ref="R174">EVAL($AH$7,B174)</f>
        <v>0.9668118957319306</v>
      </c>
      <c r="T174" s="15" cm="1">
        <f t="array" ref="T174">EVAL($AH$9,B174)</f>
        <v>0.64508069784178312</v>
      </c>
      <c r="U174" s="15" cm="1">
        <f t="array" ref="U174">EVAL($AH$10,B174)</f>
        <v>0.64508069784178312</v>
      </c>
      <c r="V174" s="15" cm="1">
        <f t="array" ref="V174">EVAL($AH$11,B174)</f>
        <v>0.64508069784178312</v>
      </c>
      <c r="W174" s="15" cm="1">
        <f t="array" ref="W174">EVAL($AH$12,B174)</f>
        <v>16.804716112919269</v>
      </c>
      <c r="X174" s="15" cm="1">
        <f t="array" ref="X174">EVAL($AH$13,B174)</f>
        <v>0.31932446639958573</v>
      </c>
      <c r="Y174" s="15" cm="1">
        <f t="array" ref="Y174">EVAL($AH$14,B174)</f>
        <v>0.31932446639958573</v>
      </c>
    </row>
    <row r="175" spans="1:25" x14ac:dyDescent="0.25">
      <c r="A175" s="20">
        <v>18.2</v>
      </c>
      <c r="B175" s="41">
        <f t="shared" si="2"/>
        <v>57.176986295334231</v>
      </c>
      <c r="C175" s="15" cm="1">
        <f t="array" ref="C175">EVAL($AG$6,B175)</f>
        <v>235.47246890000326</v>
      </c>
      <c r="D175" s="15" cm="1">
        <f t="array" ref="D175">EVAL($AG$7,B175)</f>
        <v>3.3062600618687572</v>
      </c>
      <c r="F175" s="15" cm="1">
        <f t="array" ref="F175">EVAL($AG$9,B175)</f>
        <v>1.2937441049423828</v>
      </c>
      <c r="G175" s="15" cm="1">
        <f t="array" ref="G175">EVAL($AG$10,B175)</f>
        <v>1.2937441049423828</v>
      </c>
      <c r="H175" s="15" cm="1">
        <f t="array" ref="H175">EVAL($AG$11,B175)</f>
        <v>1.2937441049423828</v>
      </c>
      <c r="I175" s="15" cm="1">
        <f t="array" ref="I175">EVAL($AG$12,B175)</f>
        <v>1.2824792772691296</v>
      </c>
      <c r="J175" s="15" cm="1">
        <f t="array" ref="J175">EVAL($AG$13,B175)</f>
        <v>87.126748107428526</v>
      </c>
      <c r="K175" s="15" cm="1">
        <f t="array" ref="K175">EVAL($AG$14,B175)</f>
        <v>0.97892035558231805</v>
      </c>
      <c r="L175" s="15" cm="1">
        <f t="array" ref="L175">EVAL($AG$15,B175)</f>
        <v>52.555222312938568</v>
      </c>
      <c r="M175" s="15" cm="1">
        <f t="array" ref="M175">EVAL($AG$16,B175)</f>
        <v>0.71829389662334331</v>
      </c>
      <c r="N175" s="15" cm="1">
        <f t="array" ref="N175">EVAL($AG$17,B175)</f>
        <v>33.057679588681843</v>
      </c>
      <c r="O175" s="15" cm="1">
        <f t="array" ref="O175">EVAL($AG$18,B175)</f>
        <v>1.1462013726243104E-2</v>
      </c>
      <c r="P175" s="15" cm="1">
        <f t="array" ref="P175">EVAL($AG$19,B175)</f>
        <v>1.1462013726243104E-2</v>
      </c>
      <c r="Q175" s="15" cm="1">
        <f t="array" ref="Q175">EVAL($AH$6,B175)</f>
        <v>0.96901597103650028</v>
      </c>
      <c r="R175" s="15" cm="1">
        <f t="array" ref="R175">EVAL($AH$7,B175)</f>
        <v>0.96901597103650028</v>
      </c>
      <c r="T175" s="15" cm="1">
        <f t="array" ref="T175">EVAL($AH$9,B175)</f>
        <v>0.64647045255478042</v>
      </c>
      <c r="U175" s="15" cm="1">
        <f t="array" ref="U175">EVAL($AH$10,B175)</f>
        <v>0.64647045255478042</v>
      </c>
      <c r="V175" s="15" cm="1">
        <f t="array" ref="V175">EVAL($AH$11,B175)</f>
        <v>0.64647045255478042</v>
      </c>
      <c r="W175" s="15" cm="1">
        <f t="array" ref="W175">EVAL($AH$12,B175)</f>
        <v>16.942138844188761</v>
      </c>
      <c r="X175" s="15" cm="1">
        <f t="array" ref="X175">EVAL($AH$13,B175)</f>
        <v>0.3197829346080574</v>
      </c>
      <c r="Y175" s="15" cm="1">
        <f t="array" ref="Y175">EVAL($AH$14,B175)</f>
        <v>0.3197829346080574</v>
      </c>
    </row>
    <row r="176" spans="1:25" x14ac:dyDescent="0.25">
      <c r="A176" s="20">
        <v>18.3</v>
      </c>
      <c r="B176" s="41">
        <f t="shared" si="2"/>
        <v>57.491145560693219</v>
      </c>
      <c r="C176" s="15" cm="1">
        <f t="array" ref="C176">EVAL($AG$6,B176)</f>
        <v>236.36637845876072</v>
      </c>
      <c r="D176" s="15" cm="1">
        <f t="array" ref="D176">EVAL($AG$7,B176)</f>
        <v>3.3113619882667291</v>
      </c>
      <c r="F176" s="15" cm="1">
        <f t="array" ref="F176">EVAL($AG$9,B176)</f>
        <v>1.3009673545310159</v>
      </c>
      <c r="G176" s="15" cm="1">
        <f t="array" ref="G176">EVAL($AG$10,B176)</f>
        <v>1.3009673545310159</v>
      </c>
      <c r="H176" s="15" cm="1">
        <f t="array" ref="H176">EVAL($AG$11,B176)</f>
        <v>1.3009673545310159</v>
      </c>
      <c r="I176" s="15" cm="1">
        <f t="array" ref="I176">EVAL($AG$12,B176)</f>
        <v>1.2891323554136369</v>
      </c>
      <c r="J176" s="15" cm="1">
        <f t="array" ref="J176">EVAL($AG$13,B176)</f>
        <v>87.485445000046255</v>
      </c>
      <c r="K176" s="15" cm="1">
        <f t="array" ref="K176">EVAL($AG$14,B176)</f>
        <v>0.98355610432234708</v>
      </c>
      <c r="L176" s="15" cm="1">
        <f t="array" ref="L176">EVAL($AG$15,B176)</f>
        <v>52.730573919761994</v>
      </c>
      <c r="M176" s="15" cm="1">
        <f t="array" ref="M176">EVAL($AG$16,B176)</f>
        <v>0.72030320665439596</v>
      </c>
      <c r="N176" s="15" cm="1">
        <f t="array" ref="N176">EVAL($AG$17,B176)</f>
        <v>33.131739355944291</v>
      </c>
      <c r="O176" s="15" cm="1">
        <f t="array" ref="O176">EVAL($AG$18,B176)</f>
        <v>1.1427334735326566E-2</v>
      </c>
      <c r="P176" s="15" cm="1">
        <f t="array" ref="P176">EVAL($AG$19,B176)</f>
        <v>1.1427334735326566E-2</v>
      </c>
      <c r="Q176" s="15" cm="1">
        <f t="array" ref="Q176">EVAL($AH$6,B176)</f>
        <v>0.97121295261952323</v>
      </c>
      <c r="R176" s="15" cm="1">
        <f t="array" ref="R176">EVAL($AH$7,B176)</f>
        <v>0.97121295261952323</v>
      </c>
      <c r="T176" s="15" cm="1">
        <f t="array" ref="T176">EVAL($AH$9,B176)</f>
        <v>0.64785556163174862</v>
      </c>
      <c r="U176" s="15" cm="1">
        <f t="array" ref="U176">EVAL($AH$10,B176)</f>
        <v>0.64785556163174862</v>
      </c>
      <c r="V176" s="15" cm="1">
        <f t="array" ref="V176">EVAL($AH$11,B176)</f>
        <v>0.64785556163174862</v>
      </c>
      <c r="W176" s="15" cm="1">
        <f t="array" ref="W176">EVAL($AH$12,B176)</f>
        <v>17.079923126067715</v>
      </c>
      <c r="X176" s="15" cm="1">
        <f t="array" ref="X176">EVAL($AH$13,B176)</f>
        <v>0.3202395434902941</v>
      </c>
      <c r="Y176" s="15" cm="1">
        <f t="array" ref="Y176">EVAL($AH$14,B176)</f>
        <v>0.3202395434902941</v>
      </c>
    </row>
    <row r="177" spans="1:25" x14ac:dyDescent="0.25">
      <c r="A177" s="20">
        <v>18.399999999999999</v>
      </c>
      <c r="B177" s="41">
        <f t="shared" si="2"/>
        <v>57.805304826052186</v>
      </c>
      <c r="C177" s="15" cm="1">
        <f t="array" ref="C177">EVAL($AG$6,B177)</f>
        <v>237.25878233246593</v>
      </c>
      <c r="D177" s="15" cm="1">
        <f t="array" ref="D177">EVAL($AG$7,B177)</f>
        <v>3.3164439196911077</v>
      </c>
      <c r="F177" s="15" cm="1">
        <f t="array" ref="F177">EVAL($AG$9,B177)</f>
        <v>1.30819123963882</v>
      </c>
      <c r="G177" s="15" cm="1">
        <f t="array" ref="G177">EVAL($AG$10,B177)</f>
        <v>1.30819123963882</v>
      </c>
      <c r="H177" s="15" cm="1">
        <f t="array" ref="H177">EVAL($AG$11,B177)</f>
        <v>1.30819123963882</v>
      </c>
      <c r="I177" s="15" cm="1">
        <f t="array" ref="I177">EVAL($AG$12,B177)</f>
        <v>1.2957834088479965</v>
      </c>
      <c r="J177" s="15" cm="1">
        <f t="array" ref="J177">EVAL($AG$13,B177)</f>
        <v>87.843651809924083</v>
      </c>
      <c r="K177" s="15" cm="1">
        <f t="array" ref="K177">EVAL($AG$14,B177)</f>
        <v>0.98818836361363138</v>
      </c>
      <c r="L177" s="15" cm="1">
        <f t="array" ref="L177">EVAL($AG$15,B177)</f>
        <v>52.905550214194164</v>
      </c>
      <c r="M177" s="15" cm="1">
        <f t="array" ref="M177">EVAL($AG$16,B177)</f>
        <v>0.72230714153880404</v>
      </c>
      <c r="N177" s="15" cm="1">
        <f t="array" ref="N177">EVAL($AG$17,B177)</f>
        <v>33.205560088802706</v>
      </c>
      <c r="O177" s="15" cm="1">
        <f t="array" ref="O177">EVAL($AG$18,B177)</f>
        <v>1.1392948799426244E-2</v>
      </c>
      <c r="P177" s="15" cm="1">
        <f t="array" ref="P177">EVAL($AG$19,B177)</f>
        <v>1.1392948799426244E-2</v>
      </c>
      <c r="Q177" s="15" cm="1">
        <f t="array" ref="Q177">EVAL($AH$6,B177)</f>
        <v>0.97340290188917478</v>
      </c>
      <c r="R177" s="15" cm="1">
        <f t="array" ref="R177">EVAL($AH$7,B177)</f>
        <v>0.97340290188917478</v>
      </c>
      <c r="T177" s="15" cm="1">
        <f t="array" ref="T177">EVAL($AH$9,B177)</f>
        <v>0.64923606586135296</v>
      </c>
      <c r="U177" s="15" cm="1">
        <f t="array" ref="U177">EVAL($AH$10,B177)</f>
        <v>0.64923606586135296</v>
      </c>
      <c r="V177" s="15" cm="1">
        <f t="array" ref="V177">EVAL($AH$11,B177)</f>
        <v>0.64923606586135296</v>
      </c>
      <c r="W177" s="15" cm="1">
        <f t="array" ref="W177">EVAL($AH$12,B177)</f>
        <v>17.218067926284476</v>
      </c>
      <c r="X177" s="15" cm="1">
        <f t="array" ref="X177">EVAL($AH$13,B177)</f>
        <v>0.32069431068557819</v>
      </c>
      <c r="Y177" s="15" cm="1">
        <f t="array" ref="Y177">EVAL($AH$14,B177)</f>
        <v>0.32069431068557819</v>
      </c>
    </row>
    <row r="178" spans="1:25" x14ac:dyDescent="0.25">
      <c r="A178" s="20">
        <v>18.5</v>
      </c>
      <c r="B178" s="41">
        <f t="shared" si="2"/>
        <v>58.119464091411174</v>
      </c>
      <c r="C178" s="15" cm="1">
        <f t="array" ref="C178">EVAL($AG$6,B178)</f>
        <v>238.14969121980172</v>
      </c>
      <c r="D178" s="15" cm="1">
        <f t="array" ref="D178">EVAL($AG$7,B178)</f>
        <v>3.3215060425369227</v>
      </c>
      <c r="F178" s="15" cm="1">
        <f t="array" ref="F178">EVAL($AG$9,B178)</f>
        <v>1.3154157568673144</v>
      </c>
      <c r="G178" s="15" cm="1">
        <f t="array" ref="G178">EVAL($AG$10,B178)</f>
        <v>1.3154157568673144</v>
      </c>
      <c r="H178" s="15" cm="1">
        <f t="array" ref="H178">EVAL($AG$11,B178)</f>
        <v>1.3154157568673144</v>
      </c>
      <c r="I178" s="15" cm="1">
        <f t="array" ref="I178">EVAL($AG$12,B178)</f>
        <v>1.3024324491873405</v>
      </c>
      <c r="J178" s="15" cm="1">
        <f t="array" ref="J178">EVAL($AG$13,B178)</f>
        <v>88.201371864731172</v>
      </c>
      <c r="K178" s="15" cm="1">
        <f t="array" ref="K178">EVAL($AG$14,B178)</f>
        <v>0.99281715502599688</v>
      </c>
      <c r="L178" s="15" cm="1">
        <f t="array" ref="L178">EVAL($AG$15,B178)</f>
        <v>53.080154032763602</v>
      </c>
      <c r="M178" s="15" cm="1">
        <f t="array" ref="M178">EVAL($AG$16,B178)</f>
        <v>0.72430574475190512</v>
      </c>
      <c r="N178" s="15" cm="1">
        <f t="array" ref="N178">EVAL($AG$17,B178)</f>
        <v>33.27914385160463</v>
      </c>
      <c r="O178" s="15" cm="1">
        <f t="array" ref="O178">EVAL($AG$18,B178)</f>
        <v>1.1358851869475403E-2</v>
      </c>
      <c r="P178" s="15" cm="1">
        <f t="array" ref="P178">EVAL($AG$19,B178)</f>
        <v>1.1358851869475403E-2</v>
      </c>
      <c r="Q178" s="15" cm="1">
        <f t="array" ref="Q178">EVAL($AH$6,B178)</f>
        <v>0.97558587939171104</v>
      </c>
      <c r="R178" s="15" cm="1">
        <f t="array" ref="R178">EVAL($AH$7,B178)</f>
        <v>0.97558587939171104</v>
      </c>
      <c r="T178" s="15" cm="1">
        <f t="array" ref="T178">EVAL($AH$9,B178)</f>
        <v>0.65061200545476416</v>
      </c>
      <c r="U178" s="15" cm="1">
        <f t="array" ref="U178">EVAL($AH$10,B178)</f>
        <v>0.65061200545476416</v>
      </c>
      <c r="V178" s="15" cm="1">
        <f t="array" ref="V178">EVAL($AH$11,B178)</f>
        <v>0.65061200545476416</v>
      </c>
      <c r="W178" s="15" cm="1">
        <f t="array" ref="W178">EVAL($AH$12,B178)</f>
        <v>17.356572221116309</v>
      </c>
      <c r="X178" s="15" cm="1">
        <f t="array" ref="X178">EVAL($AH$13,B178)</f>
        <v>0.32114725357108259</v>
      </c>
      <c r="Y178" s="15" cm="1">
        <f t="array" ref="Y178">EVAL($AH$14,B178)</f>
        <v>0.32114725357108259</v>
      </c>
    </row>
    <row r="179" spans="1:25" x14ac:dyDescent="0.25">
      <c r="A179" s="20">
        <v>18.600000000000001</v>
      </c>
      <c r="B179" s="41">
        <f t="shared" si="2"/>
        <v>58.433623356770156</v>
      </c>
      <c r="C179" s="15" cm="1">
        <f t="array" ref="C179">EVAL($AG$6,B179)</f>
        <v>239.0391156860577</v>
      </c>
      <c r="D179" s="15" cm="1">
        <f t="array" ref="D179">EVAL($AG$7,B179)</f>
        <v>3.3265485404653727</v>
      </c>
      <c r="F179" s="15" cm="1">
        <f t="array" ref="F179">EVAL($AG$9,B179)</f>
        <v>1.3226409028544603</v>
      </c>
      <c r="G179" s="15" cm="1">
        <f t="array" ref="G179">EVAL($AG$10,B179)</f>
        <v>1.3226409028544603</v>
      </c>
      <c r="H179" s="15" cm="1">
        <f t="array" ref="H179">EVAL($AG$11,B179)</f>
        <v>1.3226409028544603</v>
      </c>
      <c r="I179" s="15" cm="1">
        <f t="array" ref="I179">EVAL($AG$12,B179)</f>
        <v>1.3090794879177499</v>
      </c>
      <c r="J179" s="15" cm="1">
        <f t="array" ref="J179">EVAL($AG$13,B179)</f>
        <v>88.558608451687917</v>
      </c>
      <c r="K179" s="15" cm="1">
        <f t="array" ref="K179">EVAL($AG$14,B179)</f>
        <v>0.99744249988010047</v>
      </c>
      <c r="L179" s="15" cm="1">
        <f t="array" ref="L179">EVAL($AG$15,B179)</f>
        <v>53.2543881753599</v>
      </c>
      <c r="M179" s="15" cm="1">
        <f t="array" ref="M179">EVAL($AG$16,B179)</f>
        <v>0.72629905918460014</v>
      </c>
      <c r="N179" s="15" cm="1">
        <f t="array" ref="N179">EVAL($AG$17,B179)</f>
        <v>33.352492679824664</v>
      </c>
      <c r="O179" s="15" cm="1">
        <f t="array" ref="O179">EVAL($AG$18,B179)</f>
        <v>1.1325039973846656E-2</v>
      </c>
      <c r="P179" s="15" cm="1">
        <f t="array" ref="P179">EVAL($AG$19,B179)</f>
        <v>1.1325039973846656E-2</v>
      </c>
      <c r="Q179" s="15" cm="1">
        <f t="array" ref="Q179">EVAL($AH$6,B179)</f>
        <v>0.97776194482814804</v>
      </c>
      <c r="R179" s="15" cm="1">
        <f t="array" ref="R179">EVAL($AH$7,B179)</f>
        <v>0.97776194482814804</v>
      </c>
      <c r="T179" s="15" cm="1">
        <f t="array" ref="T179">EVAL($AH$9,B179)</f>
        <v>0.65198342005690368</v>
      </c>
      <c r="U179" s="15" cm="1">
        <f t="array" ref="U179">EVAL($AH$10,B179)</f>
        <v>0.65198342005690368</v>
      </c>
      <c r="V179" s="15" cm="1">
        <f t="array" ref="V179">EVAL($AH$11,B179)</f>
        <v>0.65198342005690368</v>
      </c>
      <c r="W179" s="15" cm="1">
        <f t="array" ref="W179">EVAL($AH$12,B179)</f>
        <v>17.495434995272483</v>
      </c>
      <c r="X179" s="15" cm="1">
        <f t="array" ref="X179">EVAL($AH$13,B179)</f>
        <v>0.321598389267158</v>
      </c>
      <c r="Y179" s="15" cm="1">
        <f t="array" ref="Y179">EVAL($AH$14,B179)</f>
        <v>0.321598389267158</v>
      </c>
    </row>
    <row r="180" spans="1:25" x14ac:dyDescent="0.25">
      <c r="A180" s="20">
        <v>18.7</v>
      </c>
      <c r="B180" s="41">
        <f t="shared" si="2"/>
        <v>58.747782622129129</v>
      </c>
      <c r="C180" s="15" cm="1">
        <f t="array" ref="C180">EVAL($AG$6,B180)</f>
        <v>239.92706616550132</v>
      </c>
      <c r="D180" s="15" cm="1">
        <f t="array" ref="D180">EVAL($AG$7,B180)</f>
        <v>3.3315715944583935</v>
      </c>
      <c r="F180" s="15" cm="1">
        <f t="array" ref="F180">EVAL($AG$9,B180)</f>
        <v>1.3298666742740819</v>
      </c>
      <c r="G180" s="15" cm="1">
        <f t="array" ref="G180">EVAL($AG$10,B180)</f>
        <v>1.3298666742740819</v>
      </c>
      <c r="H180" s="15" cm="1">
        <f t="array" ref="H180">EVAL($AG$11,B180)</f>
        <v>1.3298666742740819</v>
      </c>
      <c r="I180" s="15" cm="1">
        <f t="array" ref="I180">EVAL($AG$12,B180)</f>
        <v>1.3157245363983769</v>
      </c>
      <c r="J180" s="15" cm="1">
        <f t="array" ref="J180">EVAL($AG$13,B180)</f>
        <v>88.915364818272735</v>
      </c>
      <c r="K180" s="15" cm="1">
        <f t="array" ref="K180">EVAL($AG$14,B180)</f>
        <v>1.0020644192516386</v>
      </c>
      <c r="L180" s="15" cm="1">
        <f t="array" ref="L180">EVAL($AG$15,B180)</f>
        <v>53.428255405901503</v>
      </c>
      <c r="M180" s="15" cm="1">
        <f t="array" ref="M180">EVAL($AG$16,B180)</f>
        <v>0.72828712715430854</v>
      </c>
      <c r="N180" s="15" cm="1">
        <f t="array" ref="N180">EVAL($AG$17,B180)</f>
        <v>33.425608580621159</v>
      </c>
      <c r="O180" s="15" cm="1">
        <f t="array" ref="O180">EVAL($AG$18,B180)</f>
        <v>1.1291509216464183E-2</v>
      </c>
      <c r="P180" s="15" cm="1">
        <f t="array" ref="P180">EVAL($AG$19,B180)</f>
        <v>1.1291509216464183E-2</v>
      </c>
      <c r="Q180" s="15" cm="1">
        <f t="array" ref="Q180">EVAL($AH$6,B180)</f>
        <v>0.97993115707053879</v>
      </c>
      <c r="R180" s="15" cm="1">
        <f t="array" ref="R180">EVAL($AH$7,B180)</f>
        <v>0.97993115707053879</v>
      </c>
      <c r="T180" s="15" cm="1">
        <f t="array" ref="T180">EVAL($AH$9,B180)</f>
        <v>0.65335034875741738</v>
      </c>
      <c r="U180" s="15" cm="1">
        <f t="array" ref="U180">EVAL($AH$10,B180)</f>
        <v>0.65335034875741738</v>
      </c>
      <c r="V180" s="15" cm="1">
        <f t="array" ref="V180">EVAL($AH$11,B180)</f>
        <v>0.65335034875741738</v>
      </c>
      <c r="W180" s="15" cm="1">
        <f t="array" ref="W180">EVAL($AH$12,B180)</f>
        <v>17.634655241779939</v>
      </c>
      <c r="X180" s="15" cm="1">
        <f t="array" ref="X180">EVAL($AH$13,B180)</f>
        <v>0.32204773464248632</v>
      </c>
      <c r="Y180" s="15" cm="1">
        <f t="array" ref="Y180">EVAL($AH$14,B180)</f>
        <v>0.32204773464248632</v>
      </c>
    </row>
    <row r="181" spans="1:25" x14ac:dyDescent="0.25">
      <c r="A181" s="20">
        <v>18.8</v>
      </c>
      <c r="B181" s="41">
        <f t="shared" si="2"/>
        <v>59.061941887488111</v>
      </c>
      <c r="C181" s="15" cm="1">
        <f t="array" ref="C181">EVAL($AG$6,B181)</f>
        <v>240.81355296369503</v>
      </c>
      <c r="D181" s="15" cm="1">
        <f t="array" ref="D181">EVAL($AG$7,B181)</f>
        <v>3.3365753828718216</v>
      </c>
      <c r="F181" s="15" cm="1">
        <f t="array" ref="F181">EVAL($AG$9,B181)</f>
        <v>1.3370930678352995</v>
      </c>
      <c r="G181" s="15" cm="1">
        <f t="array" ref="G181">EVAL($AG$10,B181)</f>
        <v>1.3370930678352995</v>
      </c>
      <c r="H181" s="15" cm="1">
        <f t="array" ref="H181">EVAL($AG$11,B181)</f>
        <v>1.3370930678352995</v>
      </c>
      <c r="I181" s="15" cm="1">
        <f t="array" ref="I181">EVAL($AG$12,B181)</f>
        <v>1.3223676058635248</v>
      </c>
      <c r="J181" s="15" cm="1">
        <f t="array" ref="J181">EVAL($AG$13,B181)</f>
        <v>89.271644172912417</v>
      </c>
      <c r="K181" s="15" cm="1">
        <f t="array" ref="K181">EVAL($AG$14,B181)</f>
        <v>1.0066829339754562</v>
      </c>
      <c r="L181" s="15" cm="1">
        <f t="array" ref="L181">EVAL($AG$15,B181)</f>
        <v>53.601758452987539</v>
      </c>
      <c r="M181" s="15" cm="1">
        <f t="array" ref="M181">EVAL($AG$16,B181)</f>
        <v>0.73026999041565821</v>
      </c>
      <c r="N181" s="15" cm="1">
        <f t="array" ref="N181">EVAL($AG$17,B181)</f>
        <v>33.498493533379246</v>
      </c>
      <c r="O181" s="15" cm="1">
        <f t="array" ref="O181">EVAL($AG$18,B181)</f>
        <v>1.1258255774971852E-2</v>
      </c>
      <c r="P181" s="15" cm="1">
        <f t="array" ref="P181">EVAL($AG$19,B181)</f>
        <v>1.1258255774971852E-2</v>
      </c>
      <c r="Q181" s="15" cm="1">
        <f t="array" ref="Q181">EVAL($AH$6,B181)</f>
        <v>0.98209357417784793</v>
      </c>
      <c r="R181" s="15" cm="1">
        <f t="array" ref="R181">EVAL($AH$7,B181)</f>
        <v>0.98209357417784793</v>
      </c>
      <c r="T181" s="15" cm="1">
        <f t="array" ref="T181">EVAL($AH$9,B181)</f>
        <v>0.65471283010137449</v>
      </c>
      <c r="U181" s="15" cm="1">
        <f t="array" ref="U181">EVAL($AH$10,B181)</f>
        <v>0.65471283010137449</v>
      </c>
      <c r="V181" s="15" cm="1">
        <f t="array" ref="V181">EVAL($AH$11,B181)</f>
        <v>0.65471283010137449</v>
      </c>
      <c r="W181" s="15" cm="1">
        <f t="array" ref="W181">EVAL($AH$12,B181)</f>
        <v>17.774231961871031</v>
      </c>
      <c r="X181" s="15" cm="1">
        <f t="array" ref="X181">EVAL($AH$13,B181)</f>
        <v>0.32249530631910417</v>
      </c>
      <c r="Y181" s="15" cm="1">
        <f t="array" ref="Y181">EVAL($AH$14,B181)</f>
        <v>0.32249530631910417</v>
      </c>
    </row>
    <row r="182" spans="1:25" x14ac:dyDescent="0.25">
      <c r="A182" s="20">
        <v>18.899999999999999</v>
      </c>
      <c r="B182" s="41">
        <f t="shared" si="2"/>
        <v>59.376101152847085</v>
      </c>
      <c r="C182" s="15" cm="1">
        <f t="array" ref="C182">EVAL($AG$6,B182)</f>
        <v>241.69858625975832</v>
      </c>
      <c r="D182" s="15" cm="1">
        <f t="array" ref="D182">EVAL($AG$7,B182)</f>
        <v>3.3415600814872501</v>
      </c>
      <c r="F182" s="15" cm="1">
        <f t="array" ref="F182">EVAL($AG$9,B182)</f>
        <v>1.3443200802819557</v>
      </c>
      <c r="G182" s="15" cm="1">
        <f t="array" ref="G182">EVAL($AG$10,B182)</f>
        <v>1.3443200802819557</v>
      </c>
      <c r="H182" s="15" cm="1">
        <f t="array" ref="H182">EVAL($AG$11,B182)</f>
        <v>1.3443200802819557</v>
      </c>
      <c r="I182" s="15" cm="1">
        <f t="array" ref="I182">EVAL($AG$12,B182)</f>
        <v>1.3290087074246637</v>
      </c>
      <c r="J182" s="15" cm="1">
        <f t="array" ref="J182">EVAL($AG$13,B182)</f>
        <v>89.627449685656472</v>
      </c>
      <c r="K182" s="15" cm="1">
        <f t="array" ref="K182">EVAL($AG$14,B182)</f>
        <v>1.0112980646495608</v>
      </c>
      <c r="L182" s="15" cm="1">
        <f t="array" ref="L182">EVAL($AG$15,B182)</f>
        <v>53.774900010534189</v>
      </c>
      <c r="M182" s="15" cm="1">
        <f t="array" ref="M182">EVAL($AG$16,B182)</f>
        <v>0.73224769017091773</v>
      </c>
      <c r="N182" s="15" cm="1">
        <f t="array" ref="N182">EVAL($AG$17,B182)</f>
        <v>33.571149490240515</v>
      </c>
      <c r="O182" s="15" cm="1">
        <f t="array" ref="O182">EVAL($AG$18,B182)</f>
        <v>1.1225275898955207E-2</v>
      </c>
      <c r="P182" s="15" cm="1">
        <f t="array" ref="P182">EVAL($AG$19,B182)</f>
        <v>1.1225275898955207E-2</v>
      </c>
      <c r="Q182" s="15" cm="1">
        <f t="array" ref="Q182">EVAL($AH$6,B182)</f>
        <v>0.98424925341143821</v>
      </c>
      <c r="R182" s="15" cm="1">
        <f t="array" ref="R182">EVAL($AH$7,B182)</f>
        <v>0.98424925341143821</v>
      </c>
      <c r="T182" s="15" cm="1">
        <f t="array" ref="T182">EVAL($AH$9,B182)</f>
        <v>0.65607090209970576</v>
      </c>
      <c r="U182" s="15" cm="1">
        <f t="array" ref="U182">EVAL($AH$10,B182)</f>
        <v>0.65607090209970576</v>
      </c>
      <c r="V182" s="15" cm="1">
        <f t="array" ref="V182">EVAL($AH$11,B182)</f>
        <v>0.65607090209970576</v>
      </c>
      <c r="W182" s="15" cm="1">
        <f t="array" ref="W182">EVAL($AH$12,B182)</f>
        <v>17.914164164873164</v>
      </c>
      <c r="X182" s="15" cm="1">
        <f t="array" ref="X182">EVAL($AH$13,B182)</f>
        <v>0.32294112067729847</v>
      </c>
      <c r="Y182" s="15" cm="1">
        <f t="array" ref="Y182">EVAL($AH$14,B182)</f>
        <v>0.32294112067729847</v>
      </c>
    </row>
    <row r="183" spans="1:25" x14ac:dyDescent="0.25">
      <c r="A183" s="20">
        <v>19</v>
      </c>
      <c r="B183" s="41">
        <f t="shared" si="2"/>
        <v>59.690260418206066</v>
      </c>
      <c r="C183" s="15" cm="1">
        <f t="array" ref="C183">EVAL($AG$6,B183)</f>
        <v>242.5821761085794</v>
      </c>
      <c r="D183" s="15" cm="1">
        <f t="array" ref="D183">EVAL($AG$7,B183)</f>
        <v>3.3465258635625723</v>
      </c>
      <c r="F183" s="15" cm="1">
        <f t="array" ref="F183">EVAL($AG$9,B183)</f>
        <v>1.3515477083920791</v>
      </c>
      <c r="G183" s="15" cm="1">
        <f t="array" ref="G183">EVAL($AG$10,B183)</f>
        <v>1.3515477083920791</v>
      </c>
      <c r="H183" s="15" cm="1">
        <f t="array" ref="H183">EVAL($AG$11,B183)</f>
        <v>1.3515477083920791</v>
      </c>
      <c r="I183" s="15" cm="1">
        <f t="array" ref="I183">EVAL($AG$12,B183)</f>
        <v>1.3356478520724284</v>
      </c>
      <c r="J183" s="15" cm="1">
        <f t="array" ref="J183">EVAL($AG$13,B183)</f>
        <v>89.982784488836813</v>
      </c>
      <c r="K183" s="15" cm="1">
        <f t="array" ref="K183">EVAL($AG$14,B183)</f>
        <v>1.0159098316390547</v>
      </c>
      <c r="L183" s="15" cm="1">
        <f t="array" ref="L183">EVAL($AG$15,B183)</f>
        <v>53.947682738396757</v>
      </c>
      <c r="M183" s="15" cm="1">
        <f t="array" ref="M183">EVAL($AG$16,B183)</f>
        <v>0.73422026708018517</v>
      </c>
      <c r="N183" s="15" cm="1">
        <f t="array" ref="N183">EVAL($AG$17,B183)</f>
        <v>33.643578376619992</v>
      </c>
      <c r="O183" s="15" cm="1">
        <f t="array" ref="O183">EVAL($AG$18,B183)</f>
        <v>1.1192565908215473E-2</v>
      </c>
      <c r="P183" s="15" cm="1">
        <f t="array" ref="P183">EVAL($AG$19,B183)</f>
        <v>1.1192565908215473E-2</v>
      </c>
      <c r="Q183" s="15" cm="1">
        <f t="array" ref="Q183">EVAL($AH$6,B183)</f>
        <v>0.9863982512501851</v>
      </c>
      <c r="R183" s="15" cm="1">
        <f t="array" ref="R183">EVAL($AH$7,B183)</f>
        <v>0.9863982512501851</v>
      </c>
      <c r="T183" s="15" cm="1">
        <f t="array" ref="T183">EVAL($AH$9,B183)</f>
        <v>0.65742460223938892</v>
      </c>
      <c r="U183" s="15" cm="1">
        <f t="array" ref="U183">EVAL($AH$10,B183)</f>
        <v>0.65742460223938892</v>
      </c>
      <c r="V183" s="15" cm="1">
        <f t="array" ref="V183">EVAL($AH$11,B183)</f>
        <v>0.65742460223938892</v>
      </c>
      <c r="W183" s="15" cm="1">
        <f t="array" ref="W183">EVAL($AH$12,B183)</f>
        <v>18.054450868100737</v>
      </c>
      <c r="X183" s="15" cm="1">
        <f t="array" ref="X183">EVAL($AH$13,B183)</f>
        <v>0.32338519386038145</v>
      </c>
      <c r="Y183" s="15" cm="1">
        <f t="array" ref="Y183">EVAL($AH$14,B183)</f>
        <v>0.32338519386038145</v>
      </c>
    </row>
    <row r="184" spans="1:25" x14ac:dyDescent="0.25">
      <c r="A184" s="20">
        <v>19.100000000000001</v>
      </c>
      <c r="B184" s="41">
        <f t="shared" si="2"/>
        <v>60.004419683565054</v>
      </c>
      <c r="C184" s="15" cm="1">
        <f t="array" ref="C184">EVAL($AG$6,B184)</f>
        <v>243.46433244297748</v>
      </c>
      <c r="D184" s="15" cm="1">
        <f t="array" ref="D184">EVAL($AG$7,B184)</f>
        <v>3.3514728998812862</v>
      </c>
      <c r="F184" s="15" cm="1">
        <f t="array" ref="F184">EVAL($AG$9,B184)</f>
        <v>1.3587759489773366</v>
      </c>
      <c r="G184" s="15" cm="1">
        <f t="array" ref="G184">EVAL($AG$10,B184)</f>
        <v>1.3587759489773366</v>
      </c>
      <c r="H184" s="15" cm="1">
        <f t="array" ref="H184">EVAL($AG$11,B184)</f>
        <v>1.3587759489773366</v>
      </c>
      <c r="I184" s="15" cm="1">
        <f t="array" ref="I184">EVAL($AG$12,B184)</f>
        <v>1.3422850506785517</v>
      </c>
      <c r="J184" s="15" cm="1">
        <f t="array" ref="J184">EVAL($AG$13,B184)</f>
        <v>90.3376516777125</v>
      </c>
      <c r="K184" s="15" cm="1">
        <f t="array" ref="K184">EVAL($AG$14,B184)</f>
        <v>1.0205182550799801</v>
      </c>
      <c r="L184" s="15" cm="1">
        <f t="array" ref="L184">EVAL($AG$15,B184)</f>
        <v>54.120109262976982</v>
      </c>
      <c r="M184" s="15" cm="1">
        <f t="array" ref="M184">EVAL($AG$16,B184)</f>
        <v>0.7361877612713349</v>
      </c>
      <c r="N184" s="15" cm="1">
        <f t="array" ref="N184">EVAL($AG$17,B184)</f>
        <v>33.715782091710523</v>
      </c>
      <c r="O184" s="15" cm="1">
        <f t="array" ref="O184">EVAL($AG$18,B184)</f>
        <v>1.1160122191093797E-2</v>
      </c>
      <c r="P184" s="15" cm="1">
        <f t="array" ref="P184">EVAL($AG$19,B184)</f>
        <v>1.1160122191093797E-2</v>
      </c>
      <c r="Q184" s="15" cm="1">
        <f t="array" ref="Q184">EVAL($AH$6,B184)</f>
        <v>0.98854062340522453</v>
      </c>
      <c r="R184" s="15" cm="1">
        <f t="array" ref="R184">EVAL($AH$7,B184)</f>
        <v>0.98854062340522453</v>
      </c>
      <c r="T184" s="15" cm="1">
        <f t="array" ref="T184">EVAL($AH$9,B184)</f>
        <v>0.65877396749338446</v>
      </c>
      <c r="U184" s="15" cm="1">
        <f t="array" ref="U184">EVAL($AH$10,B184)</f>
        <v>0.65877396749338446</v>
      </c>
      <c r="V184" s="15" cm="1">
        <f t="array" ref="V184">EVAL($AH$11,B184)</f>
        <v>0.65877396749338446</v>
      </c>
      <c r="W184" s="15" cm="1">
        <f t="array" ref="W184">EVAL($AH$12,B184)</f>
        <v>18.195091096748904</v>
      </c>
      <c r="X184" s="15" cm="1">
        <f t="array" ref="X184">EVAL($AH$13,B184)</f>
        <v>0.32382754177934503</v>
      </c>
      <c r="Y184" s="15" cm="1">
        <f t="array" ref="Y184">EVAL($AH$14,B184)</f>
        <v>0.32382754177934503</v>
      </c>
    </row>
    <row r="185" spans="1:25" x14ac:dyDescent="0.25">
      <c r="A185" s="20">
        <v>19.2</v>
      </c>
      <c r="B185" s="41">
        <f t="shared" si="2"/>
        <v>60.318578948924028</v>
      </c>
      <c r="C185" s="15" cm="1">
        <f t="array" ref="C185">EVAL($AG$6,B185)</f>
        <v>244.34506507581492</v>
      </c>
      <c r="D185" s="15" cm="1">
        <f t="array" ref="D185">EVAL($AG$7,B185)</f>
        <v>3.3564013588005812</v>
      </c>
      <c r="F185" s="15" cm="1">
        <f t="array" ref="F185">EVAL($AG$9,B185)</f>
        <v>1.3660047988825192</v>
      </c>
      <c r="G185" s="15" cm="1">
        <f t="array" ref="G185">EVAL($AG$10,B185)</f>
        <v>1.3660047988825192</v>
      </c>
      <c r="H185" s="15" cm="1">
        <f t="array" ref="H185">EVAL($AG$11,B185)</f>
        <v>1.3660047988825192</v>
      </c>
      <c r="I185" s="15" cm="1">
        <f t="array" ref="I185">EVAL($AG$12,B185)</f>
        <v>1.3489203139977752</v>
      </c>
      <c r="J185" s="15" cm="1">
        <f t="array" ref="J185">EVAL($AG$13,B185)</f>
        <v>90.692054311100378</v>
      </c>
      <c r="K185" s="15" cm="1">
        <f t="array" ref="K185">EVAL($AG$14,B185)</f>
        <v>1.0251233548830827</v>
      </c>
      <c r="L185" s="15" cm="1">
        <f t="array" ref="L185">EVAL($AG$15,B185)</f>
        <v>54.292182177816692</v>
      </c>
      <c r="M185" s="15" cm="1">
        <f t="array" ref="M185">EVAL($AG$16,B185)</f>
        <v>0.73815021234972977</v>
      </c>
      <c r="N185" s="15" cm="1">
        <f t="array" ref="N185">EVAL($AG$17,B185)</f>
        <v>33.787762508975192</v>
      </c>
      <c r="O185" s="15" cm="1">
        <f t="array" ref="O185">EVAL($AG$18,B185)</f>
        <v>1.1127941202844041E-2</v>
      </c>
      <c r="P185" s="15" cm="1">
        <f t="array" ref="P185">EVAL($AG$19,B185)</f>
        <v>1.1127941202844041E-2</v>
      </c>
      <c r="Q185" s="15" cm="1">
        <f t="array" ref="Q185">EVAL($AH$6,B185)</f>
        <v>0.9906764248343487</v>
      </c>
      <c r="R185" s="15" cm="1">
        <f t="array" ref="R185">EVAL($AH$7,B185)</f>
        <v>0.9906764248343487</v>
      </c>
      <c r="T185" s="15" cm="1">
        <f t="array" ref="T185">EVAL($AH$9,B185)</f>
        <v>0.66011903433033592</v>
      </c>
      <c r="U185" s="15" cm="1">
        <f t="array" ref="U185">EVAL($AH$10,B185)</f>
        <v>0.66011903433033592</v>
      </c>
      <c r="V185" s="15" cm="1">
        <f t="array" ref="V185">EVAL($AH$11,B185)</f>
        <v>0.66011903433033592</v>
      </c>
      <c r="W185" s="15" cm="1">
        <f t="array" ref="W185">EVAL($AH$12,B185)</f>
        <v>18.336083883789499</v>
      </c>
      <c r="X185" s="15" cm="1">
        <f t="array" ref="X185">EVAL($AH$13,B185)</f>
        <v>0.32426818011740122</v>
      </c>
      <c r="Y185" s="15" cm="1">
        <f t="array" ref="Y185">EVAL($AH$14,B185)</f>
        <v>0.32426818011740122</v>
      </c>
    </row>
    <row r="186" spans="1:25" x14ac:dyDescent="0.25">
      <c r="A186" s="20">
        <v>19.3</v>
      </c>
      <c r="B186" s="41">
        <f t="shared" si="2"/>
        <v>60.632738214283009</v>
      </c>
      <c r="C186" s="15" cm="1">
        <f t="array" ref="C186">EVAL($AG$6,B186)</f>
        <v>245.22438370206365</v>
      </c>
      <c r="D186" s="15" cm="1">
        <f t="array" ref="D186">EVAL($AG$7,B186)</f>
        <v>3.3613114062982428</v>
      </c>
      <c r="F186" s="15" cm="1">
        <f t="array" ref="F186">EVAL($AG$9,B186)</f>
        <v>1.3732342549850225</v>
      </c>
      <c r="G186" s="15" cm="1">
        <f t="array" ref="G186">EVAL($AG$10,B186)</f>
        <v>1.3732342549850225</v>
      </c>
      <c r="H186" s="15" cm="1">
        <f t="array" ref="H186">EVAL($AG$11,B186)</f>
        <v>1.3732342549850225</v>
      </c>
      <c r="I186" s="15" cm="1">
        <f t="array" ref="I186">EVAL($AG$12,B186)</f>
        <v>1.3555536526697072</v>
      </c>
      <c r="J186" s="15" cm="1">
        <f t="array" ref="J186">EVAL($AG$13,B186)</f>
        <v>91.045995411991555</v>
      </c>
      <c r="K186" s="15" cm="1">
        <f t="array" ref="K186">EVAL($AG$14,B186)</f>
        <v>1.0297251507374923</v>
      </c>
      <c r="L186" s="15" cm="1">
        <f t="array" ref="L186">EVAL($AG$15,B186)</f>
        <v>54.463904044177745</v>
      </c>
      <c r="M186" s="15" cm="1">
        <f t="array" ref="M186">EVAL($AG$16,B186)</f>
        <v>0.7401076594077094</v>
      </c>
      <c r="N186" s="15" cm="1">
        <f t="array" ref="N186">EVAL($AG$17,B186)</f>
        <v>33.859521476627805</v>
      </c>
      <c r="O186" s="15" cm="1">
        <f t="array" ref="O186">EVAL($AG$18,B186)</f>
        <v>1.1096019464052392E-2</v>
      </c>
      <c r="P186" s="15" cm="1">
        <f t="array" ref="P186">EVAL($AG$19,B186)</f>
        <v>1.1096019464052392E-2</v>
      </c>
      <c r="Q186" s="15" cm="1">
        <f t="array" ref="Q186">EVAL($AH$6,B186)</f>
        <v>0.99280570975605886</v>
      </c>
      <c r="R186" s="15" cm="1">
        <f t="array" ref="R186">EVAL($AH$7,B186)</f>
        <v>0.99280570975605886</v>
      </c>
      <c r="T186" s="15" cm="1">
        <f t="array" ref="T186">EVAL($AH$9,B186)</f>
        <v>0.66145983872403569</v>
      </c>
      <c r="U186" s="15" cm="1">
        <f t="array" ref="U186">EVAL($AH$10,B186)</f>
        <v>0.66145983872403569</v>
      </c>
      <c r="V186" s="15" cm="1">
        <f t="array" ref="V186">EVAL($AH$11,B186)</f>
        <v>0.66145983872403569</v>
      </c>
      <c r="W186" s="15" cm="1">
        <f t="array" ref="W186">EVAL($AH$12,B186)</f>
        <v>18.477428269868838</v>
      </c>
      <c r="X186" s="15" cm="1">
        <f t="array" ref="X186">EVAL($AH$13,B186)</f>
        <v>0.32470712433441024</v>
      </c>
      <c r="Y186" s="15" cm="1">
        <f t="array" ref="Y186">EVAL($AH$14,B186)</f>
        <v>0.32470712433441024</v>
      </c>
    </row>
    <row r="187" spans="1:25" x14ac:dyDescent="0.25">
      <c r="A187" s="20">
        <v>19.399999999999999</v>
      </c>
      <c r="B187" s="41">
        <f t="shared" si="2"/>
        <v>60.946897479641983</v>
      </c>
      <c r="C187" s="15" cm="1">
        <f t="array" ref="C187">EVAL($AG$6,B187)</f>
        <v>246.10229790082315</v>
      </c>
      <c r="D187" s="15" cm="1">
        <f t="array" ref="D187">EVAL($AG$7,B187)</f>
        <v>3.3662032060184095</v>
      </c>
      <c r="F187" s="15" cm="1">
        <f t="array" ref="F187">EVAL($AG$9,B187)</f>
        <v>1.3804643141943389</v>
      </c>
      <c r="G187" s="15" cm="1">
        <f t="array" ref="G187">EVAL($AG$10,B187)</f>
        <v>1.3804643141943389</v>
      </c>
      <c r="H187" s="15" cm="1">
        <f t="array" ref="H187">EVAL($AG$11,B187)</f>
        <v>1.3804643141943389</v>
      </c>
      <c r="I187" s="15" cm="1">
        <f t="array" ref="I187">EVAL($AG$12,B187)</f>
        <v>1.3621850772206447</v>
      </c>
      <c r="J187" s="15" cm="1">
        <f t="array" ref="J187">EVAL($AG$13,B187)</f>
        <v>91.399477968154159</v>
      </c>
      <c r="K187" s="15" cm="1">
        <f t="array" ref="K187">EVAL($AG$14,B187)</f>
        <v>1.0343236621143221</v>
      </c>
      <c r="L187" s="15" cm="1">
        <f t="array" ref="L187">EVAL($AG$15,B187)</f>
        <v>54.635277391608788</v>
      </c>
      <c r="M187" s="15" cm="1">
        <f t="array" ref="M187">EVAL($AG$16,B187)</f>
        <v>0.74206014103385398</v>
      </c>
      <c r="N187" s="15" cm="1">
        <f t="array" ref="N187">EVAL($AG$17,B187)</f>
        <v>33.931060818102139</v>
      </c>
      <c r="O187" s="15" cm="1">
        <f t="array" ref="O187">EVAL($AG$18,B187)</f>
        <v>1.1064353559102322E-2</v>
      </c>
      <c r="P187" s="15" cm="1">
        <f t="array" ref="P187">EVAL($AG$19,B187)</f>
        <v>1.1064353559102322E-2</v>
      </c>
      <c r="Q187" s="15" cm="1">
        <f t="array" ref="Q187">EVAL($AH$6,B187)</f>
        <v>0.99492853166328143</v>
      </c>
      <c r="R187" s="15" cm="1">
        <f t="array" ref="R187">EVAL($AH$7,B187)</f>
        <v>0.99492853166328143</v>
      </c>
      <c r="T187" s="15" cm="1">
        <f t="array" ref="T187">EVAL($AH$9,B187)</f>
        <v>0.66279641616266294</v>
      </c>
      <c r="U187" s="15" cm="1">
        <f t="array" ref="U187">EVAL($AH$10,B187)</f>
        <v>0.66279641616266294</v>
      </c>
      <c r="V187" s="15" cm="1">
        <f t="array" ref="V187">EVAL($AH$11,B187)</f>
        <v>0.66279641616266294</v>
      </c>
      <c r="W187" s="15" cm="1">
        <f t="array" ref="W187">EVAL($AH$12,B187)</f>
        <v>18.619123303207097</v>
      </c>
      <c r="X187" s="15" cm="1">
        <f t="array" ref="X187">EVAL($AH$13,B187)</f>
        <v>0.32514438967119952</v>
      </c>
      <c r="Y187" s="15" cm="1">
        <f t="array" ref="Y187">EVAL($AH$14,B187)</f>
        <v>0.32514438967119952</v>
      </c>
    </row>
    <row r="188" spans="1:25" x14ac:dyDescent="0.25">
      <c r="A188" s="20">
        <v>19.5</v>
      </c>
      <c r="B188" s="41">
        <f t="shared" si="2"/>
        <v>61.261056745000964</v>
      </c>
      <c r="C188" s="15" cm="1">
        <f t="array" ref="C188">EVAL($AG$6,B188)</f>
        <v>246.97881713729572</v>
      </c>
      <c r="D188" s="15" cm="1">
        <f t="array" ref="D188">EVAL($AG$7,B188)</f>
        <v>3.3710769193162209</v>
      </c>
      <c r="F188" s="15" cm="1">
        <f t="array" ref="F188">EVAL($AG$9,B188)</f>
        <v>1.3876949734515662</v>
      </c>
      <c r="G188" s="15" cm="1">
        <f t="array" ref="G188">EVAL($AG$10,B188)</f>
        <v>1.3876949734515662</v>
      </c>
      <c r="H188" s="15" cm="1">
        <f t="array" ref="H188">EVAL($AG$11,B188)</f>
        <v>1.3876949734515662</v>
      </c>
      <c r="I188" s="15" cm="1">
        <f t="array" ref="I188">EVAL($AG$12,B188)</f>
        <v>1.3688145980653552</v>
      </c>
      <c r="J188" s="15" cm="1">
        <f t="array" ref="J188">EVAL($AG$13,B188)</f>
        <v>91.752504932723099</v>
      </c>
      <c r="K188" s="15" cm="1">
        <f t="array" ref="K188">EVAL($AG$14,B188)</f>
        <v>1.0389189082701928</v>
      </c>
      <c r="L188" s="15" cm="1">
        <f t="array" ref="L188">EVAL($AG$15,B188)</f>
        <v>54.806304718499049</v>
      </c>
      <c r="M188" s="15" cm="1">
        <f t="array" ref="M188">EVAL($AG$16,B188)</f>
        <v>0.74400769532203592</v>
      </c>
      <c r="N188" s="15" cm="1">
        <f t="array" ref="N188">EVAL($AG$17,B188)</f>
        <v>34.002382332509875</v>
      </c>
      <c r="O188" s="15" cm="1">
        <f t="array" ref="O188">EVAL($AG$18,B188)</f>
        <v>1.1032940134683308E-2</v>
      </c>
      <c r="P188" s="15" cm="1">
        <f t="array" ref="P188">EVAL($AG$19,B188)</f>
        <v>1.1032940134683308E-2</v>
      </c>
      <c r="Q188" s="15" cm="1">
        <f t="array" ref="Q188">EVAL($AH$6,B188)</f>
        <v>0.99704494333676275</v>
      </c>
      <c r="R188" s="15" cm="1">
        <f t="array" ref="R188">EVAL($AH$7,B188)</f>
        <v>0.99704494333676275</v>
      </c>
      <c r="T188" s="15" cm="1">
        <f t="array" ref="T188">EVAL($AH$9,B188)</f>
        <v>0.66412880165780619</v>
      </c>
      <c r="U188" s="15" cm="1">
        <f t="array" ref="U188">EVAL($AH$10,B188)</f>
        <v>0.66412880165780619</v>
      </c>
      <c r="V188" s="15" cm="1">
        <f t="array" ref="V188">EVAL($AH$11,B188)</f>
        <v>0.66412880165780619</v>
      </c>
      <c r="W188" s="15" cm="1">
        <f t="array" ref="W188">EVAL($AH$12,B188)</f>
        <v>18.761168039499783</v>
      </c>
      <c r="X188" s="15" cm="1">
        <f t="array" ref="X188">EVAL($AH$13,B188)</f>
        <v>0.32557999115377789</v>
      </c>
      <c r="Y188" s="15" cm="1">
        <f t="array" ref="Y188">EVAL($AH$14,B188)</f>
        <v>0.32557999115377789</v>
      </c>
    </row>
    <row r="189" spans="1:25" x14ac:dyDescent="0.25">
      <c r="A189" s="20">
        <v>19.600000000000001</v>
      </c>
      <c r="B189" s="41">
        <f t="shared" si="2"/>
        <v>61.575216010359952</v>
      </c>
      <c r="C189" s="15" cm="1">
        <f t="array" ref="C189">EVAL($AG$6,B189)</f>
        <v>247.85395076471772</v>
      </c>
      <c r="D189" s="15" cm="1">
        <f t="array" ref="D189">EVAL($AG$7,B189)</f>
        <v>3.3759327053013966</v>
      </c>
      <c r="F189" s="15" cm="1">
        <f t="array" ref="F189">EVAL($AG$9,B189)</f>
        <v>1.3949262297289289</v>
      </c>
      <c r="G189" s="15" cm="1">
        <f t="array" ref="G189">EVAL($AG$10,B189)</f>
        <v>1.3949262297289289</v>
      </c>
      <c r="H189" s="15" cm="1">
        <f t="array" ref="H189">EVAL($AG$11,B189)</f>
        <v>1.3949262297289289</v>
      </c>
      <c r="I189" s="15" cm="1">
        <f t="array" ref="I189">EVAL($AG$12,B189)</f>
        <v>1.3754422255088321</v>
      </c>
      <c r="J189" s="15" cm="1">
        <f t="array" ref="J189">EVAL($AG$13,B189)</f>
        <v>92.105079224777199</v>
      </c>
      <c r="K189" s="15" cm="1">
        <f t="array" ref="K189">EVAL($AG$14,B189)</f>
        <v>1.0435109082506893</v>
      </c>
      <c r="L189" s="15" cm="1">
        <f t="array" ref="L189">EVAL($AG$15,B189)</f>
        <v>54.976988492620215</v>
      </c>
      <c r="M189" s="15" cm="1">
        <f t="array" ref="M189">EVAL($AG$16,B189)</f>
        <v>0.74595035988026537</v>
      </c>
      <c r="N189" s="15" cm="1">
        <f t="array" ref="N189">EVAL($AG$17,B189)</f>
        <v>34.073487795088084</v>
      </c>
      <c r="O189" s="15" cm="1">
        <f t="array" ref="O189">EVAL($AG$18,B189)</f>
        <v>1.1001775898341766E-2</v>
      </c>
      <c r="P189" s="15" cm="1">
        <f t="array" ref="P189">EVAL($AG$19,B189)</f>
        <v>1.1001775898341766E-2</v>
      </c>
      <c r="Q189" s="15" cm="1">
        <f t="array" ref="Q189">EVAL($AH$6,B189)</f>
        <v>0.99915499685815101</v>
      </c>
      <c r="R189" s="15" cm="1">
        <f t="array" ref="R189">EVAL($AH$7,B189)</f>
        <v>0.99915499685815101</v>
      </c>
      <c r="T189" s="15" cm="1">
        <f t="array" ref="T189">EVAL($AH$9,B189)</f>
        <v>0.66545702975327081</v>
      </c>
      <c r="U189" s="15" cm="1">
        <f t="array" ref="U189">EVAL($AH$10,B189)</f>
        <v>0.66545702975327081</v>
      </c>
      <c r="V189" s="15" cm="1">
        <f t="array" ref="V189">EVAL($AH$11,B189)</f>
        <v>0.66545702975327081</v>
      </c>
      <c r="W189" s="15" cm="1">
        <f t="array" ref="W189">EVAL($AH$12,B189)</f>
        <v>18.903561541821141</v>
      </c>
      <c r="X189" s="15" cm="1">
        <f t="array" ref="X189">EVAL($AH$13,B189)</f>
        <v>0.32601394359744812</v>
      </c>
      <c r="Y189" s="15" cm="1">
        <f t="array" ref="Y189">EVAL($AH$14,B189)</f>
        <v>0.32601394359744812</v>
      </c>
    </row>
    <row r="190" spans="1:25" x14ac:dyDescent="0.25">
      <c r="A190" s="20">
        <v>19.7</v>
      </c>
      <c r="B190" s="41">
        <f t="shared" si="2"/>
        <v>61.889375275718919</v>
      </c>
      <c r="C190" s="15" cm="1">
        <f t="array" ref="C190">EVAL($AG$6,B190)</f>
        <v>248.72770802624737</v>
      </c>
      <c r="D190" s="15" cm="1">
        <f t="array" ref="D190">EVAL($AG$7,B190)</f>
        <v>3.380770720880748</v>
      </c>
      <c r="F190" s="15" cm="1">
        <f t="array" ref="F190">EVAL($AG$9,B190)</f>
        <v>1.402158080029293</v>
      </c>
      <c r="G190" s="15" cm="1">
        <f t="array" ref="G190">EVAL($AG$10,B190)</f>
        <v>1.402158080029293</v>
      </c>
      <c r="H190" s="15" cm="1">
        <f t="array" ref="H190">EVAL($AG$11,B190)</f>
        <v>1.402158080029293</v>
      </c>
      <c r="I190" s="15" cm="1">
        <f t="array" ref="I190">EVAL($AG$12,B190)</f>
        <v>1.3820679697479963</v>
      </c>
      <c r="J190" s="15" cm="1">
        <f t="array" ref="J190">EVAL($AG$13,B190)</f>
        <v>92.45720372990327</v>
      </c>
      <c r="K190" s="15" cm="1">
        <f t="array" ref="K190">EVAL($AG$14,B190)</f>
        <v>1.0480996808937293</v>
      </c>
      <c r="L190" s="15" cm="1">
        <f t="array" ref="L190">EVAL($AG$15,B190)</f>
        <v>55.147331151655294</v>
      </c>
      <c r="M190" s="15" cm="1">
        <f t="array" ref="M190">EVAL($AG$16,B190)</f>
        <v>0.7478881718393291</v>
      </c>
      <c r="N190" s="15" cm="1">
        <f t="array" ref="N190">EVAL($AG$17,B190)</f>
        <v>34.144378957635872</v>
      </c>
      <c r="O190" s="15" cm="1">
        <f t="array" ref="O190">EVAL($AG$18,B190)</f>
        <v>1.0970857617072999E-2</v>
      </c>
      <c r="P190" s="15" cm="1">
        <f t="array" ref="P190">EVAL($AG$19,B190)</f>
        <v>1.0970857617072999E-2</v>
      </c>
      <c r="Q190" s="15" cm="1">
        <f t="array" ref="Q190">EVAL($AH$6,B190)</f>
        <v>1.0012587436227685</v>
      </c>
      <c r="R190" s="15" cm="1">
        <f t="array" ref="R190">EVAL($AH$7,B190)</f>
        <v>1.0012587436227685</v>
      </c>
      <c r="T190" s="15" cm="1">
        <f t="array" ref="T190">EVAL($AH$9,B190)</f>
        <v>0.66678113453367982</v>
      </c>
      <c r="U190" s="15" cm="1">
        <f t="array" ref="U190">EVAL($AH$10,B190)</f>
        <v>0.66678113453367982</v>
      </c>
      <c r="V190" s="15" cm="1">
        <f t="array" ref="V190">EVAL($AH$11,B190)</f>
        <v>0.66678113453367982</v>
      </c>
      <c r="W190" s="15" cm="1">
        <f t="array" ref="W190">EVAL($AH$12,B190)</f>
        <v>19.046302880528842</v>
      </c>
      <c r="X190" s="15" cm="1">
        <f t="array" ref="X190">EVAL($AH$13,B190)</f>
        <v>0.3264462616108188</v>
      </c>
      <c r="Y190" s="15" cm="1">
        <f t="array" ref="Y190">EVAL($AH$14,B190)</f>
        <v>0.3264462616108188</v>
      </c>
    </row>
    <row r="191" spans="1:25" x14ac:dyDescent="0.25">
      <c r="A191" s="20">
        <v>19.8</v>
      </c>
      <c r="B191" s="41">
        <f t="shared" si="2"/>
        <v>62.203534541077907</v>
      </c>
      <c r="C191" s="15" cm="1">
        <f t="array" ref="C191">EVAL($AG$6,B191)</f>
        <v>249.60009805681332</v>
      </c>
      <c r="D191" s="15" cm="1">
        <f t="array" ref="D191">EVAL($AG$7,B191)</f>
        <v>3.385591120799702</v>
      </c>
      <c r="F191" s="15" cm="1">
        <f t="array" ref="F191">EVAL($AG$9,B191)</f>
        <v>1.4093905213857203</v>
      </c>
      <c r="G191" s="15" cm="1">
        <f t="array" ref="G191">EVAL($AG$10,B191)</f>
        <v>1.4093905213857203</v>
      </c>
      <c r="H191" s="15" cm="1">
        <f t="array" ref="H191">EVAL($AG$11,B191)</f>
        <v>1.4093905213857203</v>
      </c>
      <c r="I191" s="15" cm="1">
        <f t="array" ref="I191">EVAL($AG$12,B191)</f>
        <v>1.3886918408733839</v>
      </c>
      <c r="J191" s="15" cm="1">
        <f t="array" ref="J191">EVAL($AG$13,B191)</f>
        <v>92.808881300748709</v>
      </c>
      <c r="K191" s="15" cm="1">
        <f t="array" ref="K191">EVAL($AG$14,B191)</f>
        <v>1.0526852448328796</v>
      </c>
      <c r="L191" s="15" cm="1">
        <f t="array" ref="L191">EVAL($AG$15,B191)</f>
        <v>55.317335103716744</v>
      </c>
      <c r="M191" s="15" cm="1">
        <f t="array" ref="M191">EVAL($AG$16,B191)</f>
        <v>0.74982116786123776</v>
      </c>
      <c r="N191" s="15" cm="1">
        <f t="array" ref="N191">EVAL($AG$17,B191)</f>
        <v>34.21505754894126</v>
      </c>
      <c r="O191" s="15" cm="1">
        <f t="array" ref="O191">EVAL($AG$18,B191)</f>
        <v>1.0940182115952577E-2</v>
      </c>
      <c r="P191" s="15" cm="1">
        <f t="array" ref="P191">EVAL($AG$19,B191)</f>
        <v>1.0940182115952577E-2</v>
      </c>
      <c r="Q191" s="15" cm="1">
        <f t="array" ref="Q191">EVAL($AH$6,B191)</f>
        <v>1.0033562343520899</v>
      </c>
      <c r="R191" s="15" cm="1">
        <f t="array" ref="R191">EVAL($AH$7,B191)</f>
        <v>1.0033562343520899</v>
      </c>
      <c r="T191" s="15" cm="1">
        <f t="array" ref="T191">EVAL($AH$9,B191)</f>
        <v>0.6681011496328757</v>
      </c>
      <c r="U191" s="15" cm="1">
        <f t="array" ref="U191">EVAL($AH$10,B191)</f>
        <v>0.6681011496328757</v>
      </c>
      <c r="V191" s="15" cm="1">
        <f t="array" ref="V191">EVAL($AH$11,B191)</f>
        <v>0.6681011496328757</v>
      </c>
      <c r="W191" s="15" cm="1">
        <f t="array" ref="W191">EVAL($AH$12,B191)</f>
        <v>19.189391133170872</v>
      </c>
      <c r="X191" s="15" cm="1">
        <f t="array" ref="X191">EVAL($AH$13,B191)</f>
        <v>0.32687695959972152</v>
      </c>
      <c r="Y191" s="15" cm="1">
        <f t="array" ref="Y191">EVAL($AH$14,B191)</f>
        <v>0.32687695959972152</v>
      </c>
    </row>
    <row r="192" spans="1:25" x14ac:dyDescent="0.25">
      <c r="A192" s="20">
        <v>19.899999999999999</v>
      </c>
      <c r="B192" s="41">
        <f t="shared" si="2"/>
        <v>62.517693806436881</v>
      </c>
      <c r="C192" s="15" cm="1">
        <f t="array" ref="C192">EVAL($AG$6,B192)</f>
        <v>250.47112988492012</v>
      </c>
      <c r="D192" s="15" cm="1">
        <f t="array" ref="D192">EVAL($AG$7,B192)</f>
        <v>3.3903940576828036</v>
      </c>
      <c r="F192" s="15" cm="1">
        <f t="array" ref="F192">EVAL($AG$9,B192)</f>
        <v>1.4166235508609919</v>
      </c>
      <c r="G192" s="15" cm="1">
        <f t="array" ref="G192">EVAL($AG$10,B192)</f>
        <v>1.4166235508609919</v>
      </c>
      <c r="H192" s="15" cm="1">
        <f t="array" ref="H192">EVAL($AG$11,B192)</f>
        <v>1.4166235508609919</v>
      </c>
      <c r="I192" s="15" cm="1">
        <f t="array" ref="I192">EVAL($AG$12,B192)</f>
        <v>1.3953138488707773</v>
      </c>
      <c r="J192" s="15" cm="1">
        <f t="array" ref="J192">EVAL($AG$13,B192)</f>
        <v>93.160114757561587</v>
      </c>
      <c r="K192" s="15" cm="1">
        <f t="array" ref="K192">EVAL($AG$14,B192)</f>
        <v>1.0572676185005863</v>
      </c>
      <c r="L192" s="15" cm="1">
        <f t="array" ref="L192">EVAL($AG$15,B192)</f>
        <v>55.487002727852172</v>
      </c>
      <c r="M192" s="15" cm="1">
        <f t="array" ref="M192">EVAL($AG$16,B192)</f>
        <v>0.75174938414747539</v>
      </c>
      <c r="N192" s="15" cm="1">
        <f t="array" ref="N192">EVAL($AG$17,B192)</f>
        <v>34.285525275197799</v>
      </c>
      <c r="O192" s="15" cm="1">
        <f t="array" ref="O192">EVAL($AG$18,B192)</f>
        <v>1.0909746276806031E-2</v>
      </c>
      <c r="P192" s="15" cm="1">
        <f t="array" ref="P192">EVAL($AG$19,B192)</f>
        <v>1.0909746276806031E-2</v>
      </c>
      <c r="Q192" s="15" cm="1">
        <f t="array" ref="Q192">EVAL($AH$6,B192)</f>
        <v>1.0054475191059304</v>
      </c>
      <c r="R192" s="15" cm="1">
        <f t="array" ref="R192">EVAL($AH$7,B192)</f>
        <v>1.0054475191059304</v>
      </c>
      <c r="T192" s="15" cm="1">
        <f t="array" ref="T192">EVAL($AH$9,B192)</f>
        <v>0.66941710824212231</v>
      </c>
      <c r="U192" s="15" cm="1">
        <f t="array" ref="U192">EVAL($AH$10,B192)</f>
        <v>0.66941710824212231</v>
      </c>
      <c r="V192" s="15" cm="1">
        <f t="array" ref="V192">EVAL($AH$11,B192)</f>
        <v>0.66941710824212231</v>
      </c>
      <c r="W192" s="15" cm="1">
        <f t="array" ref="W192">EVAL($AH$12,B192)</f>
        <v>19.33282538439364</v>
      </c>
      <c r="X192" s="15" cm="1">
        <f t="array" ref="X192">EVAL($AH$13,B192)</f>
        <v>0.32730605177103284</v>
      </c>
      <c r="Y192" s="15" cm="1">
        <f t="array" ref="Y192">EVAL($AH$14,B192)</f>
        <v>0.32730605177103284</v>
      </c>
    </row>
    <row r="193" spans="1:25" x14ac:dyDescent="0.25">
      <c r="A193" s="20">
        <v>20</v>
      </c>
      <c r="B193" s="41">
        <f t="shared" si="2"/>
        <v>62.831853071795862</v>
      </c>
      <c r="C193" s="15" cm="1">
        <f t="array" ref="C193">EVAL($AG$6,B193)</f>
        <v>251.34081243441727</v>
      </c>
      <c r="D193" s="15" cm="1">
        <f t="array" ref="D193">EVAL($AG$7,B193)</f>
        <v>3.395179682073286</v>
      </c>
      <c r="F193" s="15" cm="1">
        <f t="array" ref="F193">EVAL($AG$9,B193)</f>
        <v>1.4238571655471761</v>
      </c>
      <c r="G193" s="15" cm="1">
        <f t="array" ref="G193">EVAL($AG$10,B193)</f>
        <v>1.4238571655471761</v>
      </c>
      <c r="H193" s="15" cm="1">
        <f t="array" ref="H193">EVAL($AG$11,B193)</f>
        <v>1.4238571655471761</v>
      </c>
      <c r="I193" s="15" cm="1">
        <f t="array" ref="I193">EVAL($AG$12,B193)</f>
        <v>1.4019340036228161</v>
      </c>
      <c r="J193" s="15" cm="1">
        <f t="array" ref="J193">EVAL($AG$13,B193)</f>
        <v>93.510906888719504</v>
      </c>
      <c r="K193" s="15" cm="1">
        <f t="array" ref="K193">EVAL($AG$14,B193)</f>
        <v>1.0618468201313451</v>
      </c>
      <c r="L193" s="15" cm="1">
        <f t="array" ref="L193">EVAL($AG$15,B193)</f>
        <v>55.656336374539372</v>
      </c>
      <c r="M193" s="15" cm="1">
        <f t="array" ref="M193">EVAL($AG$16,B193)</f>
        <v>0.75367285644706994</v>
      </c>
      <c r="N193" s="15" cm="1">
        <f t="array" ref="N193">EVAL($AG$17,B193)</f>
        <v>34.355783820411823</v>
      </c>
      <c r="O193" s="15" cm="1">
        <f t="array" ref="O193">EVAL($AG$18,B193)</f>
        <v>1.0879547036915469E-2</v>
      </c>
      <c r="P193" s="15" cm="1">
        <f t="array" ref="P193">EVAL($AG$19,B193)</f>
        <v>1.0879547036915469E-2</v>
      </c>
      <c r="Q193" s="15" cm="1">
        <f t="array" ref="Q193">EVAL($AH$6,B193)</f>
        <v>1.0075326472943538</v>
      </c>
      <c r="R193" s="15" cm="1">
        <f t="array" ref="R193">EVAL($AH$7,B193)</f>
        <v>1.0075326472943538</v>
      </c>
      <c r="T193" s="15" cm="1">
        <f t="array" ref="T193">EVAL($AH$9,B193)</f>
        <v>0.67072904311812265</v>
      </c>
      <c r="U193" s="15" cm="1">
        <f t="array" ref="U193">EVAL($AH$10,B193)</f>
        <v>0.67072904311812265</v>
      </c>
      <c r="V193" s="15" cm="1">
        <f t="array" ref="V193">EVAL($AH$11,B193)</f>
        <v>0.67072904311812265</v>
      </c>
      <c r="W193" s="15" cm="1">
        <f t="array" ref="W193">EVAL($AH$12,B193)</f>
        <v>19.476604725851995</v>
      </c>
      <c r="X193" s="15" cm="1">
        <f t="array" ref="X193">EVAL($AH$13,B193)</f>
        <v>0.32773355213640631</v>
      </c>
      <c r="Y193" s="15" cm="1">
        <f t="array" ref="Y193">EVAL($AH$14,B193)</f>
        <v>0.32773355213640631</v>
      </c>
    </row>
    <row r="194" spans="1:25" x14ac:dyDescent="0.25">
      <c r="A194" s="20">
        <v>20.100000000000001</v>
      </c>
      <c r="B194" s="41">
        <f t="shared" si="2"/>
        <v>63.146012337154843</v>
      </c>
      <c r="C194" s="15" cm="1">
        <f t="array" ref="C194">EVAL($AG$6,B194)</f>
        <v>252.2091545262283</v>
      </c>
      <c r="D194" s="15" cm="1">
        <f t="array" ref="D194">EVAL($AG$7,B194)</f>
        <v>3.3999481424716946</v>
      </c>
      <c r="F194" s="15" cm="1">
        <f t="array" ref="F194">EVAL($AG$9,B194)</f>
        <v>1.4310913625651842</v>
      </c>
      <c r="G194" s="15" cm="1">
        <f t="array" ref="G194">EVAL($AG$10,B194)</f>
        <v>1.4310913625651842</v>
      </c>
      <c r="H194" s="15" cm="1">
        <f t="array" ref="H194">EVAL($AG$11,B194)</f>
        <v>1.4310913625651842</v>
      </c>
      <c r="I194" s="15" cm="1">
        <f t="array" ref="I194">EVAL($AG$12,B194)</f>
        <v>1.4085523149105725</v>
      </c>
      <c r="J194" s="15" cm="1">
        <f t="array" ref="J194">EVAL($AG$13,B194)</f>
        <v>93.861260451247006</v>
      </c>
      <c r="K194" s="15" cm="1">
        <f t="array" ref="K194">EVAL($AG$14,B194)</f>
        <v>1.0664228677648078</v>
      </c>
      <c r="L194" s="15" cm="1">
        <f t="array" ref="L194">EVAL($AG$15,B194)</f>
        <v>55.825338366170442</v>
      </c>
      <c r="M194" s="15" cm="1">
        <f t="array" ref="M194">EVAL($AG$16,B194)</f>
        <v>0.75559162006447611</v>
      </c>
      <c r="N194" s="15" cm="1">
        <f t="array" ref="N194">EVAL($AG$17,B194)</f>
        <v>34.425834846800292</v>
      </c>
      <c r="O194" s="15" cm="1">
        <f t="array" ref="O194">EVAL($AG$18,B194)</f>
        <v>1.0849581387761993E-2</v>
      </c>
      <c r="P194" s="15" cm="1">
        <f t="array" ref="P194">EVAL($AG$19,B194)</f>
        <v>1.0849581387761993E-2</v>
      </c>
      <c r="Q194" s="15" cm="1">
        <f t="array" ref="Q194">EVAL($AH$6,B194)</f>
        <v>1.0096116676893068</v>
      </c>
      <c r="R194" s="15" cm="1">
        <f t="array" ref="R194">EVAL($AH$7,B194)</f>
        <v>1.0096116676893068</v>
      </c>
      <c r="T194" s="15" cm="1">
        <f t="array" ref="T194">EVAL($AH$9,B194)</f>
        <v>0.67203698659084787</v>
      </c>
      <c r="U194" s="15" cm="1">
        <f t="array" ref="U194">EVAL($AH$10,B194)</f>
        <v>0.67203698659084787</v>
      </c>
      <c r="V194" s="15" cm="1">
        <f t="array" ref="V194">EVAL($AH$11,B194)</f>
        <v>0.67203698659084787</v>
      </c>
      <c r="W194" s="15" cm="1">
        <f t="array" ref="W194">EVAL($AH$12,B194)</f>
        <v>19.620728256120678</v>
      </c>
      <c r="X194" s="15" cm="1">
        <f t="array" ref="X194">EVAL($AH$13,B194)</f>
        <v>0.32815947451591621</v>
      </c>
      <c r="Y194" s="15" cm="1">
        <f t="array" ref="Y194">EVAL($AH$14,B194)</f>
        <v>0.32815947451591621</v>
      </c>
    </row>
    <row r="195" spans="1:25" x14ac:dyDescent="0.25">
      <c r="A195" s="20">
        <v>20.2</v>
      </c>
      <c r="B195" s="41">
        <f t="shared" si="2"/>
        <v>63.460171602513817</v>
      </c>
      <c r="C195" s="15" cm="1">
        <f t="array" ref="C195">EVAL($AG$6,B195)</f>
        <v>253.07616488004575</v>
      </c>
      <c r="D195" s="15" cm="1">
        <f t="array" ref="D195">EVAL($AG$7,B195)</f>
        <v>3.4046995853736211</v>
      </c>
      <c r="F195" s="15" cm="1">
        <f t="array" ref="F195">EVAL($AG$9,B195)</f>
        <v>1.4383261390643578</v>
      </c>
      <c r="G195" s="15" cm="1">
        <f t="array" ref="G195">EVAL($AG$10,B195)</f>
        <v>1.4383261390643578</v>
      </c>
      <c r="H195" s="15" cm="1">
        <f t="array" ref="H195">EVAL($AG$11,B195)</f>
        <v>1.4383261390643578</v>
      </c>
      <c r="I195" s="15" cm="1">
        <f t="array" ref="I195">EVAL($AG$12,B195)</f>
        <v>1.4151687924151057</v>
      </c>
      <c r="J195" s="15" cm="1">
        <f t="array" ref="J195">EVAL($AG$13,B195)</f>
        <v>94.211178171323155</v>
      </c>
      <c r="K195" s="15" cm="1">
        <f t="array" ref="K195">EVAL($AG$14,B195)</f>
        <v>1.0709957792488289</v>
      </c>
      <c r="L195" s="15" cm="1">
        <f t="array" ref="L195">EVAL($AG$15,B195)</f>
        <v>55.994010997525514</v>
      </c>
      <c r="M195" s="15" cm="1">
        <f t="array" ref="M195">EVAL($AG$16,B195)</f>
        <v>0.7575057098672906</v>
      </c>
      <c r="N195" s="15" cm="1">
        <f t="array" ref="N195">EVAL($AG$17,B195)</f>
        <v>34.495679995179678</v>
      </c>
      <c r="O195" s="15" cm="1">
        <f t="array" ref="O195">EVAL($AG$18,B195)</f>
        <v>1.0819846373802674E-2</v>
      </c>
      <c r="P195" s="15" cm="1">
        <f t="array" ref="P195">EVAL($AG$19,B195)</f>
        <v>1.0819846373802674E-2</v>
      </c>
      <c r="Q195" s="15" cm="1">
        <f t="array" ref="Q195">EVAL($AH$6,B195)</f>
        <v>1.0116846284359935</v>
      </c>
      <c r="R195" s="15" cm="1">
        <f t="array" ref="R195">EVAL($AH$7,B195)</f>
        <v>1.0116846284359935</v>
      </c>
      <c r="T195" s="15" cm="1">
        <f t="array" ref="T195">EVAL($AH$9,B195)</f>
        <v>0.67334097057119113</v>
      </c>
      <c r="U195" s="15" cm="1">
        <f t="array" ref="U195">EVAL($AH$10,B195)</f>
        <v>0.67334097057119113</v>
      </c>
      <c r="V195" s="15" cm="1">
        <f t="array" ref="V195">EVAL($AH$11,B195)</f>
        <v>0.67334097057119113</v>
      </c>
      <c r="W195" s="15" cm="1">
        <f t="array" ref="W195">EVAL($AH$12,B195)</f>
        <v>19.765195080607693</v>
      </c>
      <c r="X195" s="15" cm="1">
        <f t="array" ref="X195">EVAL($AH$13,B195)</f>
        <v>0.32858383254161572</v>
      </c>
      <c r="Y195" s="15" cm="1">
        <f t="array" ref="Y195">EVAL($AH$14,B195)</f>
        <v>0.32858383254161572</v>
      </c>
    </row>
    <row r="196" spans="1:25" x14ac:dyDescent="0.25">
      <c r="A196" s="20">
        <v>20.3</v>
      </c>
      <c r="B196" s="41">
        <f t="shared" ref="B196:B259" si="3">A196*PI()</f>
        <v>63.774330867872806</v>
      </c>
      <c r="C196" s="15" cm="1">
        <f t="array" ref="C196">EVAL($AG$6,B196)</f>
        <v>253.94185211598517</v>
      </c>
      <c r="D196" s="15" cm="1">
        <f t="array" ref="D196">EVAL($AG$7,B196)</f>
        <v>3.4094341553065335</v>
      </c>
      <c r="F196" s="15" cm="1">
        <f t="array" ref="F196">EVAL($AG$9,B196)</f>
        <v>1.4455614922220232</v>
      </c>
      <c r="G196" s="15" cm="1">
        <f t="array" ref="G196">EVAL($AG$10,B196)</f>
        <v>1.4455614922220232</v>
      </c>
      <c r="H196" s="15" cm="1">
        <f t="array" ref="H196">EVAL($AG$11,B196)</f>
        <v>1.4455614922220232</v>
      </c>
      <c r="I196" s="15" cm="1">
        <f t="array" ref="I196">EVAL($AG$12,B196)</f>
        <v>1.4217834457189573</v>
      </c>
      <c r="J196" s="15" cm="1">
        <f t="array" ref="J196">EVAL($AG$13,B196)</f>
        <v>94.560662744776423</v>
      </c>
      <c r="K196" s="15" cm="1">
        <f t="array" ref="K196">EVAL($AG$14,B196)</f>
        <v>1.075565572242432</v>
      </c>
      <c r="L196" s="15" cm="1">
        <f t="array" ref="L196">EVAL($AG$15,B196)</f>
        <v>56.16235653623562</v>
      </c>
      <c r="M196" s="15" cm="1">
        <f t="array" ref="M196">EVAL($AG$16,B196)</f>
        <v>0.75941516029378653</v>
      </c>
      <c r="N196" s="15" cm="1">
        <f t="array" ref="N196">EVAL($AG$17,B196)</f>
        <v>34.565320885345734</v>
      </c>
      <c r="O196" s="15" cm="1">
        <f t="array" ref="O196">EVAL($AG$18,B196)</f>
        <v>1.079033909128114E-2</v>
      </c>
      <c r="P196" s="15" cm="1">
        <f t="array" ref="P196">EVAL($AG$19,B196)</f>
        <v>1.079033909128114E-2</v>
      </c>
      <c r="Q196" s="15" cm="1">
        <f t="array" ref="Q196">EVAL($AH$6,B196)</f>
        <v>1.0137515770639816</v>
      </c>
      <c r="R196" s="15" cm="1">
        <f t="array" ref="R196">EVAL($AH$7,B196)</f>
        <v>1.0137515770639816</v>
      </c>
      <c r="T196" s="15" cm="1">
        <f t="array" ref="T196">EVAL($AH$9,B196)</f>
        <v>0.67464102655844138</v>
      </c>
      <c r="U196" s="15" cm="1">
        <f t="array" ref="U196">EVAL($AH$10,B196)</f>
        <v>0.67464102655844138</v>
      </c>
      <c r="V196" s="15" cm="1">
        <f t="array" ref="V196">EVAL($AH$11,B196)</f>
        <v>0.67464102655844138</v>
      </c>
      <c r="W196" s="15" cm="1">
        <f t="array" ref="W196">EVAL($AH$12,B196)</f>
        <v>19.910004311468445</v>
      </c>
      <c r="X196" s="15" cm="1">
        <f t="array" ref="X196">EVAL($AH$13,B196)</f>
        <v>0.32900663966101068</v>
      </c>
      <c r="Y196" s="15" cm="1">
        <f t="array" ref="Y196">EVAL($AH$14,B196)</f>
        <v>0.32900663966101068</v>
      </c>
    </row>
    <row r="197" spans="1:25" x14ac:dyDescent="0.25">
      <c r="A197" s="20">
        <v>20.399999999999999</v>
      </c>
      <c r="B197" s="41">
        <f t="shared" si="3"/>
        <v>64.088490133231772</v>
      </c>
      <c r="C197" s="15" cm="1">
        <f t="array" ref="C197">EVAL($AG$6,B197)</f>
        <v>254.80622475620862</v>
      </c>
      <c r="D197" s="15" cm="1">
        <f t="array" ref="D197">EVAL($AG$7,B197)</f>
        <v>3.4141519948657737</v>
      </c>
      <c r="F197" s="15" cm="1">
        <f t="array" ref="F197">EVAL($AG$9,B197)</f>
        <v>1.4527974192431019</v>
      </c>
      <c r="G197" s="15" cm="1">
        <f t="array" ref="G197">EVAL($AG$10,B197)</f>
        <v>1.4527974192431019</v>
      </c>
      <c r="H197" s="15" cm="1">
        <f t="array" ref="H197">EVAL($AG$11,B197)</f>
        <v>1.4527974192431019</v>
      </c>
      <c r="I197" s="15" cm="1">
        <f t="array" ref="I197">EVAL($AG$12,B197)</f>
        <v>1.4283962843076441</v>
      </c>
      <c r="J197" s="15" cm="1">
        <f t="array" ref="J197">EVAL($AG$13,B197)</f>
        <v>94.909716837570855</v>
      </c>
      <c r="K197" s="15" cm="1">
        <f t="array" ref="K197">EVAL($AG$14,B197)</f>
        <v>1.0801322642187361</v>
      </c>
      <c r="L197" s="15" cm="1">
        <f t="array" ref="L197">EVAL($AG$15,B197)</f>
        <v>56.330377223236091</v>
      </c>
      <c r="M197" s="15" cm="1">
        <f t="array" ref="M197">EVAL($AG$16,B197)</f>
        <v>0.76132000536028754</v>
      </c>
      <c r="N197" s="15" cm="1">
        <f t="array" ref="N197">EVAL($AG$17,B197)</f>
        <v>34.634759116444997</v>
      </c>
      <c r="O197" s="15" cm="1">
        <f t="array" ref="O197">EVAL($AG$18,B197)</f>
        <v>1.0761056687070433E-2</v>
      </c>
      <c r="P197" s="15" cm="1">
        <f t="array" ref="P197">EVAL($AG$19,B197)</f>
        <v>1.0761056687070433E-2</v>
      </c>
      <c r="Q197" s="15" cm="1">
        <f t="array" ref="Q197">EVAL($AH$6,B197)</f>
        <v>1.0158125604980699</v>
      </c>
      <c r="R197" s="15" cm="1">
        <f t="array" ref="R197">EVAL($AH$7,B197)</f>
        <v>1.0158125604980699</v>
      </c>
      <c r="T197" s="15" cm="1">
        <f t="array" ref="T197">EVAL($AH$9,B197)</f>
        <v>0.67593718564759275</v>
      </c>
      <c r="U197" s="15" cm="1">
        <f t="array" ref="U197">EVAL($AH$10,B197)</f>
        <v>0.67593718564759275</v>
      </c>
      <c r="V197" s="15" cm="1">
        <f t="array" ref="V197">EVAL($AH$11,B197)</f>
        <v>0.67593718564759275</v>
      </c>
      <c r="W197" s="15" cm="1">
        <f t="array" ref="W197">EVAL($AH$12,B197)</f>
        <v>20.055155067522133</v>
      </c>
      <c r="X197" s="15" cm="1">
        <f t="array" ref="X197">EVAL($AH$13,B197)</f>
        <v>0.32942790914045361</v>
      </c>
      <c r="Y197" s="15" cm="1">
        <f t="array" ref="Y197">EVAL($AH$14,B197)</f>
        <v>0.32942790914045361</v>
      </c>
    </row>
    <row r="198" spans="1:25" x14ac:dyDescent="0.25">
      <c r="A198" s="20">
        <v>20.5</v>
      </c>
      <c r="B198" s="41">
        <f t="shared" si="3"/>
        <v>64.402649398590754</v>
      </c>
      <c r="C198" s="15" cm="1">
        <f t="array" ref="C198">EVAL($AG$6,B198)</f>
        <v>255.66929122651177</v>
      </c>
      <c r="D198" s="15" cm="1">
        <f t="array" ref="D198">EVAL($AG$7,B198)</f>
        <v>3.418853244749716</v>
      </c>
      <c r="F198" s="15" cm="1">
        <f t="array" ref="F198">EVAL($AG$9,B198)</f>
        <v>1.4600339173596963</v>
      </c>
      <c r="G198" s="15" cm="1">
        <f t="array" ref="G198">EVAL($AG$10,B198)</f>
        <v>1.4600339173596963</v>
      </c>
      <c r="H198" s="15" cm="1">
        <f t="array" ref="H198">EVAL($AG$11,B198)</f>
        <v>1.4600339173596963</v>
      </c>
      <c r="I198" s="15" cm="1">
        <f t="array" ref="I198">EVAL($AG$12,B198)</f>
        <v>1.4350073175711116</v>
      </c>
      <c r="J198" s="15" cm="1">
        <f t="array" ref="J198">EVAL($AG$13,B198)</f>
        <v>95.258343086281755</v>
      </c>
      <c r="K198" s="15" cm="1">
        <f t="array" ref="K198">EVAL($AG$14,B198)</f>
        <v>1.0846958724678122</v>
      </c>
      <c r="L198" s="15" cm="1">
        <f t="array" ref="L198">EVAL($AG$15,B198)</f>
        <v>56.498075273210162</v>
      </c>
      <c r="M198" s="15" cm="1">
        <f t="array" ref="M198">EVAL($AG$16,B198)</f>
        <v>0.7632202786683796</v>
      </c>
      <c r="N198" s="15" cm="1">
        <f t="array" ref="N198">EVAL($AG$17,B198)</f>
        <v>34.703996267337779</v>
      </c>
      <c r="O198" s="15" cm="1">
        <f t="array" ref="O198">EVAL($AG$18,B198)</f>
        <v>1.0731996357547317E-2</v>
      </c>
      <c r="P198" s="15" cm="1">
        <f t="array" ref="P198">EVAL($AG$19,B198)</f>
        <v>1.0731996357547317E-2</v>
      </c>
      <c r="Q198" s="15" cm="1">
        <f t="array" ref="Q198">EVAL($AH$6,B198)</f>
        <v>1.0178676250689018</v>
      </c>
      <c r="R198" s="15" cm="1">
        <f t="array" ref="R198">EVAL($AH$7,B198)</f>
        <v>1.0178676250689018</v>
      </c>
      <c r="T198" s="15" cm="1">
        <f t="array" ref="T198">EVAL($AH$9,B198)</f>
        <v>0.67722947853648807</v>
      </c>
      <c r="U198" s="15" cm="1">
        <f t="array" ref="U198">EVAL($AH$10,B198)</f>
        <v>0.67722947853648807</v>
      </c>
      <c r="V198" s="15" cm="1">
        <f t="array" ref="V198">EVAL($AH$11,B198)</f>
        <v>0.67722947853648807</v>
      </c>
      <c r="W198" s="15" cm="1">
        <f t="array" ref="W198">EVAL($AH$12,B198)</f>
        <v>20.20064647416919</v>
      </c>
      <c r="X198" s="15" cm="1">
        <f t="array" ref="X198">EVAL($AH$13,B198)</f>
        <v>0.32984765406845851</v>
      </c>
      <c r="Y198" s="15" cm="1">
        <f t="array" ref="Y198">EVAL($AH$14,B198)</f>
        <v>0.32984765406845851</v>
      </c>
    </row>
    <row r="199" spans="1:25" x14ac:dyDescent="0.25">
      <c r="A199" s="20">
        <v>20.6</v>
      </c>
      <c r="B199" s="41">
        <f t="shared" si="3"/>
        <v>64.716808663949749</v>
      </c>
      <c r="C199" s="15" cm="1">
        <f t="array" ref="C199">EVAL($AG$6,B199)</f>
        <v>256.53105985787732</v>
      </c>
      <c r="D199" s="15" cm="1">
        <f t="array" ref="D199">EVAL($AG$7,B199)</f>
        <v>3.423538043794109</v>
      </c>
      <c r="F199" s="15" cm="1">
        <f t="array" ref="F199">EVAL($AG$9,B199)</f>
        <v>1.4672709838306937</v>
      </c>
      <c r="G199" s="15" cm="1">
        <f t="array" ref="G199">EVAL($AG$10,B199)</f>
        <v>1.4672709838306937</v>
      </c>
      <c r="H199" s="15" cm="1">
        <f t="array" ref="H199">EVAL($AG$11,B199)</f>
        <v>1.4672709838306937</v>
      </c>
      <c r="I199" s="15" cm="1">
        <f t="array" ref="I199">EVAL($AG$12,B199)</f>
        <v>1.4416165548051534</v>
      </c>
      <c r="J199" s="15" cm="1">
        <f t="array" ref="J199">EVAL($AG$13,B199)</f>
        <v>95.606544098560761</v>
      </c>
      <c r="K199" s="15" cm="1">
        <f t="array" ref="K199">EVAL($AG$14,B199)</f>
        <v>1.0892564140994818</v>
      </c>
      <c r="L199" s="15" cm="1">
        <f t="array" ref="L199">EVAL($AG$15,B199)</f>
        <v>56.665452875022673</v>
      </c>
      <c r="M199" s="15" cm="1">
        <f t="array" ref="M199">EVAL($AG$16,B199)</f>
        <v>0.765116013411962</v>
      </c>
      <c r="N199" s="15" cm="1">
        <f t="array" ref="N199">EVAL($AG$17,B199)</f>
        <v>34.773033896953073</v>
      </c>
      <c r="O199" s="15" cm="1">
        <f t="array" ref="O199">EVAL($AG$18,B199)</f>
        <v>1.0703155347496999E-2</v>
      </c>
      <c r="P199" s="15" cm="1">
        <f t="array" ref="P199">EVAL($AG$19,B199)</f>
        <v>1.0703155347496999E-2</v>
      </c>
      <c r="Q199" s="15" cm="1">
        <f t="array" ref="Q199">EVAL($AH$6,B199)</f>
        <v>1.0199168165233485</v>
      </c>
      <c r="R199" s="15" cm="1">
        <f t="array" ref="R199">EVAL($AH$7,B199)</f>
        <v>1.0199168165233485</v>
      </c>
      <c r="T199" s="15" cm="1">
        <f t="array" ref="T199">EVAL($AH$9,B199)</f>
        <v>0.67851793553279827</v>
      </c>
      <c r="U199" s="15" cm="1">
        <f t="array" ref="U199">EVAL($AH$10,B199)</f>
        <v>0.67851793553279827</v>
      </c>
      <c r="V199" s="15" cm="1">
        <f t="array" ref="V199">EVAL($AH$11,B199)</f>
        <v>0.67851793553279827</v>
      </c>
      <c r="W199" s="15" cm="1">
        <f t="array" ref="W199">EVAL($AH$12,B199)</f>
        <v>20.346477663310186</v>
      </c>
      <c r="X199" s="15" cm="1">
        <f t="array" ref="X199">EVAL($AH$13,B199)</f>
        <v>0.3302658873589388</v>
      </c>
      <c r="Y199" s="15" cm="1">
        <f t="array" ref="Y199">EVAL($AH$14,B199)</f>
        <v>0.3302658873589388</v>
      </c>
    </row>
    <row r="200" spans="1:25" x14ac:dyDescent="0.25">
      <c r="A200" s="20">
        <v>20.7</v>
      </c>
      <c r="B200" s="41">
        <f t="shared" si="3"/>
        <v>65.030967929308716</v>
      </c>
      <c r="C200" s="15" cm="1">
        <f t="array" ref="C200">EVAL($AG$6,B200)</f>
        <v>257.39153888799808</v>
      </c>
      <c r="D200" s="15" cm="1">
        <f t="array" ref="D200">EVAL($AG$7,B200)</f>
        <v>3.4282065290056551</v>
      </c>
      <c r="F200" s="15" cm="1">
        <f t="array" ref="F200">EVAL($AG$9,B200)</f>
        <v>1.4745086159413885</v>
      </c>
      <c r="G200" s="15" cm="1">
        <f t="array" ref="G200">EVAL($AG$10,B200)</f>
        <v>1.4745086159413885</v>
      </c>
      <c r="H200" s="15" cm="1">
        <f t="array" ref="H200">EVAL($AG$11,B200)</f>
        <v>1.4745086159413885</v>
      </c>
      <c r="I200" s="15" cm="1">
        <f t="array" ref="I200">EVAL($AG$12,B200)</f>
        <v>1.4482240052128144</v>
      </c>
      <c r="J200" s="15" cm="1">
        <f t="array" ref="J200">EVAL($AG$13,B200)</f>
        <v>95.954322453592837</v>
      </c>
      <c r="K200" s="15" cm="1">
        <f t="array" ref="K200">EVAL($AG$14,B200)</f>
        <v>1.0938139060460665</v>
      </c>
      <c r="L200" s="15" cm="1">
        <f t="array" ref="L200">EVAL($AG$15,B200)</f>
        <v>56.832512192145096</v>
      </c>
      <c r="M200" s="15" cm="1">
        <f t="array" ref="M200">EVAL($AG$16,B200)</f>
        <v>0.76700724238414741</v>
      </c>
      <c r="N200" s="15" cm="1">
        <f t="array" ref="N200">EVAL($AG$17,B200)</f>
        <v>34.841873544635561</v>
      </c>
      <c r="O200" s="15" cm="1">
        <f t="array" ref="O200">EVAL($AG$18,B200)</f>
        <v>1.0674530949047162E-2</v>
      </c>
      <c r="P200" s="15" cm="1">
        <f t="array" ref="P200">EVAL($AG$19,B200)</f>
        <v>1.0674530949047162E-2</v>
      </c>
      <c r="Q200" s="15" cm="1">
        <f t="array" ref="Q200">EVAL($AH$6,B200)</f>
        <v>1.0219601800346594</v>
      </c>
      <c r="R200" s="15" cm="1">
        <f t="array" ref="R200">EVAL($AH$7,B200)</f>
        <v>1.0219601800346594</v>
      </c>
      <c r="T200" s="15" cm="1">
        <f t="array" ref="T200">EVAL($AH$9,B200)</f>
        <v>0.67980258656085235</v>
      </c>
      <c r="U200" s="15" cm="1">
        <f t="array" ref="U200">EVAL($AH$10,B200)</f>
        <v>0.67980258656085235</v>
      </c>
      <c r="V200" s="15" cm="1">
        <f t="array" ref="V200">EVAL($AH$11,B200)</f>
        <v>0.67980258656085235</v>
      </c>
      <c r="W200" s="15" cm="1">
        <f t="array" ref="W200">EVAL($AH$12,B200)</f>
        <v>20.492647773266274</v>
      </c>
      <c r="X200" s="15" cm="1">
        <f t="array" ref="X200">EVAL($AH$13,B200)</f>
        <v>0.33068262175437185</v>
      </c>
      <c r="Y200" s="15" cm="1">
        <f t="array" ref="Y200">EVAL($AH$14,B200)</f>
        <v>0.33068262175437185</v>
      </c>
    </row>
    <row r="201" spans="1:25" x14ac:dyDescent="0.25">
      <c r="A201" s="20">
        <v>20.8</v>
      </c>
      <c r="B201" s="41">
        <f t="shared" si="3"/>
        <v>65.345127194667697</v>
      </c>
      <c r="C201" s="15" cm="1">
        <f t="array" ref="C201">EVAL($AG$6,B201)</f>
        <v>258.25073646276587</v>
      </c>
      <c r="D201" s="15" cm="1">
        <f t="array" ref="D201">EVAL($AG$7,B201)</f>
        <v>3.4328588355948004</v>
      </c>
      <c r="F201" s="15" cm="1">
        <f t="array" ref="F201">EVAL($AG$9,B201)</f>
        <v>1.4817468110030927</v>
      </c>
      <c r="G201" s="15" cm="1">
        <f t="array" ref="G201">EVAL($AG$10,B201)</f>
        <v>1.4817468110030927</v>
      </c>
      <c r="H201" s="15" cm="1">
        <f t="array" ref="H201">EVAL($AG$11,B201)</f>
        <v>1.4817468110030927</v>
      </c>
      <c r="I201" s="15" cm="1">
        <f t="array" ref="I201">EVAL($AG$12,B201)</f>
        <v>1.4548296779057566</v>
      </c>
      <c r="J201" s="15" cm="1">
        <f t="array" ref="J201">EVAL($AG$13,B201)</f>
        <v>96.301680702542214</v>
      </c>
      <c r="K201" s="15" cm="1">
        <f t="array" ref="K201">EVAL($AG$14,B201)</f>
        <v>1.0983683650650755</v>
      </c>
      <c r="L201" s="15" cm="1">
        <f t="array" ref="L201">EVAL($AG$15,B201)</f>
        <v>56.9992553630711</v>
      </c>
      <c r="M201" s="15" cm="1">
        <f t="array" ref="M201">EVAL($AG$16,B201)</f>
        <v>0.7688939979840127</v>
      </c>
      <c r="N201" s="15" cm="1">
        <f t="array" ref="N201">EVAL($AG$17,B201)</f>
        <v>34.910516730484986</v>
      </c>
      <c r="O201" s="15" cm="1">
        <f t="array" ref="O201">EVAL($AG$18,B201)</f>
        <v>1.0646120500630575E-2</v>
      </c>
      <c r="P201" s="15" cm="1">
        <f t="array" ref="P201">EVAL($AG$19,B201)</f>
        <v>1.0646120500630575E-2</v>
      </c>
      <c r="Q201" s="15" cm="1">
        <f t="array" ref="Q201">EVAL($AH$6,B201)</f>
        <v>1.0239977602123849</v>
      </c>
      <c r="R201" s="15" cm="1">
        <f t="array" ref="R201">EVAL($AH$7,B201)</f>
        <v>1.0239977602123849</v>
      </c>
      <c r="T201" s="15" cm="1">
        <f t="array" ref="T201">EVAL($AH$9,B201)</f>
        <v>0.68108346116830976</v>
      </c>
      <c r="U201" s="15" cm="1">
        <f t="array" ref="U201">EVAL($AH$10,B201)</f>
        <v>0.68108346116830976</v>
      </c>
      <c r="V201" s="15" cm="1">
        <f t="array" ref="V201">EVAL($AH$11,B201)</f>
        <v>0.68108346116830976</v>
      </c>
      <c r="W201" s="15" cm="1">
        <f t="array" ref="W201">EVAL($AH$12,B201)</f>
        <v>20.639155948700818</v>
      </c>
      <c r="X201" s="15" cm="1">
        <f t="array" ref="X201">EVAL($AH$13,B201)</f>
        <v>0.33109786982889022</v>
      </c>
      <c r="Y201" s="15" cm="1">
        <f t="array" ref="Y201">EVAL($AH$14,B201)</f>
        <v>0.33109786982889022</v>
      </c>
    </row>
    <row r="202" spans="1:25" x14ac:dyDescent="0.25">
      <c r="A202" s="20">
        <v>20.9</v>
      </c>
      <c r="B202" s="41">
        <f t="shared" si="3"/>
        <v>65.659286460026678</v>
      </c>
      <c r="C202" s="15" cm="1">
        <f t="array" ref="C202">EVAL($AG$6,B202)</f>
        <v>259.10866063773017</v>
      </c>
      <c r="D202" s="15" cm="1">
        <f t="array" ref="D202">EVAL($AG$7,B202)</f>
        <v>3.4374950970077918</v>
      </c>
      <c r="F202" s="15" cm="1">
        <f t="array" ref="F202">EVAL($AG$9,B202)</f>
        <v>1.4889855663527567</v>
      </c>
      <c r="G202" s="15" cm="1">
        <f t="array" ref="G202">EVAL($AG$10,B202)</f>
        <v>1.4889855663527567</v>
      </c>
      <c r="H202" s="15" cm="1">
        <f t="array" ref="H202">EVAL($AG$11,B202)</f>
        <v>1.4889855663527567</v>
      </c>
      <c r="I202" s="15" cm="1">
        <f t="array" ref="I202">EVAL($AG$12,B202)</f>
        <v>1.4614335819055941</v>
      </c>
      <c r="J202" s="15" cm="1">
        <f t="array" ref="J202">EVAL($AG$13,B202)</f>
        <v>96.648621368990092</v>
      </c>
      <c r="K202" s="15" cm="1">
        <f t="array" ref="K202">EVAL($AG$14,B202)</f>
        <v>1.1029198077418358</v>
      </c>
      <c r="L202" s="15" cm="1">
        <f t="array" ref="L202">EVAL($AG$15,B202)</f>
        <v>57.16568450172349</v>
      </c>
      <c r="M202" s="15" cm="1">
        <f t="array" ref="M202">EVAL($AG$16,B202)</f>
        <v>0.77077631222319987</v>
      </c>
      <c r="N202" s="15" cm="1">
        <f t="array" ref="N202">EVAL($AG$17,B202)</f>
        <v>34.978964955687857</v>
      </c>
      <c r="O202" s="15" cm="1">
        <f t="array" ref="O202">EVAL($AG$18,B202)</f>
        <v>1.0617921385975287E-2</v>
      </c>
      <c r="P202" s="15" cm="1">
        <f t="array" ref="P202">EVAL($AG$19,B202)</f>
        <v>1.0617921385975287E-2</v>
      </c>
      <c r="Q202" s="15" cm="1">
        <f t="array" ref="Q202">EVAL($AH$6,B202)</f>
        <v>1.026029601112084</v>
      </c>
      <c r="R202" s="15" cm="1">
        <f t="array" ref="R202">EVAL($AH$7,B202)</f>
        <v>1.026029601112084</v>
      </c>
      <c r="T202" s="15" cm="1">
        <f t="array" ref="T202">EVAL($AH$9,B202)</f>
        <v>0.68236058853268589</v>
      </c>
      <c r="U202" s="15" cm="1">
        <f t="array" ref="U202">EVAL($AH$10,B202)</f>
        <v>0.68236058853268589</v>
      </c>
      <c r="V202" s="15" cm="1">
        <f t="array" ref="V202">EVAL($AH$11,B202)</f>
        <v>0.68236058853268589</v>
      </c>
      <c r="W202" s="15" cm="1">
        <f t="array" ref="W202">EVAL($AH$12,B202)</f>
        <v>20.786001340542246</v>
      </c>
      <c r="X202" s="15" cm="1">
        <f t="array" ref="X202">EVAL($AH$13,B202)</f>
        <v>0.33151164399130301</v>
      </c>
      <c r="Y202" s="15" cm="1">
        <f t="array" ref="Y202">EVAL($AH$14,B202)</f>
        <v>0.33151164399130301</v>
      </c>
    </row>
    <row r="203" spans="1:25" x14ac:dyDescent="0.25">
      <c r="A203" s="20">
        <v>21</v>
      </c>
      <c r="B203" s="41">
        <f t="shared" si="3"/>
        <v>65.973445725385659</v>
      </c>
      <c r="C203" s="15" cm="1">
        <f t="array" ref="C203">EVAL($AG$6,B203)</f>
        <v>259.96531937952847</v>
      </c>
      <c r="D203" s="15" cm="1">
        <f t="array" ref="D203">EVAL($AG$7,B203)</f>
        <v>3.4421154449580182</v>
      </c>
      <c r="F203" s="15" cm="1">
        <f t="array" ref="F203">EVAL($AG$9,B203)</f>
        <v>1.4962248793526172</v>
      </c>
      <c r="G203" s="15" cm="1">
        <f t="array" ref="G203">EVAL($AG$10,B203)</f>
        <v>1.4962248793526172</v>
      </c>
      <c r="H203" s="15" cm="1">
        <f t="array" ref="H203">EVAL($AG$11,B203)</f>
        <v>1.4962248793526172</v>
      </c>
      <c r="I203" s="15" cm="1">
        <f t="array" ref="I203">EVAL($AG$12,B203)</f>
        <v>1.4680357261452224</v>
      </c>
      <c r="J203" s="15" cm="1">
        <f t="array" ref="J203">EVAL($AG$13,B203)</f>
        <v>96.995146949363573</v>
      </c>
      <c r="K203" s="15" cm="1">
        <f t="array" ref="K203">EVAL($AG$14,B203)</f>
        <v>1.1074682504920876</v>
      </c>
      <c r="L203" s="15" cm="1">
        <f t="array" ref="L203">EVAL($AG$15,B203)</f>
        <v>57.33180169785269</v>
      </c>
      <c r="M203" s="15" cm="1">
        <f t="array" ref="M203">EVAL($AG$16,B203)</f>
        <v>0.77265421673238099</v>
      </c>
      <c r="N203" s="15" cm="1">
        <f t="array" ref="N203">EVAL($AG$17,B203)</f>
        <v>35.047219702842142</v>
      </c>
      <c r="O203" s="15" cm="1">
        <f t="array" ref="O203">EVAL($AG$18,B203)</f>
        <v>1.0589931033121497E-2</v>
      </c>
      <c r="P203" s="15" cm="1">
        <f t="array" ref="P203">EVAL($AG$19,B203)</f>
        <v>1.0589931033121497E-2</v>
      </c>
      <c r="Q203" s="15" cm="1">
        <f t="array" ref="Q203">EVAL($AH$6,B203)</f>
        <v>1.0280557462448194</v>
      </c>
      <c r="R203" s="15" cm="1">
        <f t="array" ref="R203">EVAL($AH$7,B203)</f>
        <v>1.0280557462448194</v>
      </c>
      <c r="T203" s="15" cm="1">
        <f t="array" ref="T203">EVAL($AH$9,B203)</f>
        <v>0.68363399746773845</v>
      </c>
      <c r="U203" s="15" cm="1">
        <f t="array" ref="U203">EVAL($AH$10,B203)</f>
        <v>0.68363399746773845</v>
      </c>
      <c r="V203" s="15" cm="1">
        <f t="array" ref="V203">EVAL($AH$11,B203)</f>
        <v>0.68363399746773845</v>
      </c>
      <c r="W203" s="15" cm="1">
        <f t="array" ref="W203">EVAL($AH$12,B203)</f>
        <v>20.933183105908665</v>
      </c>
      <c r="X203" s="15" cm="1">
        <f t="array" ref="X203">EVAL($AH$13,B203)</f>
        <v>0.33192395648804862</v>
      </c>
      <c r="Y203" s="15" cm="1">
        <f t="array" ref="Y203">EVAL($AH$14,B203)</f>
        <v>0.33192395648804862</v>
      </c>
    </row>
    <row r="204" spans="1:25" x14ac:dyDescent="0.25">
      <c r="A204" s="20">
        <v>21.1</v>
      </c>
      <c r="B204" s="41">
        <f t="shared" si="3"/>
        <v>66.28760499074464</v>
      </c>
      <c r="C204" s="15" cm="1">
        <f t="array" ref="C204">EVAL($AG$6,B204)</f>
        <v>260.8207205672856</v>
      </c>
      <c r="D204" s="15" cm="1">
        <f t="array" ref="D204">EVAL($AG$7,B204)</f>
        <v>3.4467200094566453</v>
      </c>
      <c r="F204" s="15" cm="1">
        <f t="array" ref="F204">EVAL($AG$9,B204)</f>
        <v>1.5034647473898317</v>
      </c>
      <c r="G204" s="15" cm="1">
        <f t="array" ref="G204">EVAL($AG$10,B204)</f>
        <v>1.5034647473898317</v>
      </c>
      <c r="H204" s="15" cm="1">
        <f t="array" ref="H204">EVAL($AG$11,B204)</f>
        <v>1.5034647473898317</v>
      </c>
      <c r="I204" s="15" cm="1">
        <f t="array" ref="I204">EVAL($AG$12,B204)</f>
        <v>1.474636119470101</v>
      </c>
      <c r="J204" s="15" cm="1">
        <f t="array" ref="J204">EVAL($AG$13,B204)</f>
        <v>97.341259913355628</v>
      </c>
      <c r="K204" s="15" cm="1">
        <f t="array" ref="K204">EVAL($AG$14,B204)</f>
        <v>1.1120137095645088</v>
      </c>
      <c r="L204" s="15" cm="1">
        <f t="array" ref="L204">EVAL($AG$15,B204)</f>
        <v>57.497609017426882</v>
      </c>
      <c r="M204" s="15" cm="1">
        <f t="array" ref="M204">EVAL($AG$16,B204)</f>
        <v>0.77452774276758274</v>
      </c>
      <c r="N204" s="15" cm="1">
        <f t="array" ref="N204">EVAL($AG$17,B204)</f>
        <v>35.115282436274711</v>
      </c>
      <c r="O204" s="15" cm="1">
        <f t="array" ref="O204">EVAL($AG$18,B204)</f>
        <v>1.0562146913464372E-2</v>
      </c>
      <c r="P204" s="15" cm="1">
        <f t="array" ref="P204">EVAL($AG$19,B204)</f>
        <v>1.0562146913464372E-2</v>
      </c>
      <c r="Q204" s="15" cm="1">
        <f t="array" ref="Q204">EVAL($AH$6,B204)</f>
        <v>1.030076238586443</v>
      </c>
      <c r="R204" s="15" cm="1">
        <f t="array" ref="R204">EVAL($AH$7,B204)</f>
        <v>1.030076238586443</v>
      </c>
      <c r="T204" s="15" cm="1">
        <f t="array" ref="T204">EVAL($AH$9,B204)</f>
        <v>0.68490371642970849</v>
      </c>
      <c r="U204" s="15" cm="1">
        <f t="array" ref="U204">EVAL($AH$10,B204)</f>
        <v>0.68490371642970849</v>
      </c>
      <c r="V204" s="15" cm="1">
        <f t="array" ref="V204">EVAL($AH$11,B204)</f>
        <v>0.68490371642970849</v>
      </c>
      <c r="W204" s="15" cm="1">
        <f t="array" ref="W204">EVAL($AH$12,B204)</f>
        <v>21.080700408033255</v>
      </c>
      <c r="X204" s="15" cm="1">
        <f t="array" ref="X204">EVAL($AH$13,B204)</f>
        <v>0.33233481940608173</v>
      </c>
      <c r="Y204" s="15" cm="1">
        <f t="array" ref="Y204">EVAL($AH$14,B204)</f>
        <v>0.33233481940608173</v>
      </c>
    </row>
    <row r="205" spans="1:25" x14ac:dyDescent="0.25">
      <c r="A205" s="20">
        <v>21.2</v>
      </c>
      <c r="B205" s="41">
        <f t="shared" si="3"/>
        <v>66.601764256103607</v>
      </c>
      <c r="C205" s="15" cm="1">
        <f t="array" ref="C205">EVAL($AG$6,B205)</f>
        <v>261.67487199398454</v>
      </c>
      <c r="D205" s="15" cm="1">
        <f t="array" ref="D205">EVAL($AG$7,B205)</f>
        <v>3.4513089188425567</v>
      </c>
      <c r="F205" s="15" cm="1">
        <f t="array" ref="F205">EVAL($AG$9,B205)</f>
        <v>1.5107051678761241</v>
      </c>
      <c r="G205" s="15" cm="1">
        <f t="array" ref="G205">EVAL($AG$10,B205)</f>
        <v>1.5107051678761241</v>
      </c>
      <c r="H205" s="15" cm="1">
        <f t="array" ref="H205">EVAL($AG$11,B205)</f>
        <v>1.5107051678761241</v>
      </c>
      <c r="I205" s="15" cm="1">
        <f t="array" ref="I205">EVAL($AG$12,B205)</f>
        <v>1.4812347706395224</v>
      </c>
      <c r="J205" s="15" cm="1">
        <f t="array" ref="J205">EVAL($AG$13,B205)</f>
        <v>97.686962704336665</v>
      </c>
      <c r="K205" s="15" cm="1">
        <f t="array" ref="K205">EVAL($AG$14,B205)</f>
        <v>1.1165562010432042</v>
      </c>
      <c r="L205" s="15" cm="1">
        <f t="array" ref="L205">EVAL($AG$15,B205)</f>
        <v>57.663108503013937</v>
      </c>
      <c r="M205" s="15" cm="1">
        <f t="array" ref="M205">EVAL($AG$16,B205)</f>
        <v>0.77639692121637605</v>
      </c>
      <c r="N205" s="15" cm="1">
        <f t="array" ref="N205">EVAL($AG$17,B205)</f>
        <v>35.183154602351891</v>
      </c>
      <c r="O205" s="15" cm="1">
        <f t="array" ref="O205">EVAL($AG$18,B205)</f>
        <v>1.0534566540821941E-2</v>
      </c>
      <c r="P205" s="15" cm="1">
        <f t="array" ref="P205">EVAL($AG$19,B205)</f>
        <v>1.0534566540821941E-2</v>
      </c>
      <c r="Q205" s="15" cm="1">
        <f t="array" ref="Q205">EVAL($AH$6,B205)</f>
        <v>1.0320911205866827</v>
      </c>
      <c r="R205" s="15" cm="1">
        <f t="array" ref="R205">EVAL($AH$7,B205)</f>
        <v>1.0320911205866827</v>
      </c>
      <c r="T205" s="15" cm="1">
        <f t="array" ref="T205">EVAL($AH$9,B205)</f>
        <v>0.68616977352342778</v>
      </c>
      <c r="U205" s="15" cm="1">
        <f t="array" ref="U205">EVAL($AH$10,B205)</f>
        <v>0.68616977352342778</v>
      </c>
      <c r="V205" s="15" cm="1">
        <f t="array" ref="V205">EVAL($AH$11,B205)</f>
        <v>0.68616977352342778</v>
      </c>
      <c r="W205" s="15" cm="1">
        <f t="array" ref="W205">EVAL($AH$12,B205)</f>
        <v>21.228552416191153</v>
      </c>
      <c r="X205" s="15" cm="1">
        <f t="array" ref="X205">EVAL($AH$13,B205)</f>
        <v>0.33274424467569425</v>
      </c>
      <c r="Y205" s="15" cm="1">
        <f t="array" ref="Y205">EVAL($AH$14,B205)</f>
        <v>0.33274424467569425</v>
      </c>
    </row>
    <row r="206" spans="1:25" x14ac:dyDescent="0.25">
      <c r="A206" s="20">
        <v>21.3</v>
      </c>
      <c r="B206" s="41">
        <f t="shared" si="3"/>
        <v>66.915923521462602</v>
      </c>
      <c r="C206" s="15" cm="1">
        <f t="array" ref="C206">EVAL($AG$6,B206)</f>
        <v>262.52778136781058</v>
      </c>
      <c r="D206" s="15" cm="1">
        <f t="array" ref="D206">EVAL($AG$7,B206)</f>
        <v>3.4558822998116452</v>
      </c>
      <c r="F206" s="15" cm="1">
        <f t="array" ref="F206">EVAL($AG$9,B206)</f>
        <v>1.5179461382474431</v>
      </c>
      <c r="G206" s="15" cm="1">
        <f t="array" ref="G206">EVAL($AG$10,B206)</f>
        <v>1.5179461382474431</v>
      </c>
      <c r="H206" s="15" cm="1">
        <f t="array" ref="H206">EVAL($AG$11,B206)</f>
        <v>1.5179461382474431</v>
      </c>
      <c r="I206" s="15" cm="1">
        <f t="array" ref="I206">EVAL($AG$12,B206)</f>
        <v>1.487831688327854</v>
      </c>
      <c r="J206" s="15" cm="1">
        <f t="array" ref="J206">EVAL($AG$13,B206)</f>
        <v>98.032257739757753</v>
      </c>
      <c r="K206" s="15" cm="1">
        <f t="array" ref="K206">EVAL($AG$14,B206)</f>
        <v>1.1210957408501363</v>
      </c>
      <c r="L206" s="15" cm="1">
        <f t="array" ref="L206">EVAL($AG$15,B206)</f>
        <v>57.828302174155489</v>
      </c>
      <c r="M206" s="15" cm="1">
        <f t="array" ref="M206">EVAL($AG$16,B206)</f>
        <v>0.77826178260393386</v>
      </c>
      <c r="N206" s="15" cm="1">
        <f t="array" ref="N206">EVAL($AG$17,B206)</f>
        <v>35.250837629783334</v>
      </c>
      <c r="O206" s="15" cm="1">
        <f t="array" ref="O206">EVAL($AG$18,B206)</f>
        <v>1.0507187470527347E-2</v>
      </c>
      <c r="P206" s="15" cm="1">
        <f t="array" ref="P206">EVAL($AG$19,B206)</f>
        <v>1.0507187470527347E-2</v>
      </c>
      <c r="Q206" s="15" cm="1">
        <f t="array" ref="Q206">EVAL($AH$6,B206)</f>
        <v>1.0341004341780298</v>
      </c>
      <c r="R206" s="15" cm="1">
        <f t="array" ref="R206">EVAL($AH$7,B206)</f>
        <v>1.0341004341780298</v>
      </c>
      <c r="T206" s="15" cm="1">
        <f t="array" ref="T206">EVAL($AH$9,B206)</f>
        <v>0.68743219650829346</v>
      </c>
      <c r="U206" s="15" cm="1">
        <f t="array" ref="U206">EVAL($AH$10,B206)</f>
        <v>0.68743219650829346</v>
      </c>
      <c r="V206" s="15" cm="1">
        <f t="array" ref="V206">EVAL($AH$11,B206)</f>
        <v>0.68743219650829346</v>
      </c>
      <c r="W206" s="15" cm="1">
        <f t="array" ref="W206">EVAL($AH$12,B206)</f>
        <v>21.376738305627519</v>
      </c>
      <c r="X206" s="15" cm="1">
        <f t="array" ref="X206">EVAL($AH$13,B206)</f>
        <v>0.33315224407327459</v>
      </c>
      <c r="Y206" s="15" cm="1">
        <f t="array" ref="Y206">EVAL($AH$14,B206)</f>
        <v>0.33315224407327459</v>
      </c>
    </row>
    <row r="207" spans="1:25" x14ac:dyDescent="0.25">
      <c r="A207" s="20">
        <v>21.4</v>
      </c>
      <c r="B207" s="41">
        <f t="shared" si="3"/>
        <v>67.230082786821569</v>
      </c>
      <c r="C207" s="15" cm="1">
        <f t="array" ref="C207">EVAL($AG$6,B207)</f>
        <v>263.37945631346662</v>
      </c>
      <c r="D207" s="15" cm="1">
        <f t="array" ref="D207">EVAL($AG$7,B207)</f>
        <v>3.4604402774454397</v>
      </c>
      <c r="F207" s="15" cm="1">
        <f t="array" ref="F207">EVAL($AG$9,B207)</f>
        <v>1.5251876559636135</v>
      </c>
      <c r="G207" s="15" cm="1">
        <f t="array" ref="G207">EVAL($AG$10,B207)</f>
        <v>1.5251876559636135</v>
      </c>
      <c r="H207" s="15" cm="1">
        <f t="array" ref="H207">EVAL($AG$11,B207)</f>
        <v>1.5251876559636135</v>
      </c>
      <c r="I207" s="15" cm="1">
        <f t="array" ref="I207">EVAL($AG$12,B207)</f>
        <v>1.4944268811257522</v>
      </c>
      <c r="J207" s="15" cm="1">
        <f t="array" ref="J207">EVAL($AG$13,B207)</f>
        <v>98.377147411545977</v>
      </c>
      <c r="K207" s="15" cm="1">
        <f t="array" ref="K207">EVAL($AG$14,B207)</f>
        <v>1.1256323447475143</v>
      </c>
      <c r="L207" s="15" cm="1">
        <f t="array" ref="L207">EVAL($AG$15,B207)</f>
        <v>57.993192027733279</v>
      </c>
      <c r="M207" s="15" cm="1">
        <f t="array" ref="M207">EVAL($AG$16,B207)</f>
        <v>0.78012235709896438</v>
      </c>
      <c r="N207" s="15" cm="1">
        <f t="array" ref="N207">EVAL($AG$17,B207)</f>
        <v>35.318332929919329</v>
      </c>
      <c r="O207" s="15" cm="1">
        <f t="array" ref="O207">EVAL($AG$18,B207)</f>
        <v>1.048000729854464E-2</v>
      </c>
      <c r="P207" s="15" cm="1">
        <f t="array" ref="P207">EVAL($AG$19,B207)</f>
        <v>1.048000729854464E-2</v>
      </c>
      <c r="Q207" s="15" cm="1">
        <f t="array" ref="Q207">EVAL($AH$6,B207)</f>
        <v>1.0361042207844378</v>
      </c>
      <c r="R207" s="15" cm="1">
        <f t="array" ref="R207">EVAL($AH$7,B207)</f>
        <v>1.0361042207844378</v>
      </c>
      <c r="T207" s="15" cm="1">
        <f t="array" ref="T207">EVAL($AH$9,B207)</f>
        <v>0.68869101280411293</v>
      </c>
      <c r="U207" s="15" cm="1">
        <f t="array" ref="U207">EVAL($AH$10,B207)</f>
        <v>0.68869101280411293</v>
      </c>
      <c r="V207" s="15" cm="1">
        <f t="array" ref="V207">EVAL($AH$11,B207)</f>
        <v>0.68869101280411293</v>
      </c>
      <c r="W207" s="15" cm="1">
        <f t="array" ref="W207">EVAL($AH$12,B207)</f>
        <v>21.525257257486665</v>
      </c>
      <c r="X207" s="15" cm="1">
        <f t="array" ref="X207">EVAL($AH$13,B207)</f>
        <v>0.33355882922400443</v>
      </c>
      <c r="Y207" s="15" cm="1">
        <f t="array" ref="Y207">EVAL($AH$14,B207)</f>
        <v>0.33355882922400443</v>
      </c>
    </row>
    <row r="208" spans="1:25" x14ac:dyDescent="0.25">
      <c r="A208" s="20">
        <v>21.5</v>
      </c>
      <c r="B208" s="41">
        <f t="shared" si="3"/>
        <v>67.54424205218055</v>
      </c>
      <c r="C208" s="15" cm="1">
        <f t="array" ref="C208">EVAL($AG$6,B208)</f>
        <v>264.22990437346351</v>
      </c>
      <c r="D208" s="15" cm="1">
        <f t="array" ref="D208">EVAL($AG$7,B208)</f>
        <v>3.464982975239121</v>
      </c>
      <c r="F208" s="15" cm="1">
        <f t="array" ref="F208">EVAL($AG$9,B208)</f>
        <v>1.5324297185080198</v>
      </c>
      <c r="G208" s="15" cm="1">
        <f t="array" ref="G208">EVAL($AG$10,B208)</f>
        <v>1.5324297185080198</v>
      </c>
      <c r="H208" s="15" cm="1">
        <f t="array" ref="H208">EVAL($AG$11,B208)</f>
        <v>1.5324297185080198</v>
      </c>
      <c r="I208" s="15" cm="1">
        <f t="array" ref="I208">EVAL($AG$12,B208)</f>
        <v>1.5010203575413643</v>
      </c>
      <c r="J208" s="15" cm="1">
        <f t="array" ref="J208">EVAL($AG$13,B208)</f>
        <v>98.721634086491775</v>
      </c>
      <c r="K208" s="15" cm="1">
        <f t="array" ref="K208">EVAL($AG$14,B208)</f>
        <v>1.1301660283401374</v>
      </c>
      <c r="L208" s="15" cm="1">
        <f t="array" ref="L208">EVAL($AG$15,B208)</f>
        <v>58.157780038328049</v>
      </c>
      <c r="M208" s="15" cm="1">
        <f t="array" ref="M208">EVAL($AG$16,B208)</f>
        <v>0.78197867451951697</v>
      </c>
      <c r="N208" s="15" cm="1">
        <f t="array" ref="N208">EVAL($AG$17,B208)</f>
        <v>35.385641897041744</v>
      </c>
      <c r="O208" s="15" cm="1">
        <f t="array" ref="O208">EVAL($AG$18,B208)</f>
        <v>1.0453023660607451E-2</v>
      </c>
      <c r="P208" s="15" cm="1">
        <f t="array" ref="P208">EVAL($AG$19,B208)</f>
        <v>1.0453023660607451E-2</v>
      </c>
      <c r="Q208" s="15" cm="1">
        <f t="array" ref="Q208">EVAL($AH$6,B208)</f>
        <v>1.0381025213298332</v>
      </c>
      <c r="R208" s="15" cm="1">
        <f t="array" ref="R208">EVAL($AH$7,B208)</f>
        <v>1.0381025213298332</v>
      </c>
      <c r="T208" s="15" cm="1">
        <f t="array" ref="T208">EVAL($AH$9,B208)</f>
        <v>0.6899462494968237</v>
      </c>
      <c r="U208" s="15" cm="1">
        <f t="array" ref="U208">EVAL($AH$10,B208)</f>
        <v>0.6899462494968237</v>
      </c>
      <c r="V208" s="15" cm="1">
        <f t="array" ref="V208">EVAL($AH$11,B208)</f>
        <v>0.6899462494968237</v>
      </c>
      <c r="W208" s="15" cm="1">
        <f t="array" ref="W208">EVAL($AH$12,B208)</f>
        <v>21.674108458742637</v>
      </c>
      <c r="X208" s="15" cm="1">
        <f t="array" ref="X208">EVAL($AH$13,B208)</f>
        <v>0.33396401160449712</v>
      </c>
      <c r="Y208" s="15" cm="1">
        <f t="array" ref="Y208">EVAL($AH$14,B208)</f>
        <v>0.33396401160449712</v>
      </c>
    </row>
    <row r="209" spans="1:25" x14ac:dyDescent="0.25">
      <c r="A209" s="20">
        <v>21.6</v>
      </c>
      <c r="B209" s="41">
        <f t="shared" si="3"/>
        <v>67.858401317539531</v>
      </c>
      <c r="C209" s="15" cm="1">
        <f t="array" ref="C209">EVAL($AG$6,B209)</f>
        <v>265.07913300938344</v>
      </c>
      <c r="D209" s="15" cm="1">
        <f t="array" ref="D209">EVAL($AG$7,B209)</f>
        <v>3.4695105151289014</v>
      </c>
      <c r="F209" s="15" cm="1">
        <f t="array" ref="F209">EVAL($AG$9,B209)</f>
        <v>1.5396723233872587</v>
      </c>
      <c r="G209" s="15" cm="1">
        <f t="array" ref="G209">EVAL($AG$10,B209)</f>
        <v>1.5396723233872587</v>
      </c>
      <c r="H209" s="15" cm="1">
        <f t="array" ref="H209">EVAL($AG$11,B209)</f>
        <v>1.5396723233872587</v>
      </c>
      <c r="I209" s="15" cm="1">
        <f t="array" ref="I209">EVAL($AG$12,B209)</f>
        <v>1.5076121260014907</v>
      </c>
      <c r="J209" s="15" cm="1">
        <f t="array" ref="J209">EVAL($AG$13,B209)</f>
        <v>99.065720106628689</v>
      </c>
      <c r="K209" s="15" cm="1">
        <f t="array" ref="K209">EVAL($AG$14,B209)</f>
        <v>1.1346968070776888</v>
      </c>
      <c r="L209" s="15" cm="1">
        <f t="array" ref="L209">EVAL($AG$15,B209)</f>
        <v>58.32206815857095</v>
      </c>
      <c r="M209" s="15" cm="1">
        <f t="array" ref="M209">EVAL($AG$16,B209)</f>
        <v>0.78383076433866794</v>
      </c>
      <c r="N209" s="15" cm="1">
        <f t="array" ref="N209">EVAL($AG$17,B209)</f>
        <v>35.452765908648757</v>
      </c>
      <c r="O209" s="15" cm="1">
        <f t="array" ref="O209">EVAL($AG$18,B209)</f>
        <v>1.042623423137984E-2</v>
      </c>
      <c r="P209" s="15" cm="1">
        <f t="array" ref="P209">EVAL($AG$19,B209)</f>
        <v>1.042623423137984E-2</v>
      </c>
      <c r="Q209" s="15" cm="1">
        <f t="array" ref="Q209">EVAL($AH$6,B209)</f>
        <v>1.0400953762464464</v>
      </c>
      <c r="R209" s="15" cm="1">
        <f t="array" ref="R209">EVAL($AH$7,B209)</f>
        <v>1.0400953762464464</v>
      </c>
      <c r="T209" s="15" cm="1">
        <f t="array" ref="T209">EVAL($AH$9,B209)</f>
        <v>0.69119793334408985</v>
      </c>
      <c r="U209" s="15" cm="1">
        <f t="array" ref="U209">EVAL($AH$10,B209)</f>
        <v>0.69119793334408985</v>
      </c>
      <c r="V209" s="15" cm="1">
        <f t="array" ref="V209">EVAL($AH$11,B209)</f>
        <v>0.69119793334408985</v>
      </c>
      <c r="W209" s="15" cm="1">
        <f t="array" ref="W209">EVAL($AH$12,B209)</f>
        <v>21.823291102130533</v>
      </c>
      <c r="X209" s="15" cm="1">
        <f t="array" ref="X209">EVAL($AH$13,B209)</f>
        <v>0.33436780254537685</v>
      </c>
      <c r="Y209" s="15" cm="1">
        <f t="array" ref="Y209">EVAL($AH$14,B209)</f>
        <v>0.33436780254537685</v>
      </c>
    </row>
    <row r="210" spans="1:25" x14ac:dyDescent="0.25">
      <c r="A210" s="20">
        <v>21.7</v>
      </c>
      <c r="B210" s="41">
        <f t="shared" si="3"/>
        <v>68.172560582898512</v>
      </c>
      <c r="C210" s="15" cm="1">
        <f t="array" ref="C210">EVAL($AG$6,B210)</f>
        <v>265.92714960311997</v>
      </c>
      <c r="D210" s="15" cm="1">
        <f t="array" ref="D210">EVAL($AG$7,B210)</f>
        <v>3.4740230175188342</v>
      </c>
      <c r="F210" s="15" cm="1">
        <f t="array" ref="F210">EVAL($AG$9,B210)</f>
        <v>1.5469154681308399</v>
      </c>
      <c r="G210" s="15" cm="1">
        <f t="array" ref="G210">EVAL($AG$10,B210)</f>
        <v>1.5469154681308399</v>
      </c>
      <c r="H210" s="15" cm="1">
        <f t="array" ref="H210">EVAL($AG$11,B210)</f>
        <v>1.5469154681308399</v>
      </c>
      <c r="I210" s="15" cm="1">
        <f t="array" ref="I210">EVAL($AG$12,B210)</f>
        <v>1.5142021948527535</v>
      </c>
      <c r="J210" s="15" cm="1">
        <f t="array" ref="J210">EVAL($AG$13,B210)</f>
        <v>99.409407789606206</v>
      </c>
      <c r="K210" s="15" cm="1">
        <f t="array" ref="K210">EVAL($AG$14,B210)</f>
        <v>1.139224696256993</v>
      </c>
      <c r="L210" s="15" cm="1">
        <f t="array" ref="L210">EVAL($AG$15,B210)</f>
        <v>58.486058319488315</v>
      </c>
      <c r="M210" s="15" cm="1">
        <f t="array" ref="M210">EVAL($AG$16,B210)</f>
        <v>0.78567865569009143</v>
      </c>
      <c r="N210" s="15" cm="1">
        <f t="array" ref="N210">EVAL($AG$17,B210)</f>
        <v>35.519706325733637</v>
      </c>
      <c r="O210" s="15" cm="1">
        <f t="array" ref="O210">EVAL($AG$18,B210)</f>
        <v>1.0399636723638589E-2</v>
      </c>
      <c r="P210" s="15" cm="1">
        <f t="array" ref="P210">EVAL($AG$19,B210)</f>
        <v>1.0399636723638589E-2</v>
      </c>
      <c r="Q210" s="15" cm="1">
        <f t="array" ref="Q210">EVAL($AH$6,B210)</f>
        <v>1.0420828254829668</v>
      </c>
      <c r="R210" s="15" cm="1">
        <f t="array" ref="R210">EVAL($AH$7,B210)</f>
        <v>1.0420828254829668</v>
      </c>
      <c r="T210" s="15" cm="1">
        <f t="array" ref="T210">EVAL($AH$9,B210)</f>
        <v>0.6924460907807819</v>
      </c>
      <c r="U210" s="15" cm="1">
        <f t="array" ref="U210">EVAL($AH$10,B210)</f>
        <v>0.6924460907807819</v>
      </c>
      <c r="V210" s="15" cm="1">
        <f t="array" ref="V210">EVAL($AH$11,B210)</f>
        <v>0.6924460907807819</v>
      </c>
      <c r="W210" s="15" cm="1">
        <f t="array" ref="W210">EVAL($AH$12,B210)</f>
        <v>21.972804386079495</v>
      </c>
      <c r="X210" s="15" cm="1">
        <f t="array" ref="X210">EVAL($AH$13,B210)</f>
        <v>0.33477021323380257</v>
      </c>
      <c r="Y210" s="15" cm="1">
        <f t="array" ref="Y210">EVAL($AH$14,B210)</f>
        <v>0.33477021323380257</v>
      </c>
    </row>
    <row r="211" spans="1:25" x14ac:dyDescent="0.25">
      <c r="A211" s="20">
        <v>21.8</v>
      </c>
      <c r="B211" s="41">
        <f t="shared" si="3"/>
        <v>68.486719848257493</v>
      </c>
      <c r="C211" s="15" cm="1">
        <f t="array" ref="C211">EVAL($AG$6,B211)</f>
        <v>266.77396145809075</v>
      </c>
      <c r="D211" s="15" cm="1">
        <f t="array" ref="D211">EVAL($AG$7,B211)</f>
        <v>3.4785206013070136</v>
      </c>
      <c r="F211" s="15" cm="1">
        <f t="array" ref="F211">EVAL($AG$9,B211)</f>
        <v>1.5541591502908552</v>
      </c>
      <c r="G211" s="15" cm="1">
        <f t="array" ref="G211">EVAL($AG$10,B211)</f>
        <v>1.5541591502908552</v>
      </c>
      <c r="H211" s="15" cm="1">
        <f t="array" ref="H211">EVAL($AG$11,B211)</f>
        <v>1.5541591502908552</v>
      </c>
      <c r="I211" s="15" cm="1">
        <f t="array" ref="I211">EVAL($AG$12,B211)</f>
        <v>1.5207905723627064</v>
      </c>
      <c r="J211" s="15" cm="1">
        <f t="array" ref="J211">EVAL($AG$13,B211)</f>
        <v>99.752699429054047</v>
      </c>
      <c r="K211" s="15" cm="1">
        <f t="array" ref="K211">EVAL($AG$14,B211)</f>
        <v>1.1437497110242205</v>
      </c>
      <c r="L211" s="15" cm="1">
        <f t="array" ref="L211">EVAL($AG$15,B211)</f>
        <v>58.649752430838596</v>
      </c>
      <c r="M211" s="15" cm="1">
        <f t="array" ref="M211">EVAL($AG$16,B211)</f>
        <v>0.78752237737350783</v>
      </c>
      <c r="N211" s="15" cm="1">
        <f t="array" ref="N211">EVAL($AG$17,B211)</f>
        <v>35.586464493057434</v>
      </c>
      <c r="O211" s="15" cm="1">
        <f t="array" ref="O211">EVAL($AG$18,B211)</f>
        <v>1.0373228887476429E-2</v>
      </c>
      <c r="P211" s="15" cm="1">
        <f t="array" ref="P211">EVAL($AG$19,B211)</f>
        <v>1.0373228887476429E-2</v>
      </c>
      <c r="Q211" s="15" cm="1">
        <f t="array" ref="Q211">EVAL($AH$6,B211)</f>
        <v>1.0440649085125222</v>
      </c>
      <c r="R211" s="15" cm="1">
        <f t="array" ref="R211">EVAL($AH$7,B211)</f>
        <v>1.0440649085125222</v>
      </c>
      <c r="T211" s="15" cm="1">
        <f t="array" ref="T211">EVAL($AH$9,B211)</f>
        <v>0.69369074792433572</v>
      </c>
      <c r="U211" s="15" cm="1">
        <f t="array" ref="U211">EVAL($AH$10,B211)</f>
        <v>0.69369074792433572</v>
      </c>
      <c r="V211" s="15" cm="1">
        <f t="array" ref="V211">EVAL($AH$11,B211)</f>
        <v>0.69369074792433572</v>
      </c>
      <c r="W211" s="15" cm="1">
        <f t="array" ref="W211">EVAL($AH$12,B211)</f>
        <v>22.122647514646125</v>
      </c>
      <c r="X211" s="15" cm="1">
        <f t="array" ref="X211">EVAL($AH$13,B211)</f>
        <v>0.3351712547159354</v>
      </c>
      <c r="Y211" s="15" cm="1">
        <f t="array" ref="Y211">EVAL($AH$14,B211)</f>
        <v>0.3351712547159354</v>
      </c>
    </row>
    <row r="212" spans="1:25" x14ac:dyDescent="0.25">
      <c r="A212" s="20">
        <v>21.9</v>
      </c>
      <c r="B212" s="41">
        <f t="shared" si="3"/>
        <v>68.80087911361646</v>
      </c>
      <c r="C212" s="15" cm="1">
        <f t="array" ref="C212">EVAL($AG$6,B212)</f>
        <v>267.61957580042775</v>
      </c>
      <c r="D212" s="15" cm="1">
        <f t="array" ref="D212">EVAL($AG$7,B212)</f>
        <v>3.4830033839112264</v>
      </c>
      <c r="F212" s="15" cm="1">
        <f t="array" ref="F212">EVAL($AG$9,B212)</f>
        <v>1.5614033674416734</v>
      </c>
      <c r="G212" s="15" cm="1">
        <f t="array" ref="G212">EVAL($AG$10,B212)</f>
        <v>1.5614033674416734</v>
      </c>
      <c r="H212" s="15" cm="1">
        <f t="array" ref="H212">EVAL($AG$11,B212)</f>
        <v>1.5614033674416734</v>
      </c>
      <c r="I212" s="15" cm="1">
        <f t="array" ref="I212">EVAL($AG$12,B212)</f>
        <v>1.5273772667209518</v>
      </c>
      <c r="J212" s="15" cm="1">
        <f t="array" ref="J212">EVAL($AG$13,B212)</f>
        <v>100.09559729494033</v>
      </c>
      <c r="K212" s="15" cm="1">
        <f t="array" ref="K212">EVAL($AG$14,B212)</f>
        <v>1.1482718663770572</v>
      </c>
      <c r="L212" s="15" cm="1">
        <f t="array" ref="L212">EVAL($AG$15,B212)</f>
        <v>58.813152381443274</v>
      </c>
      <c r="M212" s="15" cm="1">
        <f t="array" ref="M212">EVAL($AG$16,B212)</f>
        <v>0.7893619578600275</v>
      </c>
      <c r="N212" s="15" cm="1">
        <f t="array" ref="N212">EVAL($AG$17,B212)</f>
        <v>35.653041739416118</v>
      </c>
      <c r="O212" s="15" cm="1">
        <f t="array" ref="O212">EVAL($AG$18,B212)</f>
        <v>1.0347008509525444E-2</v>
      </c>
      <c r="P212" s="15" cm="1">
        <f t="array" ref="P212">EVAL($AG$19,B212)</f>
        <v>1.0347008509525444E-2</v>
      </c>
      <c r="Q212" s="15" cm="1">
        <f t="array" ref="Q212">EVAL($AH$6,B212)</f>
        <v>1.0460416643404931</v>
      </c>
      <c r="R212" s="15" cm="1">
        <f t="array" ref="R212">EVAL($AH$7,B212)</f>
        <v>1.0460416643404931</v>
      </c>
      <c r="T212" s="15" cm="1">
        <f t="array" ref="T212">EVAL($AH$9,B212)</f>
        <v>0.69493193058000302</v>
      </c>
      <c r="U212" s="15" cm="1">
        <f t="array" ref="U212">EVAL($AH$10,B212)</f>
        <v>0.69493193058000302</v>
      </c>
      <c r="V212" s="15" cm="1">
        <f t="array" ref="V212">EVAL($AH$11,B212)</f>
        <v>0.69493193058000302</v>
      </c>
      <c r="W212" s="15" cm="1">
        <f t="array" ref="W212">EVAL($AH$12,B212)</f>
        <v>22.272819697449478</v>
      </c>
      <c r="X212" s="15" cm="1">
        <f t="array" ref="X212">EVAL($AH$13,B212)</f>
        <v>0.33557093789935361</v>
      </c>
      <c r="Y212" s="15" cm="1">
        <f t="array" ref="Y212">EVAL($AH$14,B212)</f>
        <v>0.33557093789935361</v>
      </c>
    </row>
    <row r="213" spans="1:25" x14ac:dyDescent="0.25">
      <c r="A213" s="20">
        <v>22</v>
      </c>
      <c r="B213" s="41">
        <f t="shared" si="3"/>
        <v>69.115038378975441</v>
      </c>
      <c r="C213" s="15" cm="1">
        <f t="array" ref="C213">EVAL($AG$6,B213)</f>
        <v>268.46399978014483</v>
      </c>
      <c r="D213" s="15" cm="1">
        <f t="array" ref="D213">EVAL($AG$7,B213)</f>
        <v>3.4874714812940422</v>
      </c>
      <c r="F213" s="15" cm="1">
        <f t="array" ref="F213">EVAL($AG$9,B213)</f>
        <v>1.568648117179638</v>
      </c>
      <c r="G213" s="15" cm="1">
        <f t="array" ref="G213">EVAL($AG$10,B213)</f>
        <v>1.568648117179638</v>
      </c>
      <c r="H213" s="15" cm="1">
        <f t="array" ref="H213">EVAL($AG$11,B213)</f>
        <v>1.568648117179638</v>
      </c>
      <c r="I213" s="15" cm="1">
        <f t="array" ref="I213">EVAL($AG$12,B213)</f>
        <v>1.5339622860402251</v>
      </c>
      <c r="J213" s="15" cm="1">
        <f t="array" ref="J213">EVAL($AG$13,B213)</f>
        <v>100.43810363392268</v>
      </c>
      <c r="K213" s="15" cm="1">
        <f t="array" ref="K213">EVAL($AG$14,B213)</f>
        <v>1.1527911771668293</v>
      </c>
      <c r="L213" s="15" cm="1">
        <f t="array" ref="L213">EVAL($AG$15,B213)</f>
        <v>58.976260039510706</v>
      </c>
      <c r="M213" s="15" cm="1">
        <f t="array" ref="M213">EVAL($AG$16,B213)</f>
        <v>0.79119742529737991</v>
      </c>
      <c r="N213" s="15" cm="1">
        <f t="array" ref="N213">EVAL($AG$17,B213)</f>
        <v>35.719439377901992</v>
      </c>
      <c r="O213" s="15" cm="1">
        <f t="array" ref="O213">EVAL($AG$18,B213)</f>
        <v>1.032097341220008E-2</v>
      </c>
      <c r="P213" s="15" cm="1">
        <f t="array" ref="P213">EVAL($AG$19,B213)</f>
        <v>1.032097341220008E-2</v>
      </c>
      <c r="Q213" s="15" cm="1">
        <f t="array" ref="Q213">EVAL($AH$6,B213)</f>
        <v>1.0480131315121624</v>
      </c>
      <c r="R213" s="15" cm="1">
        <f t="array" ref="R213">EVAL($AH$7,B213)</f>
        <v>1.0480131315121624</v>
      </c>
      <c r="T213" s="15" cm="1">
        <f t="array" ref="T213">EVAL($AH$9,B213)</f>
        <v>0.69616966424598736</v>
      </c>
      <c r="U213" s="15" cm="1">
        <f t="array" ref="U213">EVAL($AH$10,B213)</f>
        <v>0.69616966424598736</v>
      </c>
      <c r="V213" s="15" cm="1">
        <f t="array" ref="V213">EVAL($AH$11,B213)</f>
        <v>0.69616966424598736</v>
      </c>
      <c r="W213" s="15" cm="1">
        <f t="array" ref="W213">EVAL($AH$12,B213)</f>
        <v>22.423320149606841</v>
      </c>
      <c r="X213" s="15" cm="1">
        <f t="array" ref="X213">EVAL($AH$13,B213)</f>
        <v>0.33596927355541495</v>
      </c>
      <c r="Y213" s="15" cm="1">
        <f t="array" ref="Y213">EVAL($AH$14,B213)</f>
        <v>0.33596927355541495</v>
      </c>
    </row>
    <row r="214" spans="1:25" x14ac:dyDescent="0.25">
      <c r="A214" s="20">
        <v>22.1</v>
      </c>
      <c r="B214" s="41">
        <f t="shared" si="3"/>
        <v>69.429197644334437</v>
      </c>
      <c r="C214" s="15" cm="1">
        <f t="array" ref="C214">EVAL($AG$6,B214)</f>
        <v>269.30724047228171</v>
      </c>
      <c r="D214" s="15" cm="1">
        <f t="array" ref="D214">EVAL($AG$7,B214)</f>
        <v>3.4919250079873825</v>
      </c>
      <c r="F214" s="15" cm="1">
        <f t="array" ref="F214">EVAL($AG$9,B214)</f>
        <v>1.5758933971227731</v>
      </c>
      <c r="G214" s="15" cm="1">
        <f t="array" ref="G214">EVAL($AG$10,B214)</f>
        <v>1.5758933971227731</v>
      </c>
      <c r="H214" s="15" cm="1">
        <f t="array" ref="H214">EVAL($AG$11,B214)</f>
        <v>1.5758933971227731</v>
      </c>
      <c r="I214" s="15" cm="1">
        <f t="array" ref="I214">EVAL($AG$12,B214)</f>
        <v>1.5405456383574732</v>
      </c>
      <c r="J214" s="15" cm="1">
        <f t="array" ref="J214">EVAL($AG$13,B214)</f>
        <v>100.7802206696925</v>
      </c>
      <c r="K214" s="15" cm="1">
        <f t="array" ref="K214">EVAL($AG$14,B214)</f>
        <v>1.1573076581005985</v>
      </c>
      <c r="L214" s="15" cm="1">
        <f t="array" ref="L214">EVAL($AG$15,B214)</f>
        <v>59.139077252954053</v>
      </c>
      <c r="M214" s="15" cm="1">
        <f t="array" ref="M214">EVAL($AG$16,B214)</f>
        <v>0.79302880751504179</v>
      </c>
      <c r="N214" s="15" cm="1">
        <f t="array" ref="N214">EVAL($AG$17,B214)</f>
        <v>35.785658706159857</v>
      </c>
      <c r="O214" s="15" cm="1">
        <f t="array" ref="O214">EVAL($AG$18,B214)</f>
        <v>1.0295121452959207E-2</v>
      </c>
      <c r="P214" s="15" cm="1">
        <f t="array" ref="P214">EVAL($AG$19,B214)</f>
        <v>1.0295121452959207E-2</v>
      </c>
      <c r="Q214" s="15" cm="1">
        <f t="array" ref="Q214">EVAL($AH$6,B214)</f>
        <v>1.0499793481202107</v>
      </c>
      <c r="R214" s="15" cm="1">
        <f t="array" ref="R214">EVAL($AH$7,B214)</f>
        <v>1.0499793481202107</v>
      </c>
      <c r="T214" s="15" cm="1">
        <f t="array" ref="T214">EVAL($AH$9,B214)</f>
        <v>0.69740397411847821</v>
      </c>
      <c r="U214" s="15" cm="1">
        <f t="array" ref="U214">EVAL($AH$10,B214)</f>
        <v>0.69740397411847821</v>
      </c>
      <c r="V214" s="15" cm="1">
        <f t="array" ref="V214">EVAL($AH$11,B214)</f>
        <v>0.69740397411847821</v>
      </c>
      <c r="W214" s="15" cm="1">
        <f t="array" ref="W214">EVAL($AH$12,B214)</f>
        <v>22.574148091670956</v>
      </c>
      <c r="X214" s="15" cm="1">
        <f t="array" ref="X214">EVAL($AH$13,B214)</f>
        <v>0.33636627232156896</v>
      </c>
      <c r="Y214" s="15" cm="1">
        <f t="array" ref="Y214">EVAL($AH$14,B214)</f>
        <v>0.33636627232156896</v>
      </c>
    </row>
    <row r="215" spans="1:25" x14ac:dyDescent="0.25">
      <c r="A215" s="20">
        <v>22.2</v>
      </c>
      <c r="B215" s="41">
        <f t="shared" si="3"/>
        <v>69.743356909693404</v>
      </c>
      <c r="C215" s="15" cm="1">
        <f t="array" ref="C215">EVAL($AG$6,B215)</f>
        <v>270.14930487802491</v>
      </c>
      <c r="D215" s="15" cm="1">
        <f t="array" ref="D215">EVAL($AG$7,B215)</f>
        <v>3.4963640771165396</v>
      </c>
      <c r="F215" s="15" cm="1">
        <f t="array" ref="F215">EVAL($AG$9,B215)</f>
        <v>1.5831392049104862</v>
      </c>
      <c r="G215" s="15" cm="1">
        <f t="array" ref="G215">EVAL($AG$10,B215)</f>
        <v>1.5831392049104862</v>
      </c>
      <c r="H215" s="15" cm="1">
        <f t="array" ref="H215">EVAL($AG$11,B215)</f>
        <v>1.5831392049104862</v>
      </c>
      <c r="I215" s="15" cm="1">
        <f t="array" ref="I215">EVAL($AG$12,B215)</f>
        <v>1.5471273316348853</v>
      </c>
      <c r="J215" s="15" cm="1">
        <f t="array" ref="J215">EVAL($AG$13,B215)</f>
        <v>101.12195060331221</v>
      </c>
      <c r="K215" s="15" cm="1">
        <f t="array" ref="K215">EVAL($AG$14,B215)</f>
        <v>1.1618213237431998</v>
      </c>
      <c r="L215" s="15" cm="1">
        <f t="array" ref="L215">EVAL($AG$15,B215)</f>
        <v>59.301605849701971</v>
      </c>
      <c r="M215" s="15" cm="1">
        <f t="array" ref="M215">EVAL($AG$16,B215)</f>
        <v>0.79485613202925398</v>
      </c>
      <c r="N215" s="15" cm="1">
        <f t="array" ref="N215">EVAL($AG$17,B215)</f>
        <v>35.85170100663759</v>
      </c>
      <c r="O215" s="15" cm="1">
        <f t="array" ref="O215">EVAL($AG$18,B215)</f>
        <v>1.0269450523586693E-2</v>
      </c>
      <c r="P215" s="15" cm="1">
        <f t="array" ref="P215">EVAL($AG$19,B215)</f>
        <v>1.0269450523586693E-2</v>
      </c>
      <c r="Q215" s="15" cm="1">
        <f t="array" ref="Q215">EVAL($AH$6,B215)</f>
        <v>1.0519403518120471</v>
      </c>
      <c r="R215" s="15" cm="1">
        <f t="array" ref="R215">EVAL($AH$7,B215)</f>
        <v>1.0519403518120471</v>
      </c>
      <c r="T215" s="15" cm="1">
        <f t="array" ref="T215">EVAL($AH$9,B215)</f>
        <v>0.69863488509657323</v>
      </c>
      <c r="U215" s="15" cm="1">
        <f t="array" ref="U215">EVAL($AH$10,B215)</f>
        <v>0.69863488509657323</v>
      </c>
      <c r="V215" s="15" cm="1">
        <f t="array" ref="V215">EVAL($AH$11,B215)</f>
        <v>0.69863488509657323</v>
      </c>
      <c r="W215" s="15" cm="1">
        <f t="array" ref="W215">EVAL($AH$12,B215)</f>
        <v>22.725302749567504</v>
      </c>
      <c r="X215" s="15" cm="1">
        <f t="array" ref="X215">EVAL($AH$13,B215)</f>
        <v>0.33676194470361787</v>
      </c>
      <c r="Y215" s="15" cm="1">
        <f t="array" ref="Y215">EVAL($AH$14,B215)</f>
        <v>0.33676194470361787</v>
      </c>
    </row>
    <row r="216" spans="1:25" x14ac:dyDescent="0.25">
      <c r="A216" s="20">
        <v>22.3</v>
      </c>
      <c r="B216" s="41">
        <f t="shared" si="3"/>
        <v>70.057516175052385</v>
      </c>
      <c r="C216" s="15" cm="1">
        <f t="array" ref="C216">EVAL($AG$6,B216)</f>
        <v>270.99019992580736</v>
      </c>
      <c r="D216" s="15" cm="1">
        <f t="array" ref="D216">EVAL($AG$7,B216)</f>
        <v>3.5007888004237069</v>
      </c>
      <c r="F216" s="15" cm="1">
        <f t="array" ref="F216">EVAL($AG$9,B216)</f>
        <v>1.5903855382032737</v>
      </c>
      <c r="G216" s="15" cm="1">
        <f t="array" ref="G216">EVAL($AG$10,B216)</f>
        <v>1.5903855382032737</v>
      </c>
      <c r="H216" s="15" cm="1">
        <f t="array" ref="H216">EVAL($AG$11,B216)</f>
        <v>1.5903855382032737</v>
      </c>
      <c r="I216" s="15" cm="1">
        <f t="array" ref="I216">EVAL($AG$12,B216)</f>
        <v>1.5537073737609315</v>
      </c>
      <c r="J216" s="15" cm="1">
        <f t="array" ref="J216">EVAL($AG$13,B216)</f>
        <v>101.46329561354649</v>
      </c>
      <c r="K216" s="15" cm="1">
        <f t="array" ref="K216">EVAL($AG$14,B216)</f>
        <v>1.1663321885192528</v>
      </c>
      <c r="L216" s="15" cm="1">
        <f t="array" ref="L216">EVAL($AG$15,B216)</f>
        <v>59.463847638004047</v>
      </c>
      <c r="M216" s="15" cm="1">
        <f t="array" ref="M216">EVAL($AG$16,B216)</f>
        <v>0.79667942604794117</v>
      </c>
      <c r="N216" s="15" cm="1">
        <f t="array" ref="N216">EVAL($AG$17,B216)</f>
        <v>35.917567546831684</v>
      </c>
      <c r="O216" s="15" cm="1">
        <f t="array" ref="O216">EVAL($AG$18,B216)</f>
        <v>1.0243958549489876E-2</v>
      </c>
      <c r="P216" s="15" cm="1">
        <f t="array" ref="P216">EVAL($AG$19,B216)</f>
        <v>1.0243958549489876E-2</v>
      </c>
      <c r="Q216" s="15" cm="1">
        <f t="array" ref="Q216">EVAL($AH$6,B216)</f>
        <v>1.053896179796995</v>
      </c>
      <c r="R216" s="15" cm="1">
        <f t="array" ref="R216">EVAL($AH$7,B216)</f>
        <v>1.053896179796995</v>
      </c>
      <c r="T216" s="15" cm="1">
        <f t="array" ref="T216">EVAL($AH$9,B216)</f>
        <v>0.69986242178710334</v>
      </c>
      <c r="U216" s="15" cm="1">
        <f t="array" ref="U216">EVAL($AH$10,B216)</f>
        <v>0.69986242178710334</v>
      </c>
      <c r="V216" s="15" cm="1">
        <f t="array" ref="V216">EVAL($AH$11,B216)</f>
        <v>0.69986242178710334</v>
      </c>
      <c r="W216" s="15" cm="1">
        <f t="array" ref="W216">EVAL($AH$12,B216)</f>
        <v>22.876783354534133</v>
      </c>
      <c r="X216" s="15" cm="1">
        <f t="array" ref="X216">EVAL($AH$13,B216)</f>
        <v>0.33715630107793143</v>
      </c>
      <c r="Y216" s="15" cm="1">
        <f t="array" ref="Y216">EVAL($AH$14,B216)</f>
        <v>0.33715630107793143</v>
      </c>
    </row>
    <row r="217" spans="1:25" x14ac:dyDescent="0.25">
      <c r="A217" s="20">
        <v>22.4</v>
      </c>
      <c r="B217" s="41">
        <f t="shared" si="3"/>
        <v>70.371675440411366</v>
      </c>
      <c r="C217" s="15" cm="1">
        <f t="array" ref="C217">EVAL($AG$6,B217)</f>
        <v>271.82993247238812</v>
      </c>
      <c r="D217" s="15" cm="1">
        <f t="array" ref="D217">EVAL($AG$7,B217)</f>
        <v>3.5051992882910081</v>
      </c>
      <c r="F217" s="15" cm="1">
        <f t="array" ref="F217">EVAL($AG$9,B217)</f>
        <v>1.5976323946824522</v>
      </c>
      <c r="G217" s="15" cm="1">
        <f t="array" ref="G217">EVAL($AG$10,B217)</f>
        <v>1.5976323946824522</v>
      </c>
      <c r="H217" s="15" cm="1">
        <f t="array" ref="H217">EVAL($AG$11,B217)</f>
        <v>1.5976323946824522</v>
      </c>
      <c r="I217" s="15" cm="1">
        <f t="array" ref="I217">EVAL($AG$12,B217)</f>
        <v>1.5602857725513715</v>
      </c>
      <c r="J217" s="15" cm="1">
        <f t="array" ref="J217">EVAL($AG$13,B217)</f>
        <v>101.80425785718708</v>
      </c>
      <c r="K217" s="15" cm="1">
        <f t="array" ref="K217">EVAL($AG$14,B217)</f>
        <v>1.1708402667151385</v>
      </c>
      <c r="L217" s="15" cm="1">
        <f t="array" ref="L217">EVAL($AG$15,B217)</f>
        <v>59.625804406729834</v>
      </c>
      <c r="M217" s="15" cm="1">
        <f t="array" ref="M217">EVAL($AG$16,B217)</f>
        <v>0.79849871647553472</v>
      </c>
      <c r="N217" s="15" cm="1">
        <f t="array" ref="N217">EVAL($AG$17,B217)</f>
        <v>35.983259579527825</v>
      </c>
      <c r="O217" s="15" cm="1">
        <f t="array" ref="O217">EVAL($AG$18,B217)</f>
        <v>1.0218643489015442E-2</v>
      </c>
      <c r="P217" s="15" cm="1">
        <f t="array" ref="P217">EVAL($AG$19,B217)</f>
        <v>1.0218643489015442E-2</v>
      </c>
      <c r="Q217" s="15" cm="1">
        <f t="array" ref="Q217">EVAL($AH$6,B217)</f>
        <v>1.0558468688533305</v>
      </c>
      <c r="R217" s="15" cm="1">
        <f t="array" ref="R217">EVAL($AH$7,B217)</f>
        <v>1.0558468688533305</v>
      </c>
      <c r="T217" s="15" cm="1">
        <f t="array" ref="T217">EVAL($AH$9,B217)</f>
        <v>0.701086608509357</v>
      </c>
      <c r="U217" s="15" cm="1">
        <f t="array" ref="U217">EVAL($AH$10,B217)</f>
        <v>0.701086608509357</v>
      </c>
      <c r="V217" s="15" cm="1">
        <f t="array" ref="V217">EVAL($AH$11,B217)</f>
        <v>0.701086608509357</v>
      </c>
      <c r="W217" s="15" cm="1">
        <f t="array" ref="W217">EVAL($AH$12,B217)</f>
        <v>23.028589143060515</v>
      </c>
      <c r="X217" s="15" cm="1">
        <f t="array" ref="X217">EVAL($AH$13,B217)</f>
        <v>0.33754935169361355</v>
      </c>
      <c r="Y217" s="15" cm="1">
        <f t="array" ref="Y217">EVAL($AH$14,B217)</f>
        <v>0.33754935169361355</v>
      </c>
    </row>
    <row r="218" spans="1:25" x14ac:dyDescent="0.25">
      <c r="A218" s="20">
        <v>22.5</v>
      </c>
      <c r="B218" s="41">
        <f t="shared" si="3"/>
        <v>70.685834705770347</v>
      </c>
      <c r="C218" s="15" cm="1">
        <f t="array" ref="C218">EVAL($AG$6,B218)</f>
        <v>272.66850930390984</v>
      </c>
      <c r="D218" s="15" cm="1">
        <f t="array" ref="D218">EVAL($AG$7,B218)</f>
        <v>3.5095956497630363</v>
      </c>
      <c r="F218" s="15" cm="1">
        <f t="array" ref="F218">EVAL($AG$9,B218)</f>
        <v>1.6048797720498755</v>
      </c>
      <c r="G218" s="15" cm="1">
        <f t="array" ref="G218">EVAL($AG$10,B218)</f>
        <v>1.6048797720498755</v>
      </c>
      <c r="H218" s="15" cm="1">
        <f t="array" ref="H218">EVAL($AG$11,B218)</f>
        <v>1.6048797720498755</v>
      </c>
      <c r="I218" s="15" cm="1">
        <f t="array" ref="I218">EVAL($AG$12,B218)</f>
        <v>1.5668625357502464</v>
      </c>
      <c r="J218" s="15" cm="1">
        <f t="array" ref="J218">EVAL($AG$13,B218)</f>
        <v>102.14483946937169</v>
      </c>
      <c r="K218" s="15" cm="1">
        <f t="array" ref="K218">EVAL($AG$14,B218)</f>
        <v>1.1753455724809334</v>
      </c>
      <c r="L218" s="15" cm="1">
        <f t="array" ref="L218">EVAL($AG$15,B218)</f>
        <v>59.787477925661996</v>
      </c>
      <c r="M218" s="15" cm="1">
        <f t="array" ref="M218">EVAL($AG$16,B218)</f>
        <v>0.80031402991769374</v>
      </c>
      <c r="N218" s="15" cm="1">
        <f t="array" ref="N218">EVAL($AG$17,B218)</f>
        <v>36.048778343036403</v>
      </c>
      <c r="O218" s="15" cm="1">
        <f t="array" ref="O218">EVAL($AG$18,B218)</f>
        <v>1.0193503332782211E-2</v>
      </c>
      <c r="P218" s="15" cm="1">
        <f t="array" ref="P218">EVAL($AG$19,B218)</f>
        <v>1.0193503332782211E-2</v>
      </c>
      <c r="Q218" s="15" cm="1">
        <f t="array" ref="Q218">EVAL($AH$6,B218)</f>
        <v>1.0577924553351747</v>
      </c>
      <c r="R218" s="15" cm="1">
        <f t="array" ref="R218">EVAL($AH$7,B218)</f>
        <v>1.0577924553351747</v>
      </c>
      <c r="T218" s="15" cm="1">
        <f t="array" ref="T218">EVAL($AH$9,B218)</f>
        <v>0.70230746929970767</v>
      </c>
      <c r="U218" s="15" cm="1">
        <f t="array" ref="U218">EVAL($AH$10,B218)</f>
        <v>0.70230746929970767</v>
      </c>
      <c r="V218" s="15" cm="1">
        <f t="array" ref="V218">EVAL($AH$11,B218)</f>
        <v>0.70230746929970767</v>
      </c>
      <c r="W218" s="15" cm="1">
        <f t="array" ref="W218">EVAL($AH$12,B218)</f>
        <v>23.180719356828931</v>
      </c>
      <c r="X218" s="15" cm="1">
        <f t="array" ref="X218">EVAL($AH$13,B218)</f>
        <v>0.33794110667462385</v>
      </c>
      <c r="Y218" s="15" cm="1">
        <f t="array" ref="Y218">EVAL($AH$14,B218)</f>
        <v>0.33794110667462385</v>
      </c>
    </row>
    <row r="219" spans="1:25" x14ac:dyDescent="0.25">
      <c r="A219" s="20">
        <v>22.6</v>
      </c>
      <c r="B219" s="41">
        <f t="shared" si="3"/>
        <v>70.999993971129328</v>
      </c>
      <c r="C219" s="15" cm="1">
        <f t="array" ref="C219">EVAL($AG$6,B219)</f>
        <v>273.50593713693667</v>
      </c>
      <c r="D219" s="15" cm="1">
        <f t="array" ref="D219">EVAL($AG$7,B219)</f>
        <v>3.5139779925689254</v>
      </c>
      <c r="F219" s="15" cm="1">
        <f t="array" ref="F219">EVAL($AG$9,B219)</f>
        <v>1.6121276680276624</v>
      </c>
      <c r="G219" s="15" cm="1">
        <f t="array" ref="G219">EVAL($AG$10,B219)</f>
        <v>1.6121276680276624</v>
      </c>
      <c r="H219" s="15" cm="1">
        <f t="array" ref="H219">EVAL($AG$11,B219)</f>
        <v>1.6121276680276624</v>
      </c>
      <c r="I219" s="15" cm="1">
        <f t="array" ref="I219">EVAL($AG$12,B219)</f>
        <v>1.5734376710308546</v>
      </c>
      <c r="J219" s="15" cm="1">
        <f t="array" ref="J219">EVAL($AG$13,B219)</f>
        <v>102.48504256389643</v>
      </c>
      <c r="K219" s="15" cm="1">
        <f t="array" ref="K219">EVAL($AG$14,B219)</f>
        <v>1.1798481198323094</v>
      </c>
      <c r="L219" s="15" cm="1">
        <f t="array" ref="L219">EVAL($AG$15,B219)</f>
        <v>59.948869945783954</v>
      </c>
      <c r="M219" s="15" cm="1">
        <f t="array" ref="M219">EVAL($AG$16,B219)</f>
        <v>0.80212539268593641</v>
      </c>
      <c r="N219" s="15" cm="1">
        <f t="array" ref="N219">EVAL($AG$17,B219)</f>
        <v>36.114125061423302</v>
      </c>
      <c r="O219" s="15" cm="1">
        <f t="array" ref="O219">EVAL($AG$18,B219)</f>
        <v>1.0168536103030345E-2</v>
      </c>
      <c r="P219" s="15" cm="1">
        <f t="array" ref="P219">EVAL($AG$19,B219)</f>
        <v>1.0168536103030345E-2</v>
      </c>
      <c r="Q219" s="15" cm="1">
        <f t="array" ref="Q219">EVAL($AH$6,B219)</f>
        <v>1.059732975179247</v>
      </c>
      <c r="R219" s="15" cm="1">
        <f t="array" ref="R219">EVAL($AH$7,B219)</f>
        <v>1.059732975179247</v>
      </c>
      <c r="T219" s="15" cm="1">
        <f t="array" ref="T219">EVAL($AH$9,B219)</f>
        <v>0.70352502791614535</v>
      </c>
      <c r="U219" s="15" cm="1">
        <f t="array" ref="U219">EVAL($AH$10,B219)</f>
        <v>0.70352502791614535</v>
      </c>
      <c r="V219" s="15" cm="1">
        <f t="array" ref="V219">EVAL($AH$11,B219)</f>
        <v>0.70352502791614535</v>
      </c>
      <c r="W219" s="15" cm="1">
        <f t="array" ref="W219">EVAL($AH$12,B219)</f>
        <v>23.333173242656176</v>
      </c>
      <c r="X219" s="15" cm="1">
        <f t="array" ref="X219">EVAL($AH$13,B219)</f>
        <v>0.33833157602185365</v>
      </c>
      <c r="Y219" s="15" cm="1">
        <f t="array" ref="Y219">EVAL($AH$14,B219)</f>
        <v>0.33833157602185365</v>
      </c>
    </row>
    <row r="220" spans="1:25" x14ac:dyDescent="0.25">
      <c r="A220" s="20">
        <v>22.7</v>
      </c>
      <c r="B220" s="41">
        <f t="shared" si="3"/>
        <v>71.314153236488295</v>
      </c>
      <c r="C220" s="15" cm="1">
        <f t="array" ref="C220">EVAL($AG$6,B220)</f>
        <v>274.34222261947122</v>
      </c>
      <c r="D220" s="15" cm="1">
        <f t="array" ref="D220">EVAL($AG$7,B220)</f>
        <v>3.5183464231439623</v>
      </c>
      <c r="F220" s="15" cm="1">
        <f t="array" ref="F220">EVAL($AG$9,B220)</f>
        <v>1.6193760803579234</v>
      </c>
      <c r="G220" s="15" cm="1">
        <f t="array" ref="G220">EVAL($AG$10,B220)</f>
        <v>1.6193760803579234</v>
      </c>
      <c r="H220" s="15" cm="1">
        <f t="array" ref="H220">EVAL($AG$11,B220)</f>
        <v>1.6193760803579234</v>
      </c>
      <c r="I220" s="15" cm="1">
        <f t="array" ref="I220">EVAL($AG$12,B220)</f>
        <v>1.5800111859967021</v>
      </c>
      <c r="J220" s="15" cm="1">
        <f t="array" ref="J220">EVAL($AG$13,B220)</f>
        <v>102.82486923352228</v>
      </c>
      <c r="K220" s="15" cm="1">
        <f t="array" ref="K220">EVAL($AG$14,B220)</f>
        <v>1.1843479226523976</v>
      </c>
      <c r="L220" s="15" cm="1">
        <f t="array" ref="L220">EVAL($AG$15,B220)</f>
        <v>60.109982199561635</v>
      </c>
      <c r="M220" s="15" cm="1">
        <f t="array" ref="M220">EVAL($AG$16,B220)</f>
        <v>0.80393283080217548</v>
      </c>
      <c r="N220" s="15" cm="1">
        <f t="array" ref="N220">EVAL($AG$17,B220)</f>
        <v>36.179300944735914</v>
      </c>
      <c r="O220" s="15" cm="1">
        <f t="array" ref="O220">EVAL($AG$18,B220)</f>
        <v>1.0143739852986489E-2</v>
      </c>
      <c r="P220" s="15" cm="1">
        <f t="array" ref="P220">EVAL($AG$19,B220)</f>
        <v>1.0143739852986489E-2</v>
      </c>
      <c r="Q220" s="15" cm="1">
        <f t="array" ref="Q220">EVAL($AH$6,B220)</f>
        <v>1.0616684639114784</v>
      </c>
      <c r="R220" s="15" cm="1">
        <f t="array" ref="R220">EVAL($AH$7,B220)</f>
        <v>1.0616684639114784</v>
      </c>
      <c r="T220" s="15" cm="1">
        <f t="array" ref="T220">EVAL($AH$9,B220)</f>
        <v>0.70473930784271699</v>
      </c>
      <c r="U220" s="15" cm="1">
        <f t="array" ref="U220">EVAL($AH$10,B220)</f>
        <v>0.70473930784271699</v>
      </c>
      <c r="V220" s="15" cm="1">
        <f t="array" ref="V220">EVAL($AH$11,B220)</f>
        <v>0.70473930784271699</v>
      </c>
      <c r="W220" s="15" cm="1">
        <f t="array" ref="W220">EVAL($AH$12,B220)</f>
        <v>23.485950052436063</v>
      </c>
      <c r="X220" s="15" cm="1">
        <f t="array" ref="X220">EVAL($AH$13,B220)</f>
        <v>0.33872076961515929</v>
      </c>
      <c r="Y220" s="15" cm="1">
        <f t="array" ref="Y220">EVAL($AH$14,B220)</f>
        <v>0.33872076961515929</v>
      </c>
    </row>
    <row r="221" spans="1:25" x14ac:dyDescent="0.25">
      <c r="A221" s="20">
        <v>22.8000000000001</v>
      </c>
      <c r="B221" s="41">
        <f t="shared" si="3"/>
        <v>71.628312501847603</v>
      </c>
      <c r="C221" s="15" cm="1">
        <f t="array" ref="C221">EVAL($AG$6,B221)</f>
        <v>275.17737233195521</v>
      </c>
      <c r="D221" s="15" cm="1">
        <f t="array" ref="D221">EVAL($AG$7,B221)</f>
        <v>3.5227010466507469</v>
      </c>
      <c r="F221" s="15" cm="1">
        <f t="array" ref="F221">EVAL($AG$9,B221)</f>
        <v>1.6266250068025185</v>
      </c>
      <c r="G221" s="15" cm="1">
        <f t="array" ref="G221">EVAL($AG$10,B221)</f>
        <v>1.6266250068025185</v>
      </c>
      <c r="H221" s="15" cm="1">
        <f t="array" ref="H221">EVAL($AG$11,B221)</f>
        <v>1.6266250068025185</v>
      </c>
      <c r="I221" s="15" cm="1">
        <f t="array" ref="I221">EVAL($AG$12,B221)</f>
        <v>1.5865830881824567</v>
      </c>
      <c r="J221" s="15" cm="1">
        <f t="array" ref="J221">EVAL($AG$13,B221)</f>
        <v>103.16432155027695</v>
      </c>
      <c r="K221" s="15" cm="1">
        <f t="array" ref="K221">EVAL($AG$14,B221)</f>
        <v>1.1888449946936261</v>
      </c>
      <c r="L221" s="15" cm="1">
        <f t="array" ref="L221">EVAL($AG$15,B221)</f>
        <v>60.270816401220245</v>
      </c>
      <c r="M221" s="15" cm="1">
        <f t="array" ref="M221">EVAL($AG$16,B221)</f>
        <v>0.80573637000317067</v>
      </c>
      <c r="N221" s="15" cm="1">
        <f t="array" ref="N221">EVAL($AG$17,B221)</f>
        <v>36.244307189224799</v>
      </c>
      <c r="O221" s="15" cm="1">
        <f t="array" ref="O221">EVAL($AG$18,B221)</f>
        <v>1.0119112666244325E-2</v>
      </c>
      <c r="P221" s="15" cm="1">
        <f t="array" ref="P221">EVAL($AG$19,B221)</f>
        <v>1.0119112666244325E-2</v>
      </c>
      <c r="Q221" s="15" cm="1">
        <f t="array" ref="Q221">EVAL($AH$6,B221)</f>
        <v>1.0635989566534989</v>
      </c>
      <c r="R221" s="15" cm="1">
        <f t="array" ref="R221">EVAL($AH$7,B221)</f>
        <v>1.0635989566534989</v>
      </c>
      <c r="T221" s="15" cm="1">
        <f t="array" ref="T221">EVAL($AH$9,B221)</f>
        <v>0.70595033229387727</v>
      </c>
      <c r="U221" s="15" cm="1">
        <f t="array" ref="U221">EVAL($AH$10,B221)</f>
        <v>0.70595033229387727</v>
      </c>
      <c r="V221" s="15" cm="1">
        <f t="array" ref="V221">EVAL($AH$11,B221)</f>
        <v>0.70595033229387727</v>
      </c>
      <c r="W221" s="15" cm="1">
        <f t="array" ref="W221">EVAL($AH$12,B221)</f>
        <v>23.639049043083183</v>
      </c>
      <c r="X221" s="15" cm="1">
        <f t="array" ref="X221">EVAL($AH$13,B221)</f>
        <v>0.33910869721535369</v>
      </c>
      <c r="Y221" s="15" cm="1">
        <f t="array" ref="Y221">EVAL($AH$14,B221)</f>
        <v>0.33910869721535369</v>
      </c>
    </row>
    <row r="222" spans="1:25" x14ac:dyDescent="0.25">
      <c r="A222" s="20">
        <v>22.9</v>
      </c>
      <c r="B222" s="41">
        <f t="shared" si="3"/>
        <v>71.942471767206257</v>
      </c>
      <c r="C222" s="15" cm="1">
        <f t="array" ref="C222">EVAL($AG$6,B222)</f>
        <v>276.01139278824434</v>
      </c>
      <c r="D222" s="15" cm="1">
        <f t="array" ref="D222">EVAL($AG$7,B222)</f>
        <v>3.5270419669999047</v>
      </c>
      <c r="F222" s="15" cm="1">
        <f t="array" ref="F222">EVAL($AG$9,B222)</f>
        <v>1.6338744451427449</v>
      </c>
      <c r="G222" s="15" cm="1">
        <f t="array" ref="G222">EVAL($AG$10,B222)</f>
        <v>1.6338744451427449</v>
      </c>
      <c r="H222" s="15" cm="1">
        <f t="array" ref="H222">EVAL($AG$11,B222)</f>
        <v>1.6338744451427449</v>
      </c>
      <c r="I222" s="15" cm="1">
        <f t="array" ref="I222">EVAL($AG$12,B222)</f>
        <v>1.5931533850548296</v>
      </c>
      <c r="J222" s="15" cm="1">
        <f t="array" ref="J222">EVAL($AG$13,B222)</f>
        <v>103.50340156574842</v>
      </c>
      <c r="K222" s="15" cm="1">
        <f t="array" ref="K222">EVAL($AG$14,B222)</f>
        <v>1.1933393495794979</v>
      </c>
      <c r="L222" s="15" cm="1">
        <f t="array" ref="L222">EVAL($AG$15,B222)</f>
        <v>60.431374247014539</v>
      </c>
      <c r="M222" s="15" cm="1">
        <f t="array" ref="M222">EVAL($AG$16,B222)</f>
        <v>0.80753603574487842</v>
      </c>
      <c r="N222" s="15" cm="1">
        <f t="array" ref="N222">EVAL($AG$17,B222)</f>
        <v>36.309144977560365</v>
      </c>
      <c r="O222" s="15" cm="1">
        <f t="array" ref="O222">EVAL($AG$18,B222)</f>
        <v>1.0094652656160396E-2</v>
      </c>
      <c r="P222" s="15" cm="1">
        <f t="array" ref="P222">EVAL($AG$19,B222)</f>
        <v>1.0094652656160396E-2</v>
      </c>
      <c r="Q222" s="15" cm="1">
        <f t="array" ref="Q222">EVAL($AH$6,B222)</f>
        <v>1.0655244881289778</v>
      </c>
      <c r="R222" s="15" cm="1">
        <f t="array" ref="R222">EVAL($AH$7,B222)</f>
        <v>1.0655244881289778</v>
      </c>
      <c r="T222" s="15" cm="1">
        <f t="array" ref="T222">EVAL($AH$9,B222)</f>
        <v>0.70715812421874624</v>
      </c>
      <c r="U222" s="15" cm="1">
        <f t="array" ref="U222">EVAL($AH$10,B222)</f>
        <v>0.70715812421874624</v>
      </c>
      <c r="V222" s="15" cm="1">
        <f t="array" ref="V222">EVAL($AH$11,B222)</f>
        <v>0.70715812421874624</v>
      </c>
      <c r="W222" s="15" cm="1">
        <f t="array" ref="W222">EVAL($AH$12,B222)</f>
        <v>23.792469476476569</v>
      </c>
      <c r="X222" s="15" cm="1">
        <f t="array" ref="X222">EVAL($AH$13,B222)</f>
        <v>0.33949536846615286</v>
      </c>
      <c r="Y222" s="15" cm="1">
        <f t="array" ref="Y222">EVAL($AH$14,B222)</f>
        <v>0.33949536846615286</v>
      </c>
    </row>
    <row r="223" spans="1:25" x14ac:dyDescent="0.25">
      <c r="A223" s="20">
        <v>23</v>
      </c>
      <c r="B223" s="41">
        <f t="shared" si="3"/>
        <v>72.256631032565238</v>
      </c>
      <c r="C223" s="15" cm="1">
        <f t="array" ref="C223">EVAL($AG$6,B223)</f>
        <v>276.84429043657775</v>
      </c>
      <c r="D223" s="15" cm="1">
        <f t="array" ref="D223">EVAL($AG$7,B223)</f>
        <v>3.5313692868704174</v>
      </c>
      <c r="F223" s="15" cm="1">
        <f t="array" ref="F223">EVAL($AG$9,B223)</f>
        <v>1.6411243931791706</v>
      </c>
      <c r="G223" s="15" cm="1">
        <f t="array" ref="G223">EVAL($AG$10,B223)</f>
        <v>1.6411243931791706</v>
      </c>
      <c r="H223" s="15" cm="1">
        <f t="array" ref="H223">EVAL($AG$11,B223)</f>
        <v>1.6411243931791706</v>
      </c>
      <c r="I223" s="15" cm="1">
        <f t="array" ref="I223">EVAL($AG$12,B223)</f>
        <v>1.5997220840135491</v>
      </c>
      <c r="J223" s="15" cm="1">
        <f t="array" ref="J223">EVAL($AG$13,B223)</f>
        <v>103.84211131137782</v>
      </c>
      <c r="K223" s="15" cm="1">
        <f t="array" ref="K223">EVAL($AG$14,B223)</f>
        <v>1.1978310008063957</v>
      </c>
      <c r="L223" s="15" cm="1">
        <f t="array" ref="L223">EVAL($AG$15,B223)</f>
        <v>60.591657415496314</v>
      </c>
      <c r="M223" s="15" cm="1">
        <f t="array" ref="M223">EVAL($AG$16,B223)</f>
        <v>0.80933185320674494</v>
      </c>
      <c r="N223" s="15" cm="1">
        <f t="array" ref="N223">EVAL($AG$17,B223)</f>
        <v>36.373815479046243</v>
      </c>
      <c r="O223" s="15" cm="1">
        <f t="array" ref="O223">EVAL($AG$18,B223)</f>
        <v>1.0070357965264072E-2</v>
      </c>
      <c r="P223" s="15" cm="1">
        <f t="array" ref="P223">EVAL($AG$19,B223)</f>
        <v>1.0070357965264072E-2</v>
      </c>
      <c r="Q223" s="15" cm="1">
        <f t="array" ref="Q223">EVAL($AH$6,B223)</f>
        <v>1.0674450926698686</v>
      </c>
      <c r="R223" s="15" cm="1">
        <f t="array" ref="R223">EVAL($AH$7,B223)</f>
        <v>1.0674450926698686</v>
      </c>
      <c r="T223" s="15" cm="1">
        <f t="array" ref="T223">EVAL($AH$9,B223)</f>
        <v>0.70836270630529485</v>
      </c>
      <c r="U223" s="15" cm="1">
        <f t="array" ref="U223">EVAL($AH$10,B223)</f>
        <v>0.70836270630529485</v>
      </c>
      <c r="V223" s="15" cm="1">
        <f t="array" ref="V223">EVAL($AH$11,B223)</f>
        <v>0.70836270630529485</v>
      </c>
      <c r="W223" s="15" cm="1">
        <f t="array" ref="W223">EVAL($AH$12,B223)</f>
        <v>23.94621061940634</v>
      </c>
      <c r="X223" s="15" cm="1">
        <f t="array" ref="X223">EVAL($AH$13,B223)</f>
        <v>0.33988079289608958</v>
      </c>
      <c r="Y223" s="15" cm="1">
        <f t="array" ref="Y223">EVAL($AH$14,B223)</f>
        <v>0.33988079289608958</v>
      </c>
    </row>
    <row r="224" spans="1:25" x14ac:dyDescent="0.25">
      <c r="A224" s="20">
        <v>23.100000000000101</v>
      </c>
      <c r="B224" s="41">
        <f t="shared" si="3"/>
        <v>72.570790297924532</v>
      </c>
      <c r="C224" s="15" cm="1">
        <f t="array" ref="C224">EVAL($AG$6,B224)</f>
        <v>277.67607166051494</v>
      </c>
      <c r="D224" s="15" cm="1">
        <f t="array" ref="D224">EVAL($AG$7,B224)</f>
        <v>3.5356831077294788</v>
      </c>
      <c r="F224" s="15" cm="1">
        <f t="array" ref="F224">EVAL($AG$9,B224)</f>
        <v>1.6483748487313159</v>
      </c>
      <c r="G224" s="15" cm="1">
        <f t="array" ref="G224">EVAL($AG$10,B224)</f>
        <v>1.6483748487313159</v>
      </c>
      <c r="H224" s="15" cm="1">
        <f t="array" ref="H224">EVAL($AG$11,B224)</f>
        <v>1.6483748487313159</v>
      </c>
      <c r="I224" s="15" cm="1">
        <f t="array" ref="I224">EVAL($AG$12,B224)</f>
        <v>1.6062891923922016</v>
      </c>
      <c r="J224" s="15" cm="1">
        <f t="array" ref="J224">EVAL($AG$13,B224)</f>
        <v>104.18045279874175</v>
      </c>
      <c r="K224" s="15" cm="1">
        <f t="array" ref="K224">EVAL($AG$14,B224)</f>
        <v>1.2023199617452824</v>
      </c>
      <c r="L224" s="15" cm="1">
        <f t="array" ref="L224">EVAL($AG$15,B224)</f>
        <v>60.751667567774149</v>
      </c>
      <c r="M224" s="15" cm="1">
        <f t="array" ref="M224">EVAL($AG$16,B224)</f>
        <v>0.81112384729588316</v>
      </c>
      <c r="N224" s="15" cm="1">
        <f t="array" ref="N224">EVAL($AG$17,B224)</f>
        <v>36.438319849827209</v>
      </c>
      <c r="O224" s="15" cm="1">
        <f t="array" ref="O224">EVAL($AG$18,B224)</f>
        <v>1.0046226764682213E-2</v>
      </c>
      <c r="P224" s="15" cm="1">
        <f t="array" ref="P224">EVAL($AG$19,B224)</f>
        <v>1.0046226764682213E-2</v>
      </c>
      <c r="Q224" s="15" cm="1">
        <f t="array" ref="Q224">EVAL($AH$6,B224)</f>
        <v>1.0693608042224938</v>
      </c>
      <c r="R224" s="15" cm="1">
        <f t="array" ref="R224">EVAL($AH$7,B224)</f>
        <v>1.0693608042224938</v>
      </c>
      <c r="T224" s="15" cm="1">
        <f t="array" ref="T224">EVAL($AH$9,B224)</f>
        <v>0.70956410098443146</v>
      </c>
      <c r="U224" s="15" cm="1">
        <f t="array" ref="U224">EVAL($AH$10,B224)</f>
        <v>0.70956410098443146</v>
      </c>
      <c r="V224" s="15" cm="1">
        <f t="array" ref="V224">EVAL($AH$11,B224)</f>
        <v>0.70956410098443146</v>
      </c>
      <c r="W224" s="15" cm="1">
        <f t="array" ref="W224">EVAL($AH$12,B224)</f>
        <v>24.100271743518793</v>
      </c>
      <c r="X224" s="15" cm="1">
        <f t="array" ref="X224">EVAL($AH$13,B224)</f>
        <v>0.3402649799203798</v>
      </c>
      <c r="Y224" s="15" cm="1">
        <f t="array" ref="Y224">EVAL($AH$14,B224)</f>
        <v>0.3402649799203798</v>
      </c>
    </row>
    <row r="225" spans="1:25" x14ac:dyDescent="0.25">
      <c r="A225" s="20">
        <v>23.2</v>
      </c>
      <c r="B225" s="41">
        <f t="shared" si="3"/>
        <v>72.8849495632832</v>
      </c>
      <c r="C225" s="15" cm="1">
        <f t="array" ref="C225">EVAL($AG$6,B225)</f>
        <v>278.50674277986053</v>
      </c>
      <c r="D225" s="15" cm="1">
        <f t="array" ref="D225">EVAL($AG$7,B225)</f>
        <v>3.5399835298519613</v>
      </c>
      <c r="F225" s="15" cm="1">
        <f t="array" ref="F225">EVAL($AG$9,B225)</f>
        <v>1.6556258096374055</v>
      </c>
      <c r="G225" s="15" cm="1">
        <f t="array" ref="G225">EVAL($AG$10,B225)</f>
        <v>1.6556258096374055</v>
      </c>
      <c r="H225" s="15" cm="1">
        <f t="array" ref="H225">EVAL($AG$11,B225)</f>
        <v>1.6556258096374055</v>
      </c>
      <c r="I225" s="15" cm="1">
        <f t="array" ref="I225">EVAL($AG$12,B225)</f>
        <v>1.6128547174590944</v>
      </c>
      <c r="J225" s="15" cm="1">
        <f t="array" ref="J225">EVAL($AG$13,B225)</f>
        <v>104.51842801983125</v>
      </c>
      <c r="K225" s="15" cm="1">
        <f t="array" ref="K225">EVAL($AG$14,B225)</f>
        <v>1.2068062456434019</v>
      </c>
      <c r="L225" s="15" cm="1">
        <f t="array" ref="L225">EVAL($AG$15,B225)</f>
        <v>60.911406347769017</v>
      </c>
      <c r="M225" s="15" cm="1">
        <f t="array" ref="M225">EVAL($AG$16,B225)</f>
        <v>0.81291204265118233</v>
      </c>
      <c r="N225" s="15" cm="1">
        <f t="array" ref="N225">EVAL($AG$17,B225)</f>
        <v>36.502659233093496</v>
      </c>
      <c r="O225" s="15" cm="1">
        <f t="array" ref="O225">EVAL($AG$18,B225)</f>
        <v>1.0022257253577405E-2</v>
      </c>
      <c r="P225" s="15" cm="1">
        <f t="array" ref="P225">EVAL($AG$19,B225)</f>
        <v>1.0022257253577405E-2</v>
      </c>
      <c r="Q225" s="15" cm="1">
        <f t="array" ref="Q225">EVAL($AH$6,B225)</f>
        <v>1.0712716563535238</v>
      </c>
      <c r="R225" s="15" cm="1">
        <f t="array" ref="R225">EVAL($AH$7,B225)</f>
        <v>1.0712716563535238</v>
      </c>
      <c r="T225" s="15" cm="1">
        <f t="array" ref="T225">EVAL($AH$9,B225)</f>
        <v>0.7107623304340096</v>
      </c>
      <c r="U225" s="15" cm="1">
        <f t="array" ref="U225">EVAL($AH$10,B225)</f>
        <v>0.7107623304340096</v>
      </c>
      <c r="V225" s="15" cm="1">
        <f t="array" ref="V225">EVAL($AH$11,B225)</f>
        <v>0.7107623304340096</v>
      </c>
      <c r="W225" s="15" cm="1">
        <f t="array" ref="W225">EVAL($AH$12,B225)</f>
        <v>24.254652125262925</v>
      </c>
      <c r="X225" s="15" cm="1">
        <f t="array" ref="X225">EVAL($AH$13,B225)</f>
        <v>0.34064793884275385</v>
      </c>
      <c r="Y225" s="15" cm="1">
        <f t="array" ref="Y225">EVAL($AH$14,B225)</f>
        <v>0.34064793884275385</v>
      </c>
    </row>
    <row r="226" spans="1:25" x14ac:dyDescent="0.25">
      <c r="A226" s="20">
        <v>23.3000000000001</v>
      </c>
      <c r="B226" s="41">
        <f t="shared" si="3"/>
        <v>73.199108828642494</v>
      </c>
      <c r="C226" s="15" cm="1">
        <f t="array" ref="C226">EVAL($AG$6,B226)</f>
        <v>279.33631005158082</v>
      </c>
      <c r="D226" s="15" cm="1">
        <f t="array" ref="D226">EVAL($AG$7,B226)</f>
        <v>3.5442706523395429</v>
      </c>
      <c r="F226" s="15" cm="1">
        <f t="array" ref="F226">EVAL($AG$9,B226)</f>
        <v>1.6628772737541986</v>
      </c>
      <c r="G226" s="15" cm="1">
        <f t="array" ref="G226">EVAL($AG$10,B226)</f>
        <v>1.6628772737541986</v>
      </c>
      <c r="H226" s="15" cm="1">
        <f t="array" ref="H226">EVAL($AG$11,B226)</f>
        <v>1.6628772737541986</v>
      </c>
      <c r="I226" s="15" cm="1">
        <f t="array" ref="I226">EVAL($AG$12,B226)</f>
        <v>1.6194186664181807</v>
      </c>
      <c r="J226" s="15" cm="1">
        <f t="array" ref="J226">EVAL($AG$13,B226)</f>
        <v>104.85603894732884</v>
      </c>
      <c r="K226" s="15" cm="1">
        <f t="array" ref="K226">EVAL($AG$14,B226)</f>
        <v>1.2112898656259918</v>
      </c>
      <c r="L226" s="15" cm="1">
        <f t="array" ref="L226">EVAL($AG$15,B226)</f>
        <v>61.070875382466966</v>
      </c>
      <c r="M226" s="15" cm="1">
        <f t="array" ref="M226">EVAL($AG$16,B226)</f>
        <v>0.81469646364735515</v>
      </c>
      <c r="N226" s="15" cm="1">
        <f t="array" ref="N226">EVAL($AG$17,B226)</f>
        <v>36.566834759281662</v>
      </c>
      <c r="O226" s="15" cm="1">
        <f t="array" ref="O226">EVAL($AG$18,B226)</f>
        <v>9.9984476585993857E-3</v>
      </c>
      <c r="P226" s="15" cm="1">
        <f t="array" ref="P226">EVAL($AG$19,B226)</f>
        <v>9.9984476585993857E-3</v>
      </c>
      <c r="Q226" s="15" cm="1">
        <f t="array" ref="Q226">EVAL($AH$6,B226)</f>
        <v>1.0731776822558561</v>
      </c>
      <c r="R226" s="15" cm="1">
        <f t="array" ref="R226">EVAL($AH$7,B226)</f>
        <v>1.0731776822558561</v>
      </c>
      <c r="T226" s="15" cm="1">
        <f t="array" ref="T226">EVAL($AH$9,B226)</f>
        <v>0.71195741658277212</v>
      </c>
      <c r="U226" s="15" cm="1">
        <f t="array" ref="U226">EVAL($AH$10,B226)</f>
        <v>0.71195741658277212</v>
      </c>
      <c r="V226" s="15" cm="1">
        <f t="array" ref="V226">EVAL($AH$11,B226)</f>
        <v>0.71195741658277212</v>
      </c>
      <c r="W226" s="15" cm="1">
        <f t="array" ref="W226">EVAL($AH$12,B226)</f>
        <v>24.409351045839845</v>
      </c>
      <c r="X226" s="15" cm="1">
        <f t="array" ref="X226">EVAL($AH$13,B226)</f>
        <v>0.34102967885725433</v>
      </c>
      <c r="Y226" s="15" cm="1">
        <f t="array" ref="Y226">EVAL($AH$14,B226)</f>
        <v>0.34102967885725433</v>
      </c>
    </row>
    <row r="227" spans="1:25" x14ac:dyDescent="0.25">
      <c r="A227" s="20">
        <v>23.400000000000102</v>
      </c>
      <c r="B227" s="41">
        <f t="shared" si="3"/>
        <v>73.513268094001475</v>
      </c>
      <c r="C227" s="15" cm="1">
        <f t="array" ref="C227">EVAL($AG$6,B227)</f>
        <v>280.16477967068511</v>
      </c>
      <c r="D227" s="15" cm="1">
        <f t="array" ref="D227">EVAL($AG$7,B227)</f>
        <v>3.5485445731393463</v>
      </c>
      <c r="F227" s="15" cm="1">
        <f t="array" ref="F227">EVAL($AG$9,B227)</f>
        <v>1.6701292389566558</v>
      </c>
      <c r="G227" s="15" cm="1">
        <f t="array" ref="G227">EVAL($AG$10,B227)</f>
        <v>1.6701292389566558</v>
      </c>
      <c r="H227" s="15" cm="1">
        <f t="array" ref="H227">EVAL($AG$11,B227)</f>
        <v>1.6701292389566558</v>
      </c>
      <c r="I227" s="15" cm="1">
        <f t="array" ref="I227">EVAL($AG$12,B227)</f>
        <v>1.6259810464098237</v>
      </c>
      <c r="J227" s="15" cm="1">
        <f t="array" ref="J227">EVAL($AG$13,B227)</f>
        <v>105.19328753487407</v>
      </c>
      <c r="K227" s="15" cm="1">
        <f t="array" ref="K227">EVAL($AG$14,B227)</f>
        <v>1.2157708346978697</v>
      </c>
      <c r="L227" s="15" cm="1">
        <f t="array" ref="L227">EVAL($AG$15,B227)</f>
        <v>61.230076282163473</v>
      </c>
      <c r="M227" s="15" cm="1">
        <f t="array" ref="M227">EVAL($AG$16,B227)</f>
        <v>0.81647713439886915</v>
      </c>
      <c r="N227" s="15" cm="1">
        <f t="array" ref="N227">EVAL($AG$17,B227)</f>
        <v>36.63084754627014</v>
      </c>
      <c r="O227" s="15" cm="1">
        <f t="array" ref="O227">EVAL($AG$18,B227)</f>
        <v>9.9747962333499949E-3</v>
      </c>
      <c r="P227" s="15" cm="1">
        <f t="array" ref="P227">EVAL($AG$19,B227)</f>
        <v>9.9747962333499949E-3</v>
      </c>
      <c r="Q227" s="15" cm="1">
        <f t="array" ref="Q227">EVAL($AH$6,B227)</f>
        <v>1.0750789147543396</v>
      </c>
      <c r="R227" s="15" cm="1">
        <f t="array" ref="R227">EVAL($AH$7,B227)</f>
        <v>1.0750789147543396</v>
      </c>
      <c r="T227" s="15" cm="1">
        <f t="array" ref="T227">EVAL($AH$9,B227)</f>
        <v>0.71314938111419024</v>
      </c>
      <c r="U227" s="15" cm="1">
        <f t="array" ref="U227">EVAL($AH$10,B227)</f>
        <v>0.71314938111419024</v>
      </c>
      <c r="V227" s="15" cm="1">
        <f t="array" ref="V227">EVAL($AH$11,B227)</f>
        <v>0.71314938111419024</v>
      </c>
      <c r="W227" s="15" cm="1">
        <f t="array" ref="W227">EVAL($AH$12,B227)</f>
        <v>24.564367791149238</v>
      </c>
      <c r="X227" s="15" cm="1">
        <f t="array" ref="X227">EVAL($AH$13,B227)</f>
        <v>0.34141020904998876</v>
      </c>
      <c r="Y227" s="15" cm="1">
        <f t="array" ref="Y227">EVAL($AH$14,B227)</f>
        <v>0.34141020904998876</v>
      </c>
    </row>
    <row r="228" spans="1:25" x14ac:dyDescent="0.25">
      <c r="A228" s="20">
        <v>23.500000000000099</v>
      </c>
      <c r="B228" s="41">
        <f t="shared" si="3"/>
        <v>73.827427359360456</v>
      </c>
      <c r="C228" s="15" cm="1">
        <f t="array" ref="C228">EVAL($AG$6,B228)</f>
        <v>280.99215777110982</v>
      </c>
      <c r="D228" s="15" cm="1">
        <f t="array" ref="D228">EVAL($AG$7,B228)</f>
        <v>3.5528053890623035</v>
      </c>
      <c r="F228" s="15" cm="1">
        <f t="array" ref="F228">EVAL($AG$9,B228)</f>
        <v>1.6773817031377842</v>
      </c>
      <c r="G228" s="15" cm="1">
        <f t="array" ref="G228">EVAL($AG$10,B228)</f>
        <v>1.6773817031377842</v>
      </c>
      <c r="H228" s="15" cm="1">
        <f t="array" ref="H228">EVAL($AG$11,B228)</f>
        <v>1.6773817031377842</v>
      </c>
      <c r="I228" s="15" cm="1">
        <f t="array" ref="I228">EVAL($AG$12,B228)</f>
        <v>1.6325418645116854</v>
      </c>
      <c r="J228" s="15" cm="1">
        <f t="array" ref="J228">EVAL($AG$13,B228)</f>
        <v>105.53017571733089</v>
      </c>
      <c r="K228" s="15" cm="1">
        <f t="array" ref="K228">EVAL($AG$14,B228)</f>
        <v>1.2202491657450958</v>
      </c>
      <c r="L228" s="15" cm="1">
        <f t="array" ref="L228">EVAL($AG$15,B228)</f>
        <v>61.389010640706815</v>
      </c>
      <c r="M228" s="15" cm="1">
        <f t="array" ref="M228">EVAL($AG$16,B228)</f>
        <v>0.8182540787638416</v>
      </c>
      <c r="N228" s="15" cm="1">
        <f t="array" ref="N228">EVAL($AG$17,B228)</f>
        <v>36.694698699572434</v>
      </c>
      <c r="O228" s="15" cm="1">
        <f t="array" ref="O228">EVAL($AG$18,B228)</f>
        <v>9.9513012578602393E-3</v>
      </c>
      <c r="P228" s="15" cm="1">
        <f t="array" ref="P228">EVAL($AG$19,B228)</f>
        <v>9.9513012578602393E-3</v>
      </c>
      <c r="Q228" s="15" cm="1">
        <f t="array" ref="Q228">EVAL($AH$6,B228)</f>
        <v>1.0769753863114266</v>
      </c>
      <c r="R228" s="15" cm="1">
        <f t="array" ref="R228">EVAL($AH$7,B228)</f>
        <v>1.0769753863114266</v>
      </c>
      <c r="T228" s="15" cm="1">
        <f t="array" ref="T228">EVAL($AH$9,B228)</f>
        <v>0.71433824547025426</v>
      </c>
      <c r="U228" s="15" cm="1">
        <f t="array" ref="U228">EVAL($AH$10,B228)</f>
        <v>0.71433824547025426</v>
      </c>
      <c r="V228" s="15" cm="1">
        <f t="array" ref="V228">EVAL($AH$11,B228)</f>
        <v>0.71433824547025426</v>
      </c>
      <c r="W228" s="15" cm="1">
        <f t="array" ref="W228">EVAL($AH$12,B228)</f>
        <v>24.719701651740326</v>
      </c>
      <c r="X228" s="15" cm="1">
        <f t="array" ref="X228">EVAL($AH$13,B228)</f>
        <v>0.34178953840085635</v>
      </c>
      <c r="Y228" s="15" cm="1">
        <f t="array" ref="Y228">EVAL($AH$14,B228)</f>
        <v>0.34178953840085635</v>
      </c>
    </row>
    <row r="229" spans="1:25" x14ac:dyDescent="0.25">
      <c r="A229" s="20">
        <v>23.600000000000101</v>
      </c>
      <c r="B229" s="41">
        <f t="shared" si="3"/>
        <v>74.141586624719437</v>
      </c>
      <c r="C229" s="15" cm="1">
        <f t="array" ref="C229">EVAL($AG$6,B229)</f>
        <v>281.81845042657216</v>
      </c>
      <c r="D229" s="15" cm="1">
        <f t="array" ref="D229">EVAL($AG$7,B229)</f>
        <v>3.5570531958010814</v>
      </c>
      <c r="F229" s="15" cm="1">
        <f t="array" ref="F229">EVAL($AG$9,B229)</f>
        <v>1.6846346642083683</v>
      </c>
      <c r="G229" s="15" cm="1">
        <f t="array" ref="G229">EVAL($AG$10,B229)</f>
        <v>1.6846346642083683</v>
      </c>
      <c r="H229" s="15" cm="1">
        <f t="array" ref="H229">EVAL($AG$11,B229)</f>
        <v>1.6846346642083683</v>
      </c>
      <c r="I229" s="15" cm="1">
        <f t="array" ref="I229">EVAL($AG$12,B229)</f>
        <v>1.6391011277395164</v>
      </c>
      <c r="J229" s="15" cm="1">
        <f t="array" ref="J229">EVAL($AG$13,B229)</f>
        <v>105.86670541104539</v>
      </c>
      <c r="K229" s="15" cm="1">
        <f t="array" ref="K229">EVAL($AG$14,B229)</f>
        <v>1.2247248715365293</v>
      </c>
      <c r="L229" s="15" cm="1">
        <f t="array" ref="L229">EVAL($AG$15,B229)</f>
        <v>61.547680035734331</v>
      </c>
      <c r="M229" s="15" cm="1">
        <f t="array" ref="M229">EVAL($AG$16,B229)</f>
        <v>0.82002732034783288</v>
      </c>
      <c r="N229" s="15" cm="1">
        <f t="array" ref="N229">EVAL($AG$17,B229)</f>
        <v>36.758389312525473</v>
      </c>
      <c r="O229" s="15" cm="1">
        <f t="array" ref="O229">EVAL($AG$18,B229)</f>
        <v>9.9279610380800902E-3</v>
      </c>
      <c r="P229" s="15" cm="1">
        <f t="array" ref="P229">EVAL($AG$19,B229)</f>
        <v>9.9279610380800902E-3</v>
      </c>
      <c r="Q229" s="15" cm="1">
        <f t="array" ref="Q229">EVAL($AH$6,B229)</f>
        <v>1.0788671290326872</v>
      </c>
      <c r="R229" s="15" cm="1">
        <f t="array" ref="R229">EVAL($AH$7,B229)</f>
        <v>1.0788671290326872</v>
      </c>
      <c r="T229" s="15" cm="1">
        <f t="array" ref="T229">EVAL($AH$9,B229)</f>
        <v>0.71552403085517025</v>
      </c>
      <c r="U229" s="15" cm="1">
        <f t="array" ref="U229">EVAL($AH$10,B229)</f>
        <v>0.71552403085517025</v>
      </c>
      <c r="V229" s="15" cm="1">
        <f t="array" ref="V229">EVAL($AH$11,B229)</f>
        <v>0.71552403085517025</v>
      </c>
      <c r="W229" s="15" cm="1">
        <f t="array" ref="W229">EVAL($AH$12,B229)</f>
        <v>24.875351922760952</v>
      </c>
      <c r="X229" s="15" cm="1">
        <f t="array" ref="X229">EVAL($AH$13,B229)</f>
        <v>0.34216767578523233</v>
      </c>
      <c r="Y229" s="15" cm="1">
        <f t="array" ref="Y229">EVAL($AH$14,B229)</f>
        <v>0.34216767578523233</v>
      </c>
    </row>
    <row r="230" spans="1:25" x14ac:dyDescent="0.25">
      <c r="A230" s="20">
        <v>23.700000000000099</v>
      </c>
      <c r="B230" s="41">
        <f t="shared" si="3"/>
        <v>74.455745890078404</v>
      </c>
      <c r="C230" s="15" cm="1">
        <f t="array" ref="C230">EVAL($AG$6,B230)</f>
        <v>282.64366365141768</v>
      </c>
      <c r="D230" s="15" cm="1">
        <f t="array" ref="D230">EVAL($AG$7,B230)</f>
        <v>3.5612880879476907</v>
      </c>
      <c r="F230" s="15" cm="1">
        <f t="array" ref="F230">EVAL($AG$9,B230)</f>
        <v>1.6918881200967661</v>
      </c>
      <c r="G230" s="15" cm="1">
        <f t="array" ref="G230">EVAL($AG$10,B230)</f>
        <v>1.6918881200967661</v>
      </c>
      <c r="H230" s="15" cm="1">
        <f t="array" ref="H230">EVAL($AG$11,B230)</f>
        <v>1.6918881200967661</v>
      </c>
      <c r="I230" s="15" cm="1">
        <f t="array" ref="I230">EVAL($AG$12,B230)</f>
        <v>1.6456588430479684</v>
      </c>
      <c r="J230" s="15" cm="1">
        <f t="array" ref="J230">EVAL($AG$13,B230)</f>
        <v>106.20287851410191</v>
      </c>
      <c r="K230" s="15" cm="1">
        <f t="array" ref="K230">EVAL($AG$14,B230)</f>
        <v>1.2291979647254045</v>
      </c>
      <c r="L230" s="15" cm="1">
        <f t="array" ref="L230">EVAL($AG$15,B230)</f>
        <v>61.706086028905823</v>
      </c>
      <c r="M230" s="15" cm="1">
        <f t="array" ref="M230">EVAL($AG$16,B230)</f>
        <v>0.82179688250758487</v>
      </c>
      <c r="N230" s="15" cm="1">
        <f t="array" ref="N230">EVAL($AG$17,B230)</f>
        <v>36.821920466474864</v>
      </c>
      <c r="O230" s="15" cm="1">
        <f t="array" ref="O230">EVAL($AG$18,B230)</f>
        <v>9.9047739053799658E-3</v>
      </c>
      <c r="P230" s="15" cm="1">
        <f t="array" ref="P230">EVAL($AG$19,B230)</f>
        <v>9.9047739053799658E-3</v>
      </c>
      <c r="Q230" s="15" cm="1">
        <f t="array" ref="Q230">EVAL($AH$6,B230)</f>
        <v>1.0807541746722329</v>
      </c>
      <c r="R230" s="15" cm="1">
        <f t="array" ref="R230">EVAL($AH$7,B230)</f>
        <v>1.0807541746722329</v>
      </c>
      <c r="T230" s="15" cm="1">
        <f t="array" ref="T230">EVAL($AH$9,B230)</f>
        <v>0.71670675823899677</v>
      </c>
      <c r="U230" s="15" cm="1">
        <f t="array" ref="U230">EVAL($AH$10,B230)</f>
        <v>0.71670675823899677</v>
      </c>
      <c r="V230" s="15" cm="1">
        <f t="array" ref="V230">EVAL($AH$11,B230)</f>
        <v>0.71670675823899677</v>
      </c>
      <c r="W230" s="15" cm="1">
        <f t="array" ref="W230">EVAL($AH$12,B230)</f>
        <v>25.031317903909002</v>
      </c>
      <c r="X230" s="15" cm="1">
        <f t="array" ref="X230">EVAL($AH$13,B230)</f>
        <v>0.34254462997562374</v>
      </c>
      <c r="Y230" s="15" cm="1">
        <f t="array" ref="Y230">EVAL($AH$14,B230)</f>
        <v>0.34254462997562374</v>
      </c>
    </row>
    <row r="231" spans="1:25" x14ac:dyDescent="0.25">
      <c r="A231" s="20">
        <v>23.8000000000001</v>
      </c>
      <c r="B231" s="41">
        <f t="shared" si="3"/>
        <v>74.769905155437385</v>
      </c>
      <c r="C231" s="15" cm="1">
        <f t="array" ref="C231">EVAL($AG$6,B231)</f>
        <v>283.46780340144534</v>
      </c>
      <c r="D231" s="15" cm="1">
        <f t="array" ref="D231">EVAL($AG$7,B231)</f>
        <v>3.5655101590107177</v>
      </c>
      <c r="F231" s="15" cm="1">
        <f t="array" ref="F231">EVAL($AG$9,B231)</f>
        <v>1.6991420687486662</v>
      </c>
      <c r="G231" s="15" cm="1">
        <f t="array" ref="G231">EVAL($AG$10,B231)</f>
        <v>1.6991420687486662</v>
      </c>
      <c r="H231" s="15" cm="1">
        <f t="array" ref="H231">EVAL($AG$11,B231)</f>
        <v>1.6991420687486662</v>
      </c>
      <c r="I231" s="15" cm="1">
        <f t="array" ref="I231">EVAL($AG$12,B231)</f>
        <v>1.652215017331367</v>
      </c>
      <c r="J231" s="15" cm="1">
        <f t="array" ref="J231">EVAL($AG$13,B231)</f>
        <v>106.53869690657213</v>
      </c>
      <c r="K231" s="15" cm="1">
        <f t="array" ref="K231">EVAL($AG$14,B231)</f>
        <v>1.2336684578508434</v>
      </c>
      <c r="L231" s="15" cm="1">
        <f t="array" ref="L231">EVAL($AG$15,B231)</f>
        <v>61.864230166131456</v>
      </c>
      <c r="M231" s="15" cm="1">
        <f t="array" ref="M231">EVAL($AG$16,B231)</f>
        <v>0.82356278835467356</v>
      </c>
      <c r="N231" s="15" cm="1">
        <f t="array" ref="N231">EVAL($AG$17,B231)</f>
        <v>36.885293230956243</v>
      </c>
      <c r="O231" s="15" cm="1">
        <f t="array" ref="O231">EVAL($AG$18,B231)</f>
        <v>9.881738216064086E-3</v>
      </c>
      <c r="P231" s="15" cm="1">
        <f t="array" ref="P231">EVAL($AG$19,B231)</f>
        <v>9.881738216064086E-3</v>
      </c>
      <c r="Q231" s="15" cm="1">
        <f t="array" ref="Q231">EVAL($AH$6,B231)</f>
        <v>1.0826365546380219</v>
      </c>
      <c r="R231" s="15" cm="1">
        <f t="array" ref="R231">EVAL($AH$7,B231)</f>
        <v>1.0826365546380219</v>
      </c>
      <c r="T231" s="15" cm="1">
        <f t="array" ref="T231">EVAL($AH$9,B231)</f>
        <v>0.71788644836120175</v>
      </c>
      <c r="U231" s="15" cm="1">
        <f t="array" ref="U231">EVAL($AH$10,B231)</f>
        <v>0.71788644836120175</v>
      </c>
      <c r="V231" s="15" cm="1">
        <f t="array" ref="V231">EVAL($AH$11,B231)</f>
        <v>0.71788644836120175</v>
      </c>
      <c r="W231" s="15" cm="1">
        <f t="array" ref="W231">EVAL($AH$12,B231)</f>
        <v>25.187598899383357</v>
      </c>
      <c r="X231" s="15" cm="1">
        <f t="array" ref="X231">EVAL($AH$13,B231)</f>
        <v>0.34292040964328846</v>
      </c>
      <c r="Y231" s="15" cm="1">
        <f t="array" ref="Y231">EVAL($AH$14,B231)</f>
        <v>0.34292040964328846</v>
      </c>
    </row>
    <row r="232" spans="1:25" x14ac:dyDescent="0.25">
      <c r="A232" s="20">
        <v>23.900000000000102</v>
      </c>
      <c r="B232" s="41">
        <f t="shared" si="3"/>
        <v>75.084064420796381</v>
      </c>
      <c r="C232" s="15" cm="1">
        <f t="array" ref="C232">EVAL($AG$6,B232)</f>
        <v>284.29087557472303</v>
      </c>
      <c r="D232" s="15" cm="1">
        <f t="array" ref="D232">EVAL($AG$7,B232)</f>
        <v>3.5697195014322314</v>
      </c>
      <c r="F232" s="15" cm="1">
        <f t="array" ref="F232">EVAL($AG$9,B232)</f>
        <v>1.7063965081268884</v>
      </c>
      <c r="G232" s="15" cm="1">
        <f t="array" ref="G232">EVAL($AG$10,B232)</f>
        <v>1.7063965081268884</v>
      </c>
      <c r="H232" s="15" cm="1">
        <f t="array" ref="H232">EVAL($AG$11,B232)</f>
        <v>1.7063965081268884</v>
      </c>
      <c r="I232" s="15" cm="1">
        <f t="array" ref="I232">EVAL($AG$12,B232)</f>
        <v>1.6587696574245017</v>
      </c>
      <c r="J232" s="15" cm="1">
        <f t="array" ref="J232">EVAL($AG$13,B232)</f>
        <v>106.87416245076192</v>
      </c>
      <c r="K232" s="15" cm="1">
        <f t="array" ref="K232">EVAL($AG$14,B232)</f>
        <v>1.238136363339374</v>
      </c>
      <c r="L232" s="15" cm="1">
        <f t="array" ref="L232">EVAL($AG$15,B232)</f>
        <v>62.02211397779655</v>
      </c>
      <c r="M232" s="15" cm="1">
        <f t="array" ref="M232">EVAL($AG$16,B232)</f>
        <v>0.82532506075910761</v>
      </c>
      <c r="N232" s="15" cm="1">
        <f t="array" ref="N232">EVAL($AG$17,B232)</f>
        <v>36.948508663873447</v>
      </c>
      <c r="O232" s="15" cm="1">
        <f t="array" ref="O232">EVAL($AG$18,B232)</f>
        <v>9.8588523508949463E-3</v>
      </c>
      <c r="P232" s="15" cm="1">
        <f t="array" ref="P232">EVAL($AG$19,B232)</f>
        <v>9.8588523508949463E-3</v>
      </c>
      <c r="Q232" s="15" cm="1">
        <f t="array" ref="Q232">EVAL($AH$6,B232)</f>
        <v>1.0845142999970758</v>
      </c>
      <c r="R232" s="15" cm="1">
        <f t="array" ref="R232">EVAL($AH$7,B232)</f>
        <v>1.0845142999970758</v>
      </c>
      <c r="T232" s="15" cm="1">
        <f t="array" ref="T232">EVAL($AH$9,B232)</f>
        <v>0.71906312173415909</v>
      </c>
      <c r="U232" s="15" cm="1">
        <f t="array" ref="U232">EVAL($AH$10,B232)</f>
        <v>0.71906312173415909</v>
      </c>
      <c r="V232" s="15" cm="1">
        <f t="array" ref="V232">EVAL($AH$11,B232)</f>
        <v>0.71906312173415909</v>
      </c>
      <c r="W232" s="15" cm="1">
        <f t="array" ref="W232">EVAL($AH$12,B232)</f>
        <v>25.344194217836602</v>
      </c>
      <c r="X232" s="15" cm="1">
        <f t="array" ref="X232">EVAL($AH$13,B232)</f>
        <v>0.34329502335982454</v>
      </c>
      <c r="Y232" s="15" cm="1">
        <f t="array" ref="Y232">EVAL($AH$14,B232)</f>
        <v>0.34329502335982454</v>
      </c>
    </row>
    <row r="233" spans="1:25" x14ac:dyDescent="0.25">
      <c r="A233" s="20">
        <v>24.000000000000099</v>
      </c>
      <c r="B233" s="41">
        <f t="shared" si="3"/>
        <v>75.398223686155347</v>
      </c>
      <c r="C233" s="15" cm="1">
        <f t="array" ref="C233">EVAL($AG$6,B233)</f>
        <v>285.11288601238493</v>
      </c>
      <c r="D233" s="15" cm="1">
        <f t="array" ref="D233">EVAL($AG$7,B233)</f>
        <v>3.5739162066043555</v>
      </c>
      <c r="F233" s="15" cm="1">
        <f t="array" ref="F233">EVAL($AG$9,B233)</f>
        <v>1.7136514362111583</v>
      </c>
      <c r="G233" s="15" cm="1">
        <f t="array" ref="G233">EVAL($AG$10,B233)</f>
        <v>1.7136514362111583</v>
      </c>
      <c r="H233" s="15" cm="1">
        <f t="array" ref="H233">EVAL($AG$11,B233)</f>
        <v>1.7136514362111583</v>
      </c>
      <c r="I233" s="15" cm="1">
        <f t="array" ref="I233">EVAL($AG$12,B233)</f>
        <v>1.665322770103377</v>
      </c>
      <c r="J233" s="15" cm="1">
        <f t="array" ref="J233">EVAL($AG$13,B233)</f>
        <v>107.20927699145223</v>
      </c>
      <c r="K233" s="15" cm="1">
        <f t="array" ref="K233">EVAL($AG$14,B233)</f>
        <v>1.2426016935064008</v>
      </c>
      <c r="L233" s="15" cm="1">
        <f t="array" ref="L233">EVAL($AG$15,B233)</f>
        <v>62.179738978981504</v>
      </c>
      <c r="M233" s="15" cm="1">
        <f t="array" ref="M233">EVAL($AG$16,B233)</f>
        <v>0.82708372235284877</v>
      </c>
      <c r="N233" s="15" cm="1">
        <f t="array" ref="N233">EVAL($AG$17,B233)</f>
        <v>37.011567811672947</v>
      </c>
      <c r="O233" s="15" cm="1">
        <f t="array" ref="O233">EVAL($AG$18,B233)</f>
        <v>9.8361147146289272E-3</v>
      </c>
      <c r="P233" s="15" cm="1">
        <f t="array" ref="P233">EVAL($AG$19,B233)</f>
        <v>9.8361147146289272E-3</v>
      </c>
      <c r="Q233" s="15" cm="1">
        <f t="array" ref="Q233">EVAL($AH$6,B233)</f>
        <v>1.0863874414805847</v>
      </c>
      <c r="R233" s="15" cm="1">
        <f t="array" ref="R233">EVAL($AH$7,B233)</f>
        <v>1.0863874414805847</v>
      </c>
      <c r="T233" s="15" cm="1">
        <f t="array" ref="T233">EVAL($AH$9,B233)</f>
        <v>0.7202367986465712</v>
      </c>
      <c r="U233" s="15" cm="1">
        <f t="array" ref="U233">EVAL($AH$10,B233)</f>
        <v>0.7202367986465712</v>
      </c>
      <c r="V233" s="15" cm="1">
        <f t="array" ref="V233">EVAL($AH$11,B233)</f>
        <v>0.7202367986465712</v>
      </c>
      <c r="W233" s="15" cm="1">
        <f t="array" ref="W233">EVAL($AH$12,B233)</f>
        <v>25.501103172327806</v>
      </c>
      <c r="X233" s="15" cm="1">
        <f t="array" ref="X233">EVAL($AH$13,B233)</f>
        <v>0.34366847959872709</v>
      </c>
      <c r="Y233" s="15" cm="1">
        <f t="array" ref="Y233">EVAL($AH$14,B233)</f>
        <v>0.34366847959872709</v>
      </c>
    </row>
    <row r="234" spans="1:25" x14ac:dyDescent="0.25">
      <c r="A234" s="20">
        <v>24.100000000000101</v>
      </c>
      <c r="B234" s="41">
        <f t="shared" si="3"/>
        <v>75.712382951514329</v>
      </c>
      <c r="C234" s="15" cm="1">
        <f t="array" ref="C234">EVAL($AG$6,B234)</f>
        <v>285.93384049941716</v>
      </c>
      <c r="D234" s="15" cm="1">
        <f t="array" ref="D234">EVAL($AG$7,B234)</f>
        <v>3.5781003648855099</v>
      </c>
      <c r="F234" s="15" cm="1">
        <f t="array" ref="F234">EVAL($AG$9,B234)</f>
        <v>1.7209068509979111</v>
      </c>
      <c r="G234" s="15" cm="1">
        <f t="array" ref="G234">EVAL($AG$10,B234)</f>
        <v>1.7209068509979111</v>
      </c>
      <c r="H234" s="15" cm="1">
        <f t="array" ref="H234">EVAL($AG$11,B234)</f>
        <v>1.7209068509979111</v>
      </c>
      <c r="I234" s="15" cm="1">
        <f t="array" ref="I234">EVAL($AG$12,B234)</f>
        <v>1.6718743620859648</v>
      </c>
      <c r="J234" s="15" cm="1">
        <f t="array" ref="J234">EVAL($AG$13,B234)</f>
        <v>107.54404235613681</v>
      </c>
      <c r="K234" s="15" cm="1">
        <f t="array" ref="K234">EVAL($AG$14,B234)</f>
        <v>1.2470644605576611</v>
      </c>
      <c r="L234" s="15" cm="1">
        <f t="array" ref="L234">EVAL($AG$15,B234)</f>
        <v>62.337106669677993</v>
      </c>
      <c r="M234" s="15" cm="1">
        <f t="array" ref="M234">EVAL($AG$16,B234)</f>
        <v>0.82883879553327167</v>
      </c>
      <c r="N234" s="15" cm="1">
        <f t="array" ref="N234">EVAL($AG$17,B234)</f>
        <v>37.074471709515208</v>
      </c>
      <c r="O234" s="15" cm="1">
        <f t="array" ref="O234">EVAL($AG$18,B234)</f>
        <v>9.8135237355625685E-3</v>
      </c>
      <c r="P234" s="15" cm="1">
        <f t="array" ref="P234">EVAL($AG$19,B234)</f>
        <v>9.8135237355625685E-3</v>
      </c>
      <c r="Q234" s="15" cm="1">
        <f t="array" ref="Q234">EVAL($AH$6,B234)</f>
        <v>1.0882560094889253</v>
      </c>
      <c r="R234" s="15" cm="1">
        <f t="array" ref="R234">EVAL($AH$7,B234)</f>
        <v>1.0882560094889253</v>
      </c>
      <c r="T234" s="15" cm="1">
        <f t="array" ref="T234">EVAL($AH$9,B234)</f>
        <v>0.72140749916683067</v>
      </c>
      <c r="U234" s="15" cm="1">
        <f t="array" ref="U234">EVAL($AH$10,B234)</f>
        <v>0.72140749916683067</v>
      </c>
      <c r="V234" s="15" cm="1">
        <f t="array" ref="V234">EVAL($AH$11,B234)</f>
        <v>0.72140749916683067</v>
      </c>
      <c r="W234" s="15" cm="1">
        <f t="array" ref="W234">EVAL($AH$12,B234)</f>
        <v>25.658325080276228</v>
      </c>
      <c r="X234" s="15" cm="1">
        <f t="array" ref="X234">EVAL($AH$13,B234)</f>
        <v>0.34404078673691424</v>
      </c>
      <c r="Y234" s="15" cm="1">
        <f t="array" ref="Y234">EVAL($AH$14,B234)</f>
        <v>0.34404078673691424</v>
      </c>
    </row>
    <row r="235" spans="1:25" x14ac:dyDescent="0.25">
      <c r="A235" s="20">
        <v>24.200000000000099</v>
      </c>
      <c r="B235" s="41">
        <f t="shared" si="3"/>
        <v>76.02654221687331</v>
      </c>
      <c r="C235" s="15" cm="1">
        <f t="array" ref="C235">EVAL($AG$6,B235)</f>
        <v>286.75374476542703</v>
      </c>
      <c r="D235" s="15" cm="1">
        <f t="array" ref="D235">EVAL($AG$7,B235)</f>
        <v>3.582272065616336</v>
      </c>
      <c r="F235" s="15" cm="1">
        <f t="array" ref="F235">EVAL($AG$9,B235)</f>
        <v>1.7281627505000681</v>
      </c>
      <c r="G235" s="15" cm="1">
        <f t="array" ref="G235">EVAL($AG$10,B235)</f>
        <v>1.7281627505000681</v>
      </c>
      <c r="H235" s="15" cm="1">
        <f t="array" ref="H235">EVAL($AG$11,B235)</f>
        <v>1.7281627505000681</v>
      </c>
      <c r="I235" s="15" cm="1">
        <f t="array" ref="I235">EVAL($AG$12,B235)</f>
        <v>1.6784244400329453</v>
      </c>
      <c r="J235" s="15" cm="1">
        <f t="array" ref="J235">EVAL($AG$13,B235)</f>
        <v>107.87846035525476</v>
      </c>
      <c r="K235" s="15" cm="1">
        <f t="array" ref="K235">EVAL($AG$14,B235)</f>
        <v>1.2515246765906503</v>
      </c>
      <c r="L235" s="15" cm="1">
        <f t="array" ref="L235">EVAL($AG$15,B235)</f>
        <v>62.494218535001252</v>
      </c>
      <c r="M235" s="15" cm="1">
        <f t="array" ref="M235">EVAL($AG$16,B235)</f>
        <v>0.83059030246655619</v>
      </c>
      <c r="N235" s="15" cm="1">
        <f t="array" ref="N235">EVAL($AG$17,B235)</f>
        <v>37.137221381442636</v>
      </c>
      <c r="O235" s="15" cm="1">
        <f t="array" ref="O235">EVAL($AG$18,B235)</f>
        <v>9.7910778650892663E-3</v>
      </c>
      <c r="P235" s="15" cm="1">
        <f t="array" ref="P235">EVAL($AG$19,B235)</f>
        <v>9.7910778650892663E-3</v>
      </c>
      <c r="Q235" s="15" cm="1">
        <f t="array" ref="Q235">EVAL($AH$6,B235)</f>
        <v>1.0901200340965735</v>
      </c>
      <c r="R235" s="15" cm="1">
        <f t="array" ref="R235">EVAL($AH$7,B235)</f>
        <v>1.0901200340965735</v>
      </c>
      <c r="T235" s="15" cm="1">
        <f t="array" ref="T235">EVAL($AH$9,B235)</f>
        <v>0.72257524314631405</v>
      </c>
      <c r="U235" s="15" cm="1">
        <f t="array" ref="U235">EVAL($AH$10,B235)</f>
        <v>0.72257524314631405</v>
      </c>
      <c r="V235" s="15" cm="1">
        <f t="array" ref="V235">EVAL($AH$11,B235)</f>
        <v>0.72257524314631405</v>
      </c>
      <c r="W235" s="15" cm="1">
        <f t="array" ref="W235">EVAL($AH$12,B235)</f>
        <v>25.815859263415582</v>
      </c>
      <c r="X235" s="15" cm="1">
        <f t="array" ref="X235">EVAL($AH$13,B235)</f>
        <v>0.34441195305622391</v>
      </c>
      <c r="Y235" s="15" cm="1">
        <f t="array" ref="Y235">EVAL($AH$14,B235)</f>
        <v>0.34441195305622391</v>
      </c>
    </row>
    <row r="236" spans="1:25" x14ac:dyDescent="0.25">
      <c r="A236" s="20">
        <v>24.3000000000001</v>
      </c>
      <c r="B236" s="41">
        <f t="shared" si="3"/>
        <v>76.340701482232291</v>
      </c>
      <c r="C236" s="15" cm="1">
        <f t="array" ref="C236">EVAL($AG$6,B236)</f>
        <v>287.57260448539984</v>
      </c>
      <c r="D236" s="15" cm="1">
        <f t="array" ref="D236">EVAL($AG$7,B236)</f>
        <v>3.5864313971353123</v>
      </c>
      <c r="F236" s="15" cm="1">
        <f t="array" ref="F236">EVAL($AG$9,B236)</f>
        <v>1.7354191327468449</v>
      </c>
      <c r="G236" s="15" cm="1">
        <f t="array" ref="G236">EVAL($AG$10,B236)</f>
        <v>1.7354191327468449</v>
      </c>
      <c r="H236" s="15" cm="1">
        <f t="array" ref="H236">EVAL($AG$11,B236)</f>
        <v>1.7354191327468449</v>
      </c>
      <c r="I236" s="15" cm="1">
        <f t="array" ref="I236">EVAL($AG$12,B236)</f>
        <v>1.6849730105484153</v>
      </c>
      <c r="J236" s="15" cm="1">
        <f t="array" ref="J236">EVAL($AG$13,B236)</f>
        <v>108.2125327824196</v>
      </c>
      <c r="K236" s="15" cm="1">
        <f t="array" ref="K236">EVAL($AG$14,B236)</f>
        <v>1.2559823535960244</v>
      </c>
      <c r="L236" s="15" cm="1">
        <f t="array" ref="L236">EVAL($AG$15,B236)</f>
        <v>62.651076045398192</v>
      </c>
      <c r="M236" s="15" cm="1">
        <f t="array" ref="M236">EVAL($AG$16,B236)</f>
        <v>0.83233826509101971</v>
      </c>
      <c r="N236" s="15" cm="1">
        <f t="array" ref="N236">EVAL($AG$17,B236)</f>
        <v>37.199817840544327</v>
      </c>
      <c r="O236" s="15" cm="1">
        <f t="array" ref="O236">EVAL($AG$18,B236)</f>
        <v>9.7687755772661432E-3</v>
      </c>
      <c r="P236" s="15" cm="1">
        <f t="array" ref="P236">EVAL($AG$19,B236)</f>
        <v>9.7687755772661432E-3</v>
      </c>
      <c r="Q236" s="15" cm="1">
        <f t="array" ref="Q236">EVAL($AH$6,B236)</f>
        <v>1.091979545056931</v>
      </c>
      <c r="R236" s="15" cm="1">
        <f t="array" ref="R236">EVAL($AH$7,B236)</f>
        <v>1.091979545056931</v>
      </c>
      <c r="T236" s="15" cm="1">
        <f t="array" ref="T236">EVAL($AH$9,B236)</f>
        <v>0.72374005022261534</v>
      </c>
      <c r="U236" s="15" cm="1">
        <f t="array" ref="U236">EVAL($AH$10,B236)</f>
        <v>0.72374005022261534</v>
      </c>
      <c r="V236" s="15" cm="1">
        <f t="array" ref="V236">EVAL($AH$11,B236)</f>
        <v>0.72374005022261534</v>
      </c>
      <c r="W236" s="15" cm="1">
        <f t="array" ref="W236">EVAL($AH$12,B236)</f>
        <v>25.973705047749039</v>
      </c>
      <c r="X236" s="15" cm="1">
        <f t="array" ref="X236">EVAL($AH$13,B236)</f>
        <v>0.34478198674488014</v>
      </c>
      <c r="Y236" s="15" cm="1">
        <f t="array" ref="Y236">EVAL($AH$14,B236)</f>
        <v>0.34478198674488014</v>
      </c>
    </row>
    <row r="237" spans="1:25" x14ac:dyDescent="0.25">
      <c r="A237" s="20">
        <v>24.400000000000102</v>
      </c>
      <c r="B237" s="41">
        <f t="shared" si="3"/>
        <v>76.654860747591272</v>
      </c>
      <c r="C237" s="15" cm="1">
        <f t="array" ref="C237">EVAL($AG$6,B237)</f>
        <v>288.39042528044229</v>
      </c>
      <c r="D237" s="15" cm="1">
        <f t="array" ref="D237">EVAL($AG$7,B237)</f>
        <v>3.5905784467940727</v>
      </c>
      <c r="F237" s="15" cm="1">
        <f t="array" ref="F237">EVAL($AG$9,B237)</f>
        <v>1.7426759957835454</v>
      </c>
      <c r="G237" s="15" cm="1">
        <f t="array" ref="G237">EVAL($AG$10,B237)</f>
        <v>1.7426759957835454</v>
      </c>
      <c r="H237" s="15" cm="1">
        <f t="array" ref="H237">EVAL($AG$11,B237)</f>
        <v>1.7426759957835454</v>
      </c>
      <c r="I237" s="15" cm="1">
        <f t="array" ref="I237">EVAL($AG$12,B237)</f>
        <v>1.6915200801806143</v>
      </c>
      <c r="J237" s="15" cm="1">
        <f t="array" ref="J237">EVAL($AG$13,B237)</f>
        <v>108.54626141464423</v>
      </c>
      <c r="K237" s="15" cm="1">
        <f t="array" ref="K237">EVAL($AG$14,B237)</f>
        <v>1.2604375034589794</v>
      </c>
      <c r="L237" s="15" cm="1">
        <f t="array" ref="L237">EVAL($AG$15,B237)</f>
        <v>62.807680656852227</v>
      </c>
      <c r="M237" s="15" cm="1">
        <f t="array" ref="M237">EVAL($AG$16,B237)</f>
        <v>0.83408270512038707</v>
      </c>
      <c r="N237" s="15" cm="1">
        <f t="array" ref="N237">EVAL($AG$17,B237)</f>
        <v>37.262262089117861</v>
      </c>
      <c r="O237" s="15" cm="1">
        <f t="array" ref="O237">EVAL($AG$18,B237)</f>
        <v>9.7466153683907139E-3</v>
      </c>
      <c r="P237" s="15" cm="1">
        <f t="array" ref="P237">EVAL($AG$19,B237)</f>
        <v>9.7466153683907139E-3</v>
      </c>
      <c r="Q237" s="15" cm="1">
        <f t="array" ref="Q237">EVAL($AH$6,B237)</f>
        <v>1.0938345718070581</v>
      </c>
      <c r="R237" s="15" cm="1">
        <f t="array" ref="R237">EVAL($AH$7,B237)</f>
        <v>1.0938345718070581</v>
      </c>
      <c r="T237" s="15" cm="1">
        <f t="array" ref="T237">EVAL($AH$9,B237)</f>
        <v>0.72490193982271678</v>
      </c>
      <c r="U237" s="15" cm="1">
        <f t="array" ref="U237">EVAL($AH$10,B237)</f>
        <v>0.72490193982271678</v>
      </c>
      <c r="V237" s="15" cm="1">
        <f t="array" ref="V237">EVAL($AH$11,B237)</f>
        <v>0.72490193982271678</v>
      </c>
      <c r="W237" s="15" cm="1">
        <f t="array" ref="W237">EVAL($AH$12,B237)</f>
        <v>26.131861763504926</v>
      </c>
      <c r="X237" s="15" cm="1">
        <f t="array" ref="X237">EVAL($AH$13,B237)</f>
        <v>0.34515089589893233</v>
      </c>
      <c r="Y237" s="15" cm="1">
        <f t="array" ref="Y237">EVAL($AH$14,B237)</f>
        <v>0.34515089589893233</v>
      </c>
    </row>
    <row r="238" spans="1:25" x14ac:dyDescent="0.25">
      <c r="A238" s="20">
        <v>24.500000000000099</v>
      </c>
      <c r="B238" s="41">
        <f t="shared" si="3"/>
        <v>76.969020012950239</v>
      </c>
      <c r="C238" s="15" cm="1">
        <f t="array" ref="C238">EVAL($AG$6,B238)</f>
        <v>289.20721271851312</v>
      </c>
      <c r="D238" s="15" cm="1">
        <f t="array" ref="D238">EVAL($AG$7,B238)</f>
        <v>3.5947133009724168</v>
      </c>
      <c r="F238" s="15" cm="1">
        <f t="array" ref="F238">EVAL($AG$9,B238)</f>
        <v>1.7499333376713668</v>
      </c>
      <c r="G238" s="15" cm="1">
        <f t="array" ref="G238">EVAL($AG$10,B238)</f>
        <v>1.7499333376713668</v>
      </c>
      <c r="H238" s="15" cm="1">
        <f t="array" ref="H238">EVAL($AG$11,B238)</f>
        <v>1.7499333376713668</v>
      </c>
      <c r="I238" s="15" cm="1">
        <f t="array" ref="I238">EVAL($AG$12,B238)</f>
        <v>1.698065655422619</v>
      </c>
      <c r="J238" s="15" cm="1">
        <f t="array" ref="J238">EVAL($AG$13,B238)</f>
        <v>108.87964801256216</v>
      </c>
      <c r="K238" s="15" cm="1">
        <f t="array" ref="K238">EVAL($AG$14,B238)</f>
        <v>1.2648901379606108</v>
      </c>
      <c r="L238" s="15" cm="1">
        <f t="array" ref="L238">EVAL($AG$15,B238)</f>
        <v>62.96403381108415</v>
      </c>
      <c r="M238" s="15" cm="1">
        <f t="array" ref="M238">EVAL($AG$16,B238)</f>
        <v>0.83582364404699838</v>
      </c>
      <c r="N238" s="15" cm="1">
        <f t="array" ref="N238">EVAL($AG$17,B238)</f>
        <v>37.324555118827931</v>
      </c>
      <c r="O238" s="15" cm="1">
        <f t="array" ref="O238">EVAL($AG$18,B238)</f>
        <v>9.7245957565872346E-3</v>
      </c>
      <c r="P238" s="15" cm="1">
        <f t="array" ref="P238">EVAL($AG$19,B238)</f>
        <v>9.7245957565872346E-3</v>
      </c>
      <c r="Q238" s="15" cm="1">
        <f t="array" ref="Q238">EVAL($AH$6,B238)</f>
        <v>1.0956851434723194</v>
      </c>
      <c r="R238" s="15" cm="1">
        <f t="array" ref="R238">EVAL($AH$7,B238)</f>
        <v>1.0956851434723194</v>
      </c>
      <c r="T238" s="15" cm="1">
        <f t="array" ref="T238">EVAL($AH$9,B238)</f>
        <v>0.72606093116610193</v>
      </c>
      <c r="U238" s="15" cm="1">
        <f t="array" ref="U238">EVAL($AH$10,B238)</f>
        <v>0.72606093116610193</v>
      </c>
      <c r="V238" s="15" cm="1">
        <f t="array" ref="V238">EVAL($AH$11,B238)</f>
        <v>0.72606093116610193</v>
      </c>
      <c r="W238" s="15" cm="1">
        <f t="array" ref="W238">EVAL($AH$12,B238)</f>
        <v>26.290328745093007</v>
      </c>
      <c r="X238" s="15" cm="1">
        <f t="array" ref="X238">EVAL($AH$13,B238)</f>
        <v>0.34551868852366519</v>
      </c>
      <c r="Y238" s="15" cm="1">
        <f t="array" ref="Y238">EVAL($AH$14,B238)</f>
        <v>0.34551868852366519</v>
      </c>
    </row>
    <row r="239" spans="1:25" x14ac:dyDescent="0.25">
      <c r="A239" s="20">
        <v>24.600000000000101</v>
      </c>
      <c r="B239" s="41">
        <f t="shared" si="3"/>
        <v>77.283179278309234</v>
      </c>
      <c r="C239" s="15" cm="1">
        <f t="array" ref="C239">EVAL($AG$6,B239)</f>
        <v>290.02297231513967</v>
      </c>
      <c r="D239" s="15" cm="1">
        <f t="array" ref="D239">EVAL($AG$7,B239)</f>
        <v>3.5988360450930474</v>
      </c>
      <c r="F239" s="15" cm="1">
        <f t="array" ref="F239">EVAL($AG$9,B239)</f>
        <v>1.7571911564872125</v>
      </c>
      <c r="G239" s="15" cm="1">
        <f t="array" ref="G239">EVAL($AG$10,B239)</f>
        <v>1.7571911564872125</v>
      </c>
      <c r="H239" s="15" cm="1">
        <f t="array" ref="H239">EVAL($AG$11,B239)</f>
        <v>1.7571911564872125</v>
      </c>
      <c r="I239" s="15" cm="1">
        <f t="array" ref="I239">EVAL($AG$12,B239)</f>
        <v>1.7046097427130322</v>
      </c>
      <c r="J239" s="15" cm="1">
        <f t="array" ref="J239">EVAL($AG$13,B239)</f>
        <v>109.21269432064447</v>
      </c>
      <c r="K239" s="15" cm="1">
        <f t="array" ref="K239">EVAL($AG$14,B239)</f>
        <v>1.2693402687792437</v>
      </c>
      <c r="L239" s="15" cm="1">
        <f t="array" ref="L239">EVAL($AG$15,B239)</f>
        <v>63.120136935749436</v>
      </c>
      <c r="M239" s="15" cm="1">
        <f t="array" ref="M239">EVAL($AG$16,B239)</f>
        <v>0.83756110314496135</v>
      </c>
      <c r="N239" s="15" cm="1">
        <f t="array" ref="N239">EVAL($AG$17,B239)</f>
        <v>37.386697910861997</v>
      </c>
      <c r="O239" s="15" cm="1">
        <f t="array" ref="O239">EVAL($AG$18,B239)</f>
        <v>9.7027152814023396E-3</v>
      </c>
      <c r="P239" s="15" cm="1">
        <f t="array" ref="P239">EVAL($AG$19,B239)</f>
        <v>9.7027152814023396E-3</v>
      </c>
      <c r="Q239" s="15" cm="1">
        <f t="array" ref="Q239">EVAL($AH$6,B239)</f>
        <v>1.0975312888709412</v>
      </c>
      <c r="R239" s="15" cm="1">
        <f t="array" ref="R239">EVAL($AH$7,B239)</f>
        <v>1.0975312888709412</v>
      </c>
      <c r="T239" s="15" cm="1">
        <f t="array" ref="T239">EVAL($AH$9,B239)</f>
        <v>0.72721704326780756</v>
      </c>
      <c r="U239" s="15" cm="1">
        <f t="array" ref="U239">EVAL($AH$10,B239)</f>
        <v>0.72721704326780756</v>
      </c>
      <c r="V239" s="15" cm="1">
        <f t="array" ref="V239">EVAL($AH$11,B239)</f>
        <v>0.72721704326780756</v>
      </c>
      <c r="W239" s="15" cm="1">
        <f t="array" ref="W239">EVAL($AH$12,B239)</f>
        <v>26.449105331061464</v>
      </c>
      <c r="X239" s="15" cm="1">
        <f t="array" ref="X239">EVAL($AH$13,B239)</f>
        <v>0.34588537253498258</v>
      </c>
      <c r="Y239" s="15" cm="1">
        <f t="array" ref="Y239">EVAL($AH$14,B239)</f>
        <v>0.34588537253498258</v>
      </c>
    </row>
    <row r="240" spans="1:25" x14ac:dyDescent="0.25">
      <c r="A240" s="20">
        <v>24.700000000000099</v>
      </c>
      <c r="B240" s="41">
        <f t="shared" si="3"/>
        <v>77.597338543668201</v>
      </c>
      <c r="C240" s="15" cm="1">
        <f t="array" ref="C240">EVAL($AG$6,B240)</f>
        <v>290.83770953412244</v>
      </c>
      <c r="D240" s="15" cm="1">
        <f t="array" ref="D240">EVAL($AG$7,B240)</f>
        <v>3.6029467636360111</v>
      </c>
      <c r="F240" s="15" cm="1">
        <f t="array" ref="F240">EVAL($AG$9,B240)</f>
        <v>1.7644494503234904</v>
      </c>
      <c r="G240" s="15" cm="1">
        <f t="array" ref="G240">EVAL($AG$10,B240)</f>
        <v>1.7644494503234904</v>
      </c>
      <c r="H240" s="15" cm="1">
        <f t="array" ref="H240">EVAL($AG$11,B240)</f>
        <v>1.7644494503234904</v>
      </c>
      <c r="I240" s="15" cm="1">
        <f t="array" ref="I240">EVAL($AG$12,B240)</f>
        <v>1.7111523484366542</v>
      </c>
      <c r="J240" s="15" cm="1">
        <f t="array" ref="J240">EVAL($AG$13,B240)</f>
        <v>109.54540206741318</v>
      </c>
      <c r="K240" s="15" cm="1">
        <f t="array" ref="K240">EVAL($AG$14,B240)</f>
        <v>1.2737879074917411</v>
      </c>
      <c r="L240" s="15" cm="1">
        <f t="array" ref="L240">EVAL($AG$15,B240)</f>
        <v>63.275991444631892</v>
      </c>
      <c r="M240" s="15" cm="1">
        <f t="array" ref="M240">EVAL($AG$16,B240)</f>
        <v>0.8392951034732441</v>
      </c>
      <c r="N240" s="15" cm="1">
        <f t="array" ref="N240">EVAL($AG$17,B240)</f>
        <v>37.448691436083109</v>
      </c>
      <c r="O240" s="15" cm="1">
        <f t="array" ref="O240">EVAL($AG$18,B240)</f>
        <v>9.6809725034098151E-3</v>
      </c>
      <c r="P240" s="15" cm="1">
        <f t="array" ref="P240">EVAL($AG$19,B240)</f>
        <v>9.6809725034098151E-3</v>
      </c>
      <c r="Q240" s="15" cm="1">
        <f t="array" ref="Q240">EVAL($AH$6,B240)</f>
        <v>1.0993730365184822</v>
      </c>
      <c r="R240" s="15" cm="1">
        <f t="array" ref="R240">EVAL($AH$7,B240)</f>
        <v>1.0993730365184822</v>
      </c>
      <c r="T240" s="15" cm="1">
        <f t="array" ref="T240">EVAL($AH$9,B240)</f>
        <v>0.72837029494142003</v>
      </c>
      <c r="U240" s="15" cm="1">
        <f t="array" ref="U240">EVAL($AH$10,B240)</f>
        <v>0.72837029494142003</v>
      </c>
      <c r="V240" s="15" cm="1">
        <f t="array" ref="V240">EVAL($AH$11,B240)</f>
        <v>0.72837029494142003</v>
      </c>
      <c r="W240" s="15" cm="1">
        <f t="array" ref="W240">EVAL($AH$12,B240)</f>
        <v>26.608190864054226</v>
      </c>
      <c r="X240" s="15" cm="1">
        <f t="array" ref="X240">EVAL($AH$13,B240)</f>
        <v>0.34625095576076387</v>
      </c>
      <c r="Y240" s="15" cm="1">
        <f t="array" ref="Y240">EVAL($AH$14,B240)</f>
        <v>0.34625095576076387</v>
      </c>
    </row>
    <row r="241" spans="1:25" x14ac:dyDescent="0.25">
      <c r="A241" s="20">
        <v>24.8000000000001</v>
      </c>
      <c r="B241" s="41">
        <f t="shared" si="3"/>
        <v>77.911497809027182</v>
      </c>
      <c r="C241" s="15" cm="1">
        <f t="array" ref="C241">EVAL($AG$6,B241)</f>
        <v>291.65142978822814</v>
      </c>
      <c r="D241" s="15" cm="1">
        <f t="array" ref="D241">EVAL($AG$7,B241)</f>
        <v>3.6070455401528703</v>
      </c>
      <c r="F241" s="15" cm="1">
        <f t="array" ref="F241">EVAL($AG$9,B241)</f>
        <v>1.7717082172879293</v>
      </c>
      <c r="G241" s="15" cm="1">
        <f t="array" ref="G241">EVAL($AG$10,B241)</f>
        <v>1.7717082172879293</v>
      </c>
      <c r="H241" s="15" cm="1">
        <f t="array" ref="H241">EVAL($AG$11,B241)</f>
        <v>1.7717082172879293</v>
      </c>
      <c r="I241" s="15" cm="1">
        <f t="array" ref="I241">EVAL($AG$12,B241)</f>
        <v>1.7176934789251543</v>
      </c>
      <c r="J241" s="15" cm="1">
        <f t="array" ref="J241">EVAL($AG$13,B241)</f>
        <v>109.87777296565106</v>
      </c>
      <c r="K241" s="15" cm="1">
        <f t="array" ref="K241">EVAL($AG$14,B241)</f>
        <v>1.2782330655747944</v>
      </c>
      <c r="L241" s="15" cm="1">
        <f t="array" ref="L241">EVAL($AG$15,B241)</f>
        <v>63.431598737834221</v>
      </c>
      <c r="M241" s="15" cm="1">
        <f t="array" ref="M241">EVAL($AG$16,B241)</f>
        <v>0.84102566587870964</v>
      </c>
      <c r="N241" s="15" cm="1">
        <f t="array" ref="N241">EVAL($AG$17,B241)</f>
        <v>37.510536655179791</v>
      </c>
      <c r="O241" s="15" cm="1">
        <f t="array" ref="O241">EVAL($AG$18,B241)</f>
        <v>9.6593660038242126E-3</v>
      </c>
      <c r="P241" s="15" cm="1">
        <f t="array" ref="P241">EVAL($AG$19,B241)</f>
        <v>9.6593660038242126E-3</v>
      </c>
      <c r="Q241" s="15" cm="1">
        <f t="array" ref="Q241">EVAL($AH$6,B241)</f>
        <v>1.1012104146322255</v>
      </c>
      <c r="R241" s="15" cm="1">
        <f t="array" ref="R241">EVAL($AH$7,B241)</f>
        <v>1.1012104146322255</v>
      </c>
      <c r="T241" s="15" cm="1">
        <f t="array" ref="T241">EVAL($AH$9,B241)</f>
        <v>0.72952070480201503</v>
      </c>
      <c r="U241" s="15" cm="1">
        <f t="array" ref="U241">EVAL($AH$10,B241)</f>
        <v>0.72952070480201503</v>
      </c>
      <c r="V241" s="15" cm="1">
        <f t="array" ref="V241">EVAL($AH$11,B241)</f>
        <v>0.72952070480201503</v>
      </c>
      <c r="W241" s="15" cm="1">
        <f t="array" ref="W241">EVAL($AH$12,B241)</f>
        <v>26.767584690769272</v>
      </c>
      <c r="X241" s="15" cm="1">
        <f t="array" ref="X241">EVAL($AH$13,B241)</f>
        <v>0.34661544594219468</v>
      </c>
      <c r="Y241" s="15" cm="1">
        <f t="array" ref="Y241">EVAL($AH$14,B241)</f>
        <v>0.34661544594219468</v>
      </c>
    </row>
    <row r="242" spans="1:25" x14ac:dyDescent="0.25">
      <c r="A242" s="20">
        <v>24.900000000000102</v>
      </c>
      <c r="B242" s="41">
        <f t="shared" si="3"/>
        <v>78.225657074386163</v>
      </c>
      <c r="C242" s="15" cm="1">
        <f t="array" ref="C242">EVAL($AG$6,B242)</f>
        <v>292.46413843986988</v>
      </c>
      <c r="D242" s="15" cm="1">
        <f t="array" ref="D242">EVAL($AG$7,B242)</f>
        <v>3.6111324572806063</v>
      </c>
      <c r="F242" s="15" cm="1">
        <f t="array" ref="F242">EVAL($AG$9,B242)</f>
        <v>1.7789674555034003</v>
      </c>
      <c r="G242" s="15" cm="1">
        <f t="array" ref="G242">EVAL($AG$10,B242)</f>
        <v>1.7789674555034003</v>
      </c>
      <c r="H242" s="15" cm="1">
        <f t="array" ref="H242">EVAL($AG$11,B242)</f>
        <v>1.7789674555034003</v>
      </c>
      <c r="I242" s="15" cm="1">
        <f t="array" ref="I242">EVAL($AG$12,B242)</f>
        <v>1.724233140457722</v>
      </c>
      <c r="J242" s="15" cm="1">
        <f t="array" ref="J242">EVAL($AG$13,B242)</f>
        <v>110.20980871260798</v>
      </c>
      <c r="K242" s="15" cm="1">
        <f t="array" ref="K242">EVAL($AG$14,B242)</f>
        <v>1.2826757544061935</v>
      </c>
      <c r="L242" s="15" cm="1">
        <f t="array" ref="L242">EVAL($AG$15,B242)</f>
        <v>63.586960201964921</v>
      </c>
      <c r="M242" s="15" cm="1">
        <f t="array" ref="M242">EVAL($AG$16,B242)</f>
        <v>0.84275281099910204</v>
      </c>
      <c r="N242" s="15" cm="1">
        <f t="array" ref="N242">EVAL($AG$17,B242)</f>
        <v>37.572234518813318</v>
      </c>
      <c r="O242" s="15" cm="1">
        <f t="array" ref="O242">EVAL($AG$18,B242)</f>
        <v>9.6378943841230816E-3</v>
      </c>
      <c r="P242" s="15" cm="1">
        <f t="array" ref="P242">EVAL($AG$19,B242)</f>
        <v>9.6378943841230816E-3</v>
      </c>
      <c r="Q242" s="15" cm="1">
        <f t="array" ref="Q242">EVAL($AH$6,B242)</f>
        <v>1.1030434511354876</v>
      </c>
      <c r="R242" s="15" cm="1">
        <f t="array" ref="R242">EVAL($AH$7,B242)</f>
        <v>1.1030434511354876</v>
      </c>
      <c r="T242" s="15" cm="1">
        <f t="array" ref="T242">EVAL($AH$9,B242)</f>
        <v>0.73066829126904442</v>
      </c>
      <c r="U242" s="15" cm="1">
        <f t="array" ref="U242">EVAL($AH$10,B242)</f>
        <v>0.73066829126904442</v>
      </c>
      <c r="V242" s="15" cm="1">
        <f t="array" ref="V242">EVAL($AH$11,B242)</f>
        <v>0.73066829126904442</v>
      </c>
      <c r="W242" s="15" cm="1">
        <f t="array" ref="W242">EVAL($AH$12,B242)</f>
        <v>26.92728616191739</v>
      </c>
      <c r="X242" s="15" cm="1">
        <f t="array" ref="X242">EVAL($AH$13,B242)</f>
        <v>0.34697885073507251</v>
      </c>
      <c r="Y242" s="15" cm="1">
        <f t="array" ref="Y242">EVAL($AH$14,B242)</f>
        <v>0.34697885073507251</v>
      </c>
    </row>
    <row r="243" spans="1:25" x14ac:dyDescent="0.25">
      <c r="A243" s="20">
        <v>25.000000000000099</v>
      </c>
      <c r="B243" s="41">
        <f t="shared" si="3"/>
        <v>78.539816339745144</v>
      </c>
      <c r="C243" s="15" cm="1">
        <f t="array" ref="C243">EVAL($AG$6,B243)</f>
        <v>293.27584080177536</v>
      </c>
      <c r="D243" s="15" cm="1">
        <f t="array" ref="D243">EVAL($AG$7,B243)</f>
        <v>3.6152075967552593</v>
      </c>
      <c r="F243" s="15" cm="1">
        <f t="array" ref="F243">EVAL($AG$9,B243)</f>
        <v>1.7862271631077267</v>
      </c>
      <c r="G243" s="15" cm="1">
        <f t="array" ref="G243">EVAL($AG$10,B243)</f>
        <v>1.7862271631077267</v>
      </c>
      <c r="H243" s="15" cm="1">
        <f t="array" ref="H243">EVAL($AG$11,B243)</f>
        <v>1.7862271631077267</v>
      </c>
      <c r="I243" s="15" cm="1">
        <f t="array" ref="I243">EVAL($AG$12,B243)</f>
        <v>1.7307713392617146</v>
      </c>
      <c r="J243" s="15" cm="1">
        <f t="array" ref="J243">EVAL($AG$13,B243)</f>
        <v>110.54151099020326</v>
      </c>
      <c r="K243" s="15" cm="1">
        <f t="array" ref="K243">EVAL($AG$14,B243)</f>
        <v>1.2871159852660654</v>
      </c>
      <c r="L243" s="15" cm="1">
        <f t="array" ref="L243">EVAL($AG$15,B243)</f>
        <v>63.742077210321803</v>
      </c>
      <c r="M243" s="15" cm="1">
        <f t="array" ref="M243">EVAL($AG$16,B243)</f>
        <v>0.84447655926597209</v>
      </c>
      <c r="N243" s="15" cm="1">
        <f t="array" ref="N243">EVAL($AG$17,B243)</f>
        <v>37.633785967762073</v>
      </c>
      <c r="O243" s="15" cm="1">
        <f t="array" ref="O243">EVAL($AG$18,B243)</f>
        <v>9.6165562656776084E-3</v>
      </c>
      <c r="P243" s="15" cm="1">
        <f t="array" ref="P243">EVAL($AG$19,B243)</f>
        <v>9.6165562656776084E-3</v>
      </c>
      <c r="Q243" s="15" cm="1">
        <f t="array" ref="Q243">EVAL($AH$6,B243)</f>
        <v>1.1048721736618456</v>
      </c>
      <c r="R243" s="15" cm="1">
        <f t="array" ref="R243">EVAL($AH$7,B243)</f>
        <v>1.1048721736618456</v>
      </c>
      <c r="T243" s="15" cm="1">
        <f t="array" ref="T243">EVAL($AH$9,B243)</f>
        <v>0.73181307256916694</v>
      </c>
      <c r="U243" s="15" cm="1">
        <f t="array" ref="U243">EVAL($AH$10,B243)</f>
        <v>0.73181307256916694</v>
      </c>
      <c r="V243" s="15" cm="1">
        <f t="array" ref="V243">EVAL($AH$11,B243)</f>
        <v>0.73181307256916694</v>
      </c>
      <c r="W243" s="15" cm="1">
        <f t="array" ref="W243">EVAL($AH$12,B243)</f>
        <v>27.087294632181322</v>
      </c>
      <c r="X243" s="15" cm="1">
        <f t="array" ref="X243">EVAL($AH$13,B243)</f>
        <v>0.34734117771108641</v>
      </c>
      <c r="Y243" s="15" cm="1">
        <f t="array" ref="Y243">EVAL($AH$14,B243)</f>
        <v>0.34734117771108641</v>
      </c>
    </row>
    <row r="244" spans="1:25" x14ac:dyDescent="0.25">
      <c r="A244" s="20">
        <v>25.100000000000101</v>
      </c>
      <c r="B244" s="41">
        <f t="shared" si="3"/>
        <v>78.853975605104125</v>
      </c>
      <c r="C244" s="15" cm="1">
        <f t="array" ref="C244">EVAL($AG$6,B244)</f>
        <v>294.08654213764538</v>
      </c>
      <c r="D244" s="15" cm="1">
        <f t="array" ref="D244">EVAL($AG$7,B244)</f>
        <v>3.6192710394253087</v>
      </c>
      <c r="F244" s="15" cm="1">
        <f t="array" ref="F244">EVAL($AG$9,B244)</f>
        <v>1.7934873382535155</v>
      </c>
      <c r="G244" s="15" cm="1">
        <f t="array" ref="G244">EVAL($AG$10,B244)</f>
        <v>1.7934873382535155</v>
      </c>
      <c r="H244" s="15" cm="1">
        <f t="array" ref="H244">EVAL($AG$11,B244)</f>
        <v>1.7934873382535155</v>
      </c>
      <c r="I244" s="15" cm="1">
        <f t="array" ref="I244">EVAL($AG$12,B244)</f>
        <v>1.7373080815132871</v>
      </c>
      <c r="J244" s="15" cm="1">
        <f t="array" ref="J244">EVAL($AG$13,B244)</f>
        <v>110.87288146522545</v>
      </c>
      <c r="K244" s="15" cm="1">
        <f t="array" ref="K244">EVAL($AG$14,B244)</f>
        <v>1.2915537693381114</v>
      </c>
      <c r="L244" s="15" cm="1">
        <f t="array" ref="L244">EVAL($AG$15,B244)</f>
        <v>63.896951123072895</v>
      </c>
      <c r="M244" s="15" cm="1">
        <f t="array" ref="M244">EVAL($AG$16,B244)</f>
        <v>0.84619693090755488</v>
      </c>
      <c r="N244" s="15" cm="1">
        <f t="array" ref="N244">EVAL($AG$17,B244)</f>
        <v>37.695191933063469</v>
      </c>
      <c r="O244" s="15" cm="1">
        <f t="array" ref="O244">EVAL($AG$18,B244)</f>
        <v>9.5953502893914352E-3</v>
      </c>
      <c r="P244" s="15" cm="1">
        <f t="array" ref="P244">EVAL($AG$19,B244)</f>
        <v>9.5953502893914352E-3</v>
      </c>
      <c r="Q244" s="15" cm="1">
        <f t="array" ref="Q244">EVAL($AH$6,B244)</f>
        <v>1.1066966095592927</v>
      </c>
      <c r="R244" s="15" cm="1">
        <f t="array" ref="R244">EVAL($AH$7,B244)</f>
        <v>1.1066966095592927</v>
      </c>
      <c r="T244" s="15" cm="1">
        <f t="array" ref="T244">EVAL($AH$9,B244)</f>
        <v>0.73295506673902977</v>
      </c>
      <c r="U244" s="15" cm="1">
        <f t="array" ref="U244">EVAL($AH$10,B244)</f>
        <v>0.73295506673902977</v>
      </c>
      <c r="V244" s="15" cm="1">
        <f t="array" ref="V244">EVAL($AH$11,B244)</f>
        <v>0.73295506673902977</v>
      </c>
      <c r="W244" s="15" cm="1">
        <f t="array" ref="W244">EVAL($AH$12,B244)</f>
        <v>27.247609460175951</v>
      </c>
      <c r="X244" s="15" cm="1">
        <f t="array" ref="X244">EVAL($AH$13,B244)</f>
        <v>0.34770243435907483</v>
      </c>
      <c r="Y244" s="15" cm="1">
        <f t="array" ref="Y244">EVAL($AH$14,B244)</f>
        <v>0.34770243435907483</v>
      </c>
    </row>
    <row r="245" spans="1:25" x14ac:dyDescent="0.25">
      <c r="A245" s="20">
        <v>25.200000000000099</v>
      </c>
      <c r="B245" s="41">
        <f t="shared" si="3"/>
        <v>79.168134870463092</v>
      </c>
      <c r="C245" s="15" cm="1">
        <f t="array" ref="C245">EVAL($AG$6,B245)</f>
        <v>294.89624766279815</v>
      </c>
      <c r="D245" s="15" cm="1">
        <f t="array" ref="D245">EVAL($AG$7,B245)</f>
        <v>3.6233228652648046</v>
      </c>
      <c r="F245" s="15" cm="1">
        <f t="array" ref="F245">EVAL($AG$9,B245)</f>
        <v>1.8007479791079728</v>
      </c>
      <c r="G245" s="15" cm="1">
        <f t="array" ref="G245">EVAL($AG$10,B245)</f>
        <v>1.8007479791079728</v>
      </c>
      <c r="H245" s="15" cm="1">
        <f t="array" ref="H245">EVAL($AG$11,B245)</f>
        <v>1.8007479791079728</v>
      </c>
      <c r="I245" s="15" cm="1">
        <f t="array" ref="I245">EVAL($AG$12,B245)</f>
        <v>1.7438433733380183</v>
      </c>
      <c r="J245" s="15" cm="1">
        <f t="array" ref="J245">EVAL($AG$13,B245)</f>
        <v>111.2039217895274</v>
      </c>
      <c r="K245" s="15" cm="1">
        <f t="array" ref="K245">EVAL($AG$14,B245)</f>
        <v>1.2959891177107998</v>
      </c>
      <c r="L245" s="15" cm="1">
        <f t="array" ref="L245">EVAL($AG$15,B245)</f>
        <v>64.051583287433246</v>
      </c>
      <c r="M245" s="15" cm="1">
        <f t="array" ref="M245">EVAL($AG$16,B245)</f>
        <v>0.84791394595159197</v>
      </c>
      <c r="N245" s="15" cm="1">
        <f t="array" ref="N245">EVAL($AG$17,B245)</f>
        <v>37.756453336153101</v>
      </c>
      <c r="O245" s="15" cm="1">
        <f t="array" ref="O245">EVAL($AG$18,B245)</f>
        <v>9.5742751153474522E-3</v>
      </c>
      <c r="P245" s="15" cm="1">
        <f t="array" ref="P245">EVAL($AG$19,B245)</f>
        <v>9.5742751153474522E-3</v>
      </c>
      <c r="Q245" s="15" cm="1">
        <f t="array" ref="Q245">EVAL($AH$6,B245)</f>
        <v>1.1085167858943104</v>
      </c>
      <c r="R245" s="15" cm="1">
        <f t="array" ref="R245">EVAL($AH$7,B245)</f>
        <v>1.1085167858943104</v>
      </c>
      <c r="T245" s="15" cm="1">
        <f t="array" ref="T245">EVAL($AH$9,B245)</f>
        <v>0.73409429162799678</v>
      </c>
      <c r="U245" s="15" cm="1">
        <f t="array" ref="U245">EVAL($AH$10,B245)</f>
        <v>0.73409429162799678</v>
      </c>
      <c r="V245" s="15" cm="1">
        <f t="array" ref="V245">EVAL($AH$11,B245)</f>
        <v>0.73409429162799678</v>
      </c>
      <c r="W245" s="15" cm="1">
        <f t="array" ref="W245">EVAL($AH$12,B245)</f>
        <v>27.408230008408513</v>
      </c>
      <c r="X245" s="15" cm="1">
        <f t="array" ref="X245">EVAL($AH$13,B245)</f>
        <v>0.34806262808625654</v>
      </c>
      <c r="Y245" s="15" cm="1">
        <f t="array" ref="Y245">EVAL($AH$14,B245)</f>
        <v>0.34806262808625654</v>
      </c>
    </row>
    <row r="246" spans="1:25" x14ac:dyDescent="0.25">
      <c r="A246" s="20">
        <v>25.3000000000001</v>
      </c>
      <c r="B246" s="41">
        <f t="shared" si="3"/>
        <v>79.482294135822087</v>
      </c>
      <c r="C246" s="15" cm="1">
        <f t="array" ref="C246">EVAL($AG$6,B246)</f>
        <v>295.70496254480452</v>
      </c>
      <c r="D246" s="15" cm="1">
        <f t="array" ref="D246">EVAL($AG$7,B246)</f>
        <v>3.6273631533862507</v>
      </c>
      <c r="F246" s="15" cm="1">
        <f t="array" ref="F246">EVAL($AG$9,B246)</f>
        <v>1.8080090838527318</v>
      </c>
      <c r="G246" s="15" cm="1">
        <f t="array" ref="G246">EVAL($AG$10,B246)</f>
        <v>1.8080090838527318</v>
      </c>
      <c r="H246" s="15" cm="1">
        <f t="array" ref="H246">EVAL($AG$11,B246)</f>
        <v>1.8080090838527318</v>
      </c>
      <c r="I246" s="15" cm="1">
        <f t="array" ref="I246">EVAL($AG$12,B246)</f>
        <v>1.7503772208115205</v>
      </c>
      <c r="J246" s="15" cm="1">
        <f t="array" ref="J246">EVAL($AG$13,B246)</f>
        <v>111.53463360021922</v>
      </c>
      <c r="K246" s="15" cm="1">
        <f t="array" ref="K246">EVAL($AG$14,B246)</f>
        <v>1.3004220413785574</v>
      </c>
      <c r="L246" s="15" cm="1">
        <f t="array" ref="L246">EVAL($AG$15,B246)</f>
        <v>64.20597503783948</v>
      </c>
      <c r="M246" s="15" cm="1">
        <f t="array" ref="M246">EVAL($AG$16,B246)</f>
        <v>0.84962762422810723</v>
      </c>
      <c r="N246" s="15" cm="1">
        <f t="array" ref="N246">EVAL($AG$17,B246)</f>
        <v>37.817571089001412</v>
      </c>
      <c r="O246" s="15" cm="1">
        <f t="array" ref="O246">EVAL($AG$18,B246)</f>
        <v>9.553329422462337E-3</v>
      </c>
      <c r="P246" s="15" cm="1">
        <f t="array" ref="P246">EVAL($AG$19,B246)</f>
        <v>9.553329422462337E-3</v>
      </c>
      <c r="Q246" s="15" cm="1">
        <f t="array" ref="Q246">EVAL($AH$6,B246)</f>
        <v>1.1103327294558738</v>
      </c>
      <c r="R246" s="15" cm="1">
        <f t="array" ref="R246">EVAL($AH$7,B246)</f>
        <v>1.1103327294558738</v>
      </c>
      <c r="T246" s="15" cm="1">
        <f t="array" ref="T246">EVAL($AH$9,B246)</f>
        <v>0.73523076490082728</v>
      </c>
      <c r="U246" s="15" cm="1">
        <f t="array" ref="U246">EVAL($AH$10,B246)</f>
        <v>0.73523076490082728</v>
      </c>
      <c r="V246" s="15" cm="1">
        <f t="array" ref="V246">EVAL($AH$11,B246)</f>
        <v>0.73523076490082728</v>
      </c>
      <c r="W246" s="15" cm="1">
        <f t="array" ref="W246">EVAL($AH$12,B246)</f>
        <v>27.569155643239558</v>
      </c>
      <c r="X246" s="15" cm="1">
        <f t="array" ref="X246">EVAL($AH$13,B246)</f>
        <v>0.34842176621944082</v>
      </c>
      <c r="Y246" s="15" cm="1">
        <f t="array" ref="Y246">EVAL($AH$14,B246)</f>
        <v>0.34842176621944082</v>
      </c>
    </row>
    <row r="247" spans="1:25" x14ac:dyDescent="0.25">
      <c r="A247" s="20">
        <v>25.400000000000102</v>
      </c>
      <c r="B247" s="41">
        <f t="shared" si="3"/>
        <v>79.796453401181068</v>
      </c>
      <c r="C247" s="15" cm="1">
        <f t="array" ref="C247">EVAL($AG$6,B247)</f>
        <v>296.51269190411227</v>
      </c>
      <c r="D247" s="15" cm="1">
        <f t="array" ref="D247">EVAL($AG$7,B247)</f>
        <v>3.6313919820532523</v>
      </c>
      <c r="F247" s="15" cm="1">
        <f t="array" ref="F247">EVAL($AG$9,B247)</f>
        <v>1.8152706506836893</v>
      </c>
      <c r="G247" s="15" cm="1">
        <f t="array" ref="G247">EVAL($AG$10,B247)</f>
        <v>1.8152706506836893</v>
      </c>
      <c r="H247" s="15" cm="1">
        <f t="array" ref="H247">EVAL($AG$11,B247)</f>
        <v>1.8152706506836893</v>
      </c>
      <c r="I247" s="15" cm="1">
        <f t="array" ref="I247">EVAL($AG$12,B247)</f>
        <v>1.7569096299600433</v>
      </c>
      <c r="J247" s="15" cm="1">
        <f t="array" ref="J247">EVAL($AG$13,B247)</f>
        <v>111.86501851985768</v>
      </c>
      <c r="K247" s="15" cm="1">
        <f t="array" ref="K247">EVAL($AG$14,B247)</f>
        <v>1.3048525512429354</v>
      </c>
      <c r="L247" s="15" cm="1">
        <f t="array" ref="L247">EVAL($AG$15,B247)</f>
        <v>64.360127696120784</v>
      </c>
      <c r="M247" s="15" cm="1">
        <f t="array" ref="M247">EVAL($AG$16,B247)</f>
        <v>0.85133798537213157</v>
      </c>
      <c r="N247" s="15" cm="1">
        <f t="array" ref="N247">EVAL($AG$17,B247)</f>
        <v>37.878546094247966</v>
      </c>
      <c r="O247" s="15" cm="1">
        <f t="array" ref="O247">EVAL($AG$18,B247)</f>
        <v>9.532511908148647E-3</v>
      </c>
      <c r="P247" s="15" cm="1">
        <f t="array" ref="P247">EVAL($AG$19,B247)</f>
        <v>9.532511908148647E-3</v>
      </c>
      <c r="Q247" s="15" cm="1">
        <f t="array" ref="Q247">EVAL($AH$6,B247)</f>
        <v>1.1121444667593792</v>
      </c>
      <c r="R247" s="15" cm="1">
        <f t="array" ref="R247">EVAL($AH$7,B247)</f>
        <v>1.1121444667593792</v>
      </c>
      <c r="T247" s="15" cm="1">
        <f t="array" ref="T247">EVAL($AH$9,B247)</f>
        <v>0.73636450404030784</v>
      </c>
      <c r="U247" s="15" cm="1">
        <f t="array" ref="U247">EVAL($AH$10,B247)</f>
        <v>0.73636450404030784</v>
      </c>
      <c r="V247" s="15" cm="1">
        <f t="array" ref="V247">EVAL($AH$11,B247)</f>
        <v>0.73636450404030784</v>
      </c>
      <c r="W247" s="15" cm="1">
        <f t="array" ref="W247">EVAL($AH$12,B247)</f>
        <v>27.730385734844806</v>
      </c>
      <c r="X247" s="15" cm="1">
        <f t="array" ref="X247">EVAL($AH$13,B247)</f>
        <v>0.34877985600621425</v>
      </c>
      <c r="Y247" s="15" cm="1">
        <f t="array" ref="Y247">EVAL($AH$14,B247)</f>
        <v>0.34877985600621425</v>
      </c>
    </row>
    <row r="248" spans="1:25" x14ac:dyDescent="0.25">
      <c r="A248" s="20">
        <v>25.500000000000099</v>
      </c>
      <c r="B248" s="41">
        <f t="shared" si="3"/>
        <v>80.110612666540035</v>
      </c>
      <c r="C248" s="15" cm="1">
        <f t="array" ref="C248">EVAL($AG$6,B248)</f>
        <v>297.31944081465991</v>
      </c>
      <c r="D248" s="15" cm="1">
        <f t="array" ref="D248">EVAL($AG$7,B248)</f>
        <v>3.6354094286929248</v>
      </c>
      <c r="F248" s="15" cm="1">
        <f t="array" ref="F248">EVAL($AG$9,B248)</f>
        <v>1.8225326778108313</v>
      </c>
      <c r="G248" s="15" cm="1">
        <f t="array" ref="G248">EVAL($AG$10,B248)</f>
        <v>1.8225326778108313</v>
      </c>
      <c r="H248" s="15" cm="1">
        <f t="array" ref="H248">EVAL($AG$11,B248)</f>
        <v>1.8225326778108313</v>
      </c>
      <c r="I248" s="15" cm="1">
        <f t="array" ref="I248">EVAL($AG$12,B248)</f>
        <v>1.7634406067610737</v>
      </c>
      <c r="J248" s="15" cm="1">
        <f t="array" ref="J248">EVAL($AG$13,B248)</f>
        <v>112.19507815663209</v>
      </c>
      <c r="K248" s="15" cm="1">
        <f t="array" ref="K248">EVAL($AG$14,B248)</f>
        <v>1.3092806581137557</v>
      </c>
      <c r="L248" s="15" cm="1">
        <f t="array" ref="L248">EVAL($AG$15,B248)</f>
        <v>64.514042571667318</v>
      </c>
      <c r="M248" s="15" cm="1">
        <f t="array" ref="M248">EVAL($AG$16,B248)</f>
        <v>0.85304504882637888</v>
      </c>
      <c r="N248" s="15" cm="1">
        <f t="array" ref="N248">EVAL($AG$17,B248)</f>
        <v>37.939379245333228</v>
      </c>
      <c r="O248" s="15" cm="1">
        <f t="array" ref="O248">EVAL($AG$18,B248)</f>
        <v>9.511821287984298E-3</v>
      </c>
      <c r="P248" s="15" cm="1">
        <f t="array" ref="P248">EVAL($AG$19,B248)</f>
        <v>9.511821287984298E-3</v>
      </c>
      <c r="Q248" s="15" cm="1">
        <f t="array" ref="Q248">EVAL($AH$6,B248)</f>
        <v>1.1139520240505036</v>
      </c>
      <c r="R248" s="15" cm="1">
        <f t="array" ref="R248">EVAL($AH$7,B248)</f>
        <v>1.1139520240505036</v>
      </c>
      <c r="T248" s="15" cm="1">
        <f t="array" ref="T248">EVAL($AH$9,B248)</f>
        <v>0.73749552634983406</v>
      </c>
      <c r="U248" s="15" cm="1">
        <f t="array" ref="U248">EVAL($AH$10,B248)</f>
        <v>0.73749552634983406</v>
      </c>
      <c r="V248" s="15" cm="1">
        <f t="array" ref="V248">EVAL($AH$11,B248)</f>
        <v>0.73749552634983406</v>
      </c>
      <c r="W248" s="15" cm="1">
        <f t="array" ref="W248">EVAL($AH$12,B248)</f>
        <v>27.891919657176953</v>
      </c>
      <c r="X248" s="15" cm="1">
        <f t="array" ref="X248">EVAL($AH$13,B248)</f>
        <v>0.34913690461610558</v>
      </c>
      <c r="Y248" s="15" cm="1">
        <f t="array" ref="Y248">EVAL($AH$14,B248)</f>
        <v>0.34913690461610558</v>
      </c>
    </row>
    <row r="249" spans="1:25" x14ac:dyDescent="0.25">
      <c r="A249" s="20">
        <v>25.600000000000101</v>
      </c>
      <c r="B249" s="41">
        <f t="shared" si="3"/>
        <v>80.424771931899016</v>
      </c>
      <c r="C249" s="15" cm="1">
        <f t="array" ref="C249">EVAL($AG$6,B249)</f>
        <v>298.12521430447907</v>
      </c>
      <c r="D249" s="15" cm="1">
        <f t="array" ref="D249">EVAL($AG$7,B249)</f>
        <v>3.6394155699080786</v>
      </c>
      <c r="F249" s="15" cm="1">
        <f t="array" ref="F249">EVAL($AG$9,B249)</f>
        <v>1.829795163458072</v>
      </c>
      <c r="G249" s="15" cm="1">
        <f t="array" ref="G249">EVAL($AG$10,B249)</f>
        <v>1.829795163458072</v>
      </c>
      <c r="H249" s="15" cm="1">
        <f t="array" ref="H249">EVAL($AG$11,B249)</f>
        <v>1.829795163458072</v>
      </c>
      <c r="I249" s="15" cm="1">
        <f t="array" ref="I249">EVAL($AG$12,B249)</f>
        <v>1.7699701571439126</v>
      </c>
      <c r="J249" s="15" cm="1">
        <f t="array" ref="J249">EVAL($AG$13,B249)</f>
        <v>112.52481410454747</v>
      </c>
      <c r="K249" s="15" cm="1">
        <f t="array" ref="K249">EVAL($AG$14,B249)</f>
        <v>1.3137063727102412</v>
      </c>
      <c r="L249" s="15" cm="1">
        <f t="array" ref="L249">EVAL($AG$15,B249)</f>
        <v>64.667720961595535</v>
      </c>
      <c r="M249" s="15" cm="1">
        <f t="array" ref="M249">EVAL($AG$16,B249)</f>
        <v>0.85474883384387768</v>
      </c>
      <c r="N249" s="15" cm="1">
        <f t="array" ref="N249">EVAL($AG$17,B249)</f>
        <v>38.000071426627962</v>
      </c>
      <c r="O249" s="15" cm="1">
        <f t="array" ref="O249">EVAL($AG$18,B249)</f>
        <v>9.4912562953892009E-3</v>
      </c>
      <c r="P249" s="15" cm="1">
        <f t="array" ref="P249">EVAL($AG$19,B249)</f>
        <v>9.4912562953892009E-3</v>
      </c>
      <c r="Q249" s="15" cm="1">
        <f t="array" ref="Q249">EVAL($AH$6,B249)</f>
        <v>1.1157554273089954</v>
      </c>
      <c r="R249" s="15" cm="1">
        <f t="array" ref="R249">EVAL($AH$7,B249)</f>
        <v>1.1157554273089954</v>
      </c>
      <c r="T249" s="15" cm="1">
        <f t="array" ref="T249">EVAL($AH$9,B249)</f>
        <v>0.73862384895594735</v>
      </c>
      <c r="U249" s="15" cm="1">
        <f t="array" ref="U249">EVAL($AH$10,B249)</f>
        <v>0.73862384895594735</v>
      </c>
      <c r="V249" s="15" cm="1">
        <f t="array" ref="V249">EVAL($AH$11,B249)</f>
        <v>0.73862384895594735</v>
      </c>
      <c r="W249" s="15" cm="1">
        <f t="array" ref="W249">EVAL($AH$12,B249)</f>
        <v>28.053756787928421</v>
      </c>
      <c r="X249" s="15" cm="1">
        <f t="array" ref="X249">EVAL($AH$13,B249)</f>
        <v>0.34949291914172848</v>
      </c>
      <c r="Y249" s="15" cm="1">
        <f t="array" ref="Y249">EVAL($AH$14,B249)</f>
        <v>0.34949291914172848</v>
      </c>
    </row>
    <row r="250" spans="1:25" x14ac:dyDescent="0.25">
      <c r="A250" s="20">
        <v>25.700000000000099</v>
      </c>
      <c r="B250" s="41">
        <f t="shared" si="3"/>
        <v>80.738931197257997</v>
      </c>
      <c r="C250" s="15" cm="1">
        <f t="array" ref="C250">EVAL($AG$6,B250)</f>
        <v>298.93001735628764</v>
      </c>
      <c r="D250" s="15" cm="1">
        <f t="array" ref="D250">EVAL($AG$7,B250)</f>
        <v>3.6434104814891706</v>
      </c>
      <c r="F250" s="15" cm="1">
        <f t="array" ref="F250">EVAL($AG$9,B250)</f>
        <v>1.8370581058630895</v>
      </c>
      <c r="G250" s="15" cm="1">
        <f t="array" ref="G250">EVAL($AG$10,B250)</f>
        <v>1.8370581058630895</v>
      </c>
      <c r="H250" s="15" cm="1">
        <f t="array" ref="H250">EVAL($AG$11,B250)</f>
        <v>1.8370581058630895</v>
      </c>
      <c r="I250" s="15" cm="1">
        <f t="array" ref="I250">EVAL($AG$12,B250)</f>
        <v>1.7764982869902533</v>
      </c>
      <c r="J250" s="15" cm="1">
        <f t="array" ref="J250">EVAL($AG$13,B250)</f>
        <v>112.85422794360456</v>
      </c>
      <c r="K250" s="15" cm="1">
        <f t="array" ref="K250">EVAL($AG$14,B250)</f>
        <v>1.3181297056621224</v>
      </c>
      <c r="L250" s="15" cm="1">
        <f t="array" ref="L250">EVAL($AG$15,B250)</f>
        <v>64.821164150910505</v>
      </c>
      <c r="M250" s="15" cm="1">
        <f t="array" ref="M250">EVAL($AG$16,B250)</f>
        <v>0.85644935949055301</v>
      </c>
      <c r="N250" s="15" cm="1">
        <f t="array" ref="N250">EVAL($AG$17,B250)</f>
        <v>38.060623513560337</v>
      </c>
      <c r="O250" s="15" cm="1">
        <f t="array" ref="O250">EVAL($AG$18,B250)</f>
        <v>9.4708156813088987E-3</v>
      </c>
      <c r="P250" s="15" cm="1">
        <f t="array" ref="P250">EVAL($AG$19,B250)</f>
        <v>9.4708156813088987E-3</v>
      </c>
      <c r="Q250" s="15" cm="1">
        <f t="array" ref="Q250">EVAL($AH$6,B250)</f>
        <v>1.1175547022523926</v>
      </c>
      <c r="R250" s="15" cm="1">
        <f t="array" ref="R250">EVAL($AH$7,B250)</f>
        <v>1.1175547022523926</v>
      </c>
      <c r="T250" s="15" cm="1">
        <f t="array" ref="T250">EVAL($AH$9,B250)</f>
        <v>0.73974948881082503</v>
      </c>
      <c r="U250" s="15" cm="1">
        <f t="array" ref="U250">EVAL($AH$10,B250)</f>
        <v>0.73974948881082503</v>
      </c>
      <c r="V250" s="15" cm="1">
        <f t="array" ref="V250">EVAL($AH$11,B250)</f>
        <v>0.73974948881082503</v>
      </c>
      <c r="W250" s="15" cm="1">
        <f t="array" ref="W250">EVAL($AH$12,B250)</f>
        <v>28.215896508494463</v>
      </c>
      <c r="X250" s="15" cm="1">
        <f t="array" ref="X250">EVAL($AH$13,B250)</f>
        <v>0.3498479065999035</v>
      </c>
      <c r="Y250" s="15" cm="1">
        <f t="array" ref="Y250">EVAL($AH$14,B250)</f>
        <v>0.3498479065999035</v>
      </c>
    </row>
    <row r="251" spans="1:25" x14ac:dyDescent="0.25">
      <c r="A251" s="20">
        <v>25.8000000000001</v>
      </c>
      <c r="B251" s="41">
        <f t="shared" si="3"/>
        <v>81.053090462616979</v>
      </c>
      <c r="C251" s="15" cm="1">
        <f t="array" ref="C251">EVAL($AG$6,B251)</f>
        <v>299.73385490807243</v>
      </c>
      <c r="D251" s="15" cm="1">
        <f t="array" ref="D251">EVAL($AG$7,B251)</f>
        <v>3.6473942384260449</v>
      </c>
      <c r="F251" s="15" cm="1">
        <f t="array" ref="F251">EVAL($AG$9,B251)</f>
        <v>1.8443215032771654</v>
      </c>
      <c r="G251" s="15" cm="1">
        <f t="array" ref="G251">EVAL($AG$10,B251)</f>
        <v>1.8443215032771654</v>
      </c>
      <c r="H251" s="15" cm="1">
        <f t="array" ref="H251">EVAL($AG$11,B251)</f>
        <v>1.8443215032771654</v>
      </c>
      <c r="I251" s="15" cm="1">
        <f t="array" ref="I251">EVAL($AG$12,B251)</f>
        <v>1.7830250021347454</v>
      </c>
      <c r="J251" s="15" cm="1">
        <f t="array" ref="J251">EVAL($AG$13,B251)</f>
        <v>113.18332123997671</v>
      </c>
      <c r="K251" s="15" cm="1">
        <f t="array" ref="K251">EVAL($AG$14,B251)</f>
        <v>1.3225506675107317</v>
      </c>
      <c r="L251" s="15" cm="1">
        <f t="array" ref="L251">EVAL($AG$15,B251)</f>
        <v>64.974373412665841</v>
      </c>
      <c r="M251" s="15" cm="1">
        <f t="array" ref="M251">EVAL($AG$16,B251)</f>
        <v>0.85814664464776391</v>
      </c>
      <c r="N251" s="15" cm="1">
        <f t="array" ref="N251">EVAL($AG$17,B251)</f>
        <v>38.121036372740711</v>
      </c>
      <c r="O251" s="15" cm="1">
        <f t="array" ref="O251">EVAL($AG$18,B251)</f>
        <v>9.4504982139050255E-3</v>
      </c>
      <c r="P251" s="15" cm="1">
        <f t="array" ref="P251">EVAL($AG$19,B251)</f>
        <v>9.4504982139050255E-3</v>
      </c>
      <c r="Q251" s="15" cm="1">
        <f t="array" ref="Q251">EVAL($AH$6,B251)</f>
        <v>1.1193498743396817</v>
      </c>
      <c r="R251" s="15" cm="1">
        <f t="array" ref="R251">EVAL($AH$7,B251)</f>
        <v>1.1193498743396817</v>
      </c>
      <c r="T251" s="15" cm="1">
        <f t="array" ref="T251">EVAL($AH$9,B251)</f>
        <v>0.74087246269472629</v>
      </c>
      <c r="U251" s="15" cm="1">
        <f t="array" ref="U251">EVAL($AH$10,B251)</f>
        <v>0.74087246269472629</v>
      </c>
      <c r="V251" s="15" cm="1">
        <f t="array" ref="V251">EVAL($AH$11,B251)</f>
        <v>0.74087246269472629</v>
      </c>
      <c r="W251" s="15" cm="1">
        <f t="array" ref="W251">EVAL($AH$12,B251)</f>
        <v>28.378338203936675</v>
      </c>
      <c r="X251" s="15" cm="1">
        <f t="array" ref="X251">EVAL($AH$13,B251)</f>
        <v>0.35020187393275931</v>
      </c>
      <c r="Y251" s="15" cm="1">
        <f t="array" ref="Y251">EVAL($AH$14,B251)</f>
        <v>0.35020187393275931</v>
      </c>
    </row>
    <row r="252" spans="1:25" x14ac:dyDescent="0.25">
      <c r="A252" s="20">
        <v>25.900000000000102</v>
      </c>
      <c r="B252" s="41">
        <f t="shared" si="3"/>
        <v>81.36724972797596</v>
      </c>
      <c r="C252" s="15" cm="1">
        <f t="array" ref="C252">EVAL($AG$6,B252)</f>
        <v>300.53673185366398</v>
      </c>
      <c r="D252" s="15" cm="1">
        <f t="array" ref="D252">EVAL($AG$7,B252)</f>
        <v>3.651366914919457</v>
      </c>
      <c r="F252" s="15" cm="1">
        <f t="array" ref="F252">EVAL($AG$9,B252)</f>
        <v>1.8515853539650307</v>
      </c>
      <c r="G252" s="15" cm="1">
        <f t="array" ref="G252">EVAL($AG$10,B252)</f>
        <v>1.8515853539650307</v>
      </c>
      <c r="H252" s="15" cm="1">
        <f t="array" ref="H252">EVAL($AG$11,B252)</f>
        <v>1.8515853539650307</v>
      </c>
      <c r="I252" s="15" cm="1">
        <f t="array" ref="I252">EVAL($AG$12,B252)</f>
        <v>1.7895503083655611</v>
      </c>
      <c r="J252" s="15" cm="1">
        <f t="array" ref="J252">EVAL($AG$13,B252)</f>
        <v>113.51209554618433</v>
      </c>
      <c r="K252" s="15" cm="1">
        <f t="array" ref="K252">EVAL($AG$14,B252)</f>
        <v>1.3269692687100796</v>
      </c>
      <c r="L252" s="15" cm="1">
        <f t="array" ref="L252">EVAL($AG$15,B252)</f>
        <v>65.127350008120757</v>
      </c>
      <c r="M252" s="15" cm="1">
        <f t="array" ref="M252">EVAL($AG$16,B252)</f>
        <v>0.8598407080148025</v>
      </c>
      <c r="N252" s="15" cm="1">
        <f t="array" ref="N252">EVAL($AG$17,B252)</f>
        <v>38.181310862084366</v>
      </c>
      <c r="O252" s="15" cm="1">
        <f t="array" ref="O252">EVAL($AG$18,B252)</f>
        <v>9.4303026782523794E-3</v>
      </c>
      <c r="P252" s="15" cm="1">
        <f t="array" ref="P252">EVAL($AG$19,B252)</f>
        <v>9.4303026782523794E-3</v>
      </c>
      <c r="Q252" s="15" cm="1">
        <f t="array" ref="Q252">EVAL($AH$6,B252)</f>
        <v>1.1211409687748863</v>
      </c>
      <c r="R252" s="15" cm="1">
        <f t="array" ref="R252">EVAL($AH$7,B252)</f>
        <v>1.1211409687748863</v>
      </c>
      <c r="T252" s="15" cm="1">
        <f t="array" ref="T252">EVAL($AH$9,B252)</f>
        <v>0.74199278721839534</v>
      </c>
      <c r="U252" s="15" cm="1">
        <f t="array" ref="U252">EVAL($AH$10,B252)</f>
        <v>0.74199278721839534</v>
      </c>
      <c r="V252" s="15" cm="1">
        <f t="array" ref="V252">EVAL($AH$11,B252)</f>
        <v>0.74199278721839534</v>
      </c>
      <c r="W252" s="15" cm="1">
        <f t="array" ref="W252">EVAL($AH$12,B252)</f>
        <v>28.541081262947372</v>
      </c>
      <c r="X252" s="15" cm="1">
        <f t="array" ref="X252">EVAL($AH$13,B252)</f>
        <v>0.35055482800881449</v>
      </c>
      <c r="Y252" s="15" cm="1">
        <f t="array" ref="Y252">EVAL($AH$14,B252)</f>
        <v>0.35055482800881449</v>
      </c>
    </row>
    <row r="253" spans="1:25" x14ac:dyDescent="0.25">
      <c r="A253" s="20">
        <v>26.000000000000099</v>
      </c>
      <c r="B253" s="41">
        <f t="shared" si="3"/>
        <v>81.681408993334927</v>
      </c>
      <c r="C253" s="15" cm="1">
        <f t="array" ref="C253">EVAL($AG$6,B253)</f>
        <v>301.33865304329743</v>
      </c>
      <c r="D253" s="15" cm="1">
        <f t="array" ref="D253">EVAL($AG$7,B253)</f>
        <v>3.6553285843923859</v>
      </c>
      <c r="F253" s="15" cm="1">
        <f t="array" ref="F253">EVAL($AG$9,B253)</f>
        <v>1.8588496562047059</v>
      </c>
      <c r="G253" s="15" cm="1">
        <f t="array" ref="G253">EVAL($AG$10,B253)</f>
        <v>1.8588496562047059</v>
      </c>
      <c r="H253" s="15" cm="1">
        <f t="array" ref="H253">EVAL($AG$11,B253)</f>
        <v>1.8588496562047059</v>
      </c>
      <c r="I253" s="15" cm="1">
        <f t="array" ref="I253">EVAL($AG$12,B253)</f>
        <v>1.7960742114249233</v>
      </c>
      <c r="J253" s="15" cm="1">
        <f t="array" ref="J253">EVAL($AG$13,B253)</f>
        <v>113.8405524012654</v>
      </c>
      <c r="K253" s="15" cm="1">
        <f t="array" ref="K253">EVAL($AG$14,B253)</f>
        <v>1.3313855196279076</v>
      </c>
      <c r="L253" s="15" cm="1">
        <f t="array" ref="L253">EVAL($AG$15,B253)</f>
        <v>65.280095186894115</v>
      </c>
      <c r="M253" s="15" cm="1">
        <f t="array" ref="M253">EVAL($AG$16,B253)</f>
        <v>0.86153156811133946</v>
      </c>
      <c r="N253" s="15" cm="1">
        <f t="array" ref="N253">EVAL($AG$17,B253)</f>
        <v>38.241447830931776</v>
      </c>
      <c r="O253" s="15" cm="1">
        <f t="array" ref="O253">EVAL($AG$18,B253)</f>
        <v>9.4102278760425252E-3</v>
      </c>
      <c r="P253" s="15" cm="1">
        <f t="array" ref="P253">EVAL($AG$19,B253)</f>
        <v>9.4102278760425252E-3</v>
      </c>
      <c r="Q253" s="15" cm="1">
        <f t="array" ref="Q253">EVAL($AH$6,B253)</f>
        <v>1.1229280105105923</v>
      </c>
      <c r="R253" s="15" cm="1">
        <f t="array" ref="R253">EVAL($AH$7,B253)</f>
        <v>1.1229280105105923</v>
      </c>
      <c r="T253" s="15" cm="1">
        <f t="array" ref="T253">EVAL($AH$9,B253)</f>
        <v>0.74311047882541936</v>
      </c>
      <c r="U253" s="15" cm="1">
        <f t="array" ref="U253">EVAL($AH$10,B253)</f>
        <v>0.74311047882541936</v>
      </c>
      <c r="V253" s="15" cm="1">
        <f t="array" ref="V253">EVAL($AH$11,B253)</f>
        <v>0.74311047882541936</v>
      </c>
      <c r="W253" s="15" cm="1">
        <f t="array" ref="W253">EVAL($AH$12,B253)</f>
        <v>28.704125077813892</v>
      </c>
      <c r="X253" s="15" cm="1">
        <f t="array" ref="X253">EVAL($AH$13,B253)</f>
        <v>0.35090677562403755</v>
      </c>
      <c r="Y253" s="15" cm="1">
        <f t="array" ref="Y253">EVAL($AH$14,B253)</f>
        <v>0.35090677562403755</v>
      </c>
    </row>
    <row r="254" spans="1:25" x14ac:dyDescent="0.25">
      <c r="A254" s="20">
        <v>26.100000000000101</v>
      </c>
      <c r="B254" s="41">
        <f t="shared" si="3"/>
        <v>81.995568258693922</v>
      </c>
      <c r="C254" s="15" cm="1">
        <f t="array" ref="C254">EVAL($AG$6,B254)</f>
        <v>302.1396232841708</v>
      </c>
      <c r="D254" s="15" cm="1">
        <f t="array" ref="D254">EVAL($AG$7,B254)</f>
        <v>3.659279319501147</v>
      </c>
      <c r="F254" s="15" cm="1">
        <f t="array" ref="F254">EVAL($AG$9,B254)</f>
        <v>1.8661144082873569</v>
      </c>
      <c r="G254" s="15" cm="1">
        <f t="array" ref="G254">EVAL($AG$10,B254)</f>
        <v>1.8661144082873569</v>
      </c>
      <c r="H254" s="15" cm="1">
        <f t="array" ref="H254">EVAL($AG$11,B254)</f>
        <v>1.8661144082873569</v>
      </c>
      <c r="I254" s="15" cm="1">
        <f t="array" ref="I254">EVAL($AG$12,B254)</f>
        <v>1.8025967170096728</v>
      </c>
      <c r="J254" s="15" cm="1">
        <f t="array" ref="J254">EVAL($AG$13,B254)</f>
        <v>114.16869333094513</v>
      </c>
      <c r="K254" s="15" cm="1">
        <f t="array" ref="K254">EVAL($AG$14,B254)</f>
        <v>1.3357994305467391</v>
      </c>
      <c r="L254" s="15" cm="1">
        <f t="array" ref="L254">EVAL($AG$15,B254)</f>
        <v>65.432610187116666</v>
      </c>
      <c r="M254" s="15" cm="1">
        <f t="array" ref="M254">EVAL($AG$16,B254)</f>
        <v>0.86321924327983723</v>
      </c>
      <c r="N254" s="15" cm="1">
        <f t="array" ref="N254">EVAL($AG$17,B254)</f>
        <v>38.301448120167144</v>
      </c>
      <c r="O254" s="15" cm="1">
        <f t="array" ref="O254">EVAL($AG$18,B254)</f>
        <v>9.3902726252936292E-3</v>
      </c>
      <c r="P254" s="15" cm="1">
        <f t="array" ref="P254">EVAL($AG$19,B254)</f>
        <v>9.3902726252936292E-3</v>
      </c>
      <c r="Q254" s="15" cm="1">
        <f t="array" ref="Q254">EVAL($AH$6,B254)</f>
        <v>1.1247110242514178</v>
      </c>
      <c r="R254" s="15" cm="1">
        <f t="array" ref="R254">EVAL($AH$7,B254)</f>
        <v>1.1247110242514178</v>
      </c>
      <c r="T254" s="15" cm="1">
        <f t="array" ref="T254">EVAL($AH$9,B254)</f>
        <v>0.7442255537945488</v>
      </c>
      <c r="U254" s="15" cm="1">
        <f t="array" ref="U254">EVAL($AH$10,B254)</f>
        <v>0.7442255537945488</v>
      </c>
      <c r="V254" s="15" cm="1">
        <f t="array" ref="V254">EVAL($AH$11,B254)</f>
        <v>0.7442255537945488</v>
      </c>
      <c r="W254" s="15" cm="1">
        <f t="array" ref="W254">EVAL($AH$12,B254)</f>
        <v>28.867469044384105</v>
      </c>
      <c r="X254" s="15" cm="1">
        <f t="array" ref="X254">EVAL($AH$13,B254)</f>
        <v>0.35125772350289047</v>
      </c>
      <c r="Y254" s="15" cm="1">
        <f t="array" ref="Y254">EVAL($AH$14,B254)</f>
        <v>0.35125772350289047</v>
      </c>
    </row>
    <row r="255" spans="1:25" x14ac:dyDescent="0.25">
      <c r="A255" s="20">
        <v>26.200000000000099</v>
      </c>
      <c r="B255" s="41">
        <f t="shared" si="3"/>
        <v>82.309727524052889</v>
      </c>
      <c r="C255" s="15" cm="1">
        <f t="array" ref="C255">EVAL($AG$6,B255)</f>
        <v>302.93964734098626</v>
      </c>
      <c r="D255" s="15" cm="1">
        <f t="array" ref="D255">EVAL($AG$7,B255)</f>
        <v>3.6632191921462915</v>
      </c>
      <c r="F255" s="15" cm="1">
        <f t="array" ref="F255">EVAL($AG$9,B255)</f>
        <v>1.8733796085171359</v>
      </c>
      <c r="G255" s="15" cm="1">
        <f t="array" ref="G255">EVAL($AG$10,B255)</f>
        <v>1.8733796085171359</v>
      </c>
      <c r="H255" s="15" cm="1">
        <f t="array" ref="H255">EVAL($AG$11,B255)</f>
        <v>1.8733796085171359</v>
      </c>
      <c r="I255" s="15" cm="1">
        <f t="array" ref="I255">EVAL($AG$12,B255)</f>
        <v>1.8091178307717735</v>
      </c>
      <c r="J255" s="15" cm="1">
        <f t="array" ref="J255">EVAL($AG$13,B255)</f>
        <v>114.49651984780044</v>
      </c>
      <c r="K255" s="15" cm="1">
        <f t="array" ref="K255">EVAL($AG$14,B255)</f>
        <v>1.34021101166489</v>
      </c>
      <c r="L255" s="15" cm="1">
        <f t="array" ref="L255">EVAL($AG$15,B255)</f>
        <v>65.584896235579762</v>
      </c>
      <c r="M255" s="15" cm="1">
        <f t="array" ref="M255">EVAL($AG$16,B255)</f>
        <v>0.86490375168791611</v>
      </c>
      <c r="N255" s="15" cm="1">
        <f t="array" ref="N255">EVAL($AG$17,B255)</f>
        <v>38.36131256233439</v>
      </c>
      <c r="O255" s="15" cm="1">
        <f t="array" ref="O255">EVAL($AG$18,B255)</f>
        <v>9.3704357600665391E-3</v>
      </c>
      <c r="P255" s="15" cm="1">
        <f t="array" ref="P255">EVAL($AG$19,B255)</f>
        <v>9.3704357600665391E-3</v>
      </c>
      <c r="Q255" s="15" cm="1">
        <f t="array" ref="Q255">EVAL($AH$6,B255)</f>
        <v>1.1264900344574111</v>
      </c>
      <c r="R255" s="15" cm="1">
        <f t="array" ref="R255">EVAL($AH$7,B255)</f>
        <v>1.1264900344574111</v>
      </c>
      <c r="T255" s="15" cm="1">
        <f t="array" ref="T255">EVAL($AH$9,B255)</f>
        <v>0.74533802824197126</v>
      </c>
      <c r="U255" s="15" cm="1">
        <f t="array" ref="U255">EVAL($AH$10,B255)</f>
        <v>0.74533802824197126</v>
      </c>
      <c r="V255" s="15" cm="1">
        <f t="array" ref="V255">EVAL($AH$11,B255)</f>
        <v>0.74533802824197126</v>
      </c>
      <c r="W255" s="15" cm="1">
        <f t="array" ref="W255">EVAL($AH$12,B255)</f>
        <v>29.031112562031574</v>
      </c>
      <c r="X255" s="15" cm="1">
        <f t="array" ref="X255">EVAL($AH$13,B255)</f>
        <v>0.35160767829935047</v>
      </c>
      <c r="Y255" s="15" cm="1">
        <f t="array" ref="Y255">EVAL($AH$14,B255)</f>
        <v>0.35160767829935047</v>
      </c>
    </row>
    <row r="256" spans="1:25" x14ac:dyDescent="0.25">
      <c r="A256" s="20">
        <v>26.3000000000001</v>
      </c>
      <c r="B256" s="41">
        <f t="shared" si="3"/>
        <v>82.62388678941187</v>
      </c>
      <c r="C256" s="15" cm="1">
        <f t="array" ref="C256">EVAL($AG$6,B256)</f>
        <v>303.73872993648922</v>
      </c>
      <c r="D256" s="15" cm="1">
        <f t="array" ref="D256">EVAL($AG$7,B256)</f>
        <v>3.6671482734833276</v>
      </c>
      <c r="F256" s="15" cm="1">
        <f t="array" ref="F256">EVAL($AG$9,B256)</f>
        <v>1.8806452552110344</v>
      </c>
      <c r="G256" s="15" cm="1">
        <f t="array" ref="G256">EVAL($AG$10,B256)</f>
        <v>1.8806452552110344</v>
      </c>
      <c r="H256" s="15" cm="1">
        <f t="array" ref="H256">EVAL($AG$11,B256)</f>
        <v>1.8806452552110344</v>
      </c>
      <c r="I256" s="15" cm="1">
        <f t="array" ref="I256">EVAL($AG$12,B256)</f>
        <v>1.815637558318856</v>
      </c>
      <c r="J256" s="15" cm="1">
        <f t="array" ref="J256">EVAL($AG$13,B256)</f>
        <v>114.82403345142374</v>
      </c>
      <c r="K256" s="15" cm="1">
        <f t="array" ref="K256">EVAL($AG$14,B256)</f>
        <v>1.3446202730974883</v>
      </c>
      <c r="L256" s="15" cm="1">
        <f t="array" ref="L256">EVAL($AG$15,B256)</f>
        <v>65.736954547882277</v>
      </c>
      <c r="M256" s="15" cm="1">
        <f t="array" ref="M256">EVAL($AG$16,B256)</f>
        <v>0.8665851113306795</v>
      </c>
      <c r="N256" s="15" cm="1">
        <f t="array" ref="N256">EVAL($AG$17,B256)</f>
        <v>38.42104198175155</v>
      </c>
      <c r="O256" s="15" cm="1">
        <f t="array" ref="O256">EVAL($AG$18,B256)</f>
        <v>9.3507161301867887E-3</v>
      </c>
      <c r="P256" s="15" cm="1">
        <f t="array" ref="P256">EVAL($AG$19,B256)</f>
        <v>9.3507161301867887E-3</v>
      </c>
      <c r="Q256" s="15" cm="1">
        <f t="array" ref="Q256">EVAL($AH$6,B256)</f>
        <v>1.1282650653473973</v>
      </c>
      <c r="R256" s="15" cm="1">
        <f t="array" ref="R256">EVAL($AH$7,B256)</f>
        <v>1.1282650653473973</v>
      </c>
      <c r="T256" s="15" cm="1">
        <f t="array" ref="T256">EVAL($AH$9,B256)</f>
        <v>0.74644791812355094</v>
      </c>
      <c r="U256" s="15" cm="1">
        <f t="array" ref="U256">EVAL($AH$10,B256)</f>
        <v>0.74644791812355094</v>
      </c>
      <c r="V256" s="15" cm="1">
        <f t="array" ref="V256">EVAL($AH$11,B256)</f>
        <v>0.74644791812355094</v>
      </c>
      <c r="W256" s="15" cm="1">
        <f t="array" ref="W256">EVAL($AH$12,B256)</f>
        <v>29.195055033621699</v>
      </c>
      <c r="X256" s="15" cm="1">
        <f t="array" ref="X256">EVAL($AH$13,B256)</f>
        <v>0.35195664659791537</v>
      </c>
      <c r="Y256" s="15" cm="1">
        <f t="array" ref="Y256">EVAL($AH$14,B256)</f>
        <v>0.35195664659791537</v>
      </c>
    </row>
    <row r="257" spans="1:25" x14ac:dyDescent="0.25">
      <c r="A257" s="20">
        <v>26.400000000000102</v>
      </c>
      <c r="B257" s="41">
        <f t="shared" si="3"/>
        <v>82.938046054770851</v>
      </c>
      <c r="C257" s="15" cm="1">
        <f t="array" ref="C257">EVAL($AG$6,B257)</f>
        <v>304.53687575199444</v>
      </c>
      <c r="D257" s="15" cm="1">
        <f t="array" ref="D257">EVAL($AG$7,B257)</f>
        <v>3.6710666339332332</v>
      </c>
      <c r="F257" s="15" cm="1">
        <f t="array" ref="F257">EVAL($AG$9,B257)</f>
        <v>1.8879113466987403</v>
      </c>
      <c r="G257" s="15" cm="1">
        <f t="array" ref="G257">EVAL($AG$10,B257)</f>
        <v>1.8879113466987403</v>
      </c>
      <c r="H257" s="15" cm="1">
        <f t="array" ref="H257">EVAL($AG$11,B257)</f>
        <v>1.8879113466987403</v>
      </c>
      <c r="I257" s="15" cm="1">
        <f t="array" ref="I257">EVAL($AG$12,B257)</f>
        <v>1.8221559052147134</v>
      </c>
      <c r="J257" s="15" cm="1">
        <f t="array" ref="J257">EVAL($AG$13,B257)</f>
        <v>115.15123562858295</v>
      </c>
      <c r="K257" s="15" cm="1">
        <f t="array" ref="K257">EVAL($AG$14,B257)</f>
        <v>1.3490272248774577</v>
      </c>
      <c r="L257" s="15" cm="1">
        <f t="array" ref="L257">EVAL($AG$15,B257)</f>
        <v>65.888786328574923</v>
      </c>
      <c r="M257" s="15" cm="1">
        <f t="array" ref="M257">EVAL($AG$16,B257)</f>
        <v>0.86826334003300376</v>
      </c>
      <c r="N257" s="15" cm="1">
        <f t="array" ref="N257">EVAL($AG$17,B257)</f>
        <v>38.480637194622865</v>
      </c>
      <c r="O257" s="15" cm="1">
        <f t="array" ref="O257">EVAL($AG$18,B257)</f>
        <v>9.3311126009725139E-3</v>
      </c>
      <c r="P257" s="15" cm="1">
        <f t="array" ref="P257">EVAL($AG$19,B257)</f>
        <v>9.3311126009725139E-3</v>
      </c>
      <c r="Q257" s="15" cm="1">
        <f t="array" ref="Q257">EVAL($AH$6,B257)</f>
        <v>1.130036140902265</v>
      </c>
      <c r="R257" s="15" cm="1">
        <f t="array" ref="R257">EVAL($AH$7,B257)</f>
        <v>1.130036140902265</v>
      </c>
      <c r="T257" s="15" cm="1">
        <f t="array" ref="T257">EVAL($AH$9,B257)</f>
        <v>0.74755523923702449</v>
      </c>
      <c r="U257" s="15" cm="1">
        <f t="array" ref="U257">EVAL($AH$10,B257)</f>
        <v>0.74755523923702449</v>
      </c>
      <c r="V257" s="15" cm="1">
        <f t="array" ref="V257">EVAL($AH$11,B257)</f>
        <v>0.74755523923702449</v>
      </c>
      <c r="W257" s="15" cm="1">
        <f t="array" ref="W257">EVAL($AH$12,B257)</f>
        <v>29.359295865478373</v>
      </c>
      <c r="X257" s="15" cm="1">
        <f t="array" ref="X257">EVAL($AH$13,B257)</f>
        <v>0.35230463491458996</v>
      </c>
      <c r="Y257" s="15" cm="1">
        <f t="array" ref="Y257">EVAL($AH$14,B257)</f>
        <v>0.35230463491458996</v>
      </c>
    </row>
    <row r="258" spans="1:25" x14ac:dyDescent="0.25">
      <c r="A258" s="20">
        <v>26.500000000000099</v>
      </c>
      <c r="B258" s="41">
        <f t="shared" si="3"/>
        <v>83.252205320129832</v>
      </c>
      <c r="C258" s="15" cm="1">
        <f t="array" ref="C258">EVAL($AG$6,B258)</f>
        <v>305.33408942790578</v>
      </c>
      <c r="D258" s="15" cm="1">
        <f t="array" ref="D258">EVAL($AG$7,B258)</f>
        <v>3.6749743431927953</v>
      </c>
      <c r="F258" s="15" cm="1">
        <f t="array" ref="F258">EVAL($AG$9,B258)</f>
        <v>1.8951778813224986</v>
      </c>
      <c r="G258" s="15" cm="1">
        <f t="array" ref="G258">EVAL($AG$10,B258)</f>
        <v>1.8951778813224986</v>
      </c>
      <c r="H258" s="15" cm="1">
        <f t="array" ref="H258">EVAL($AG$11,B258)</f>
        <v>1.8951778813224986</v>
      </c>
      <c r="I258" s="15" cm="1">
        <f t="array" ref="I258">EVAL($AG$12,B258)</f>
        <v>1.8286728769798315</v>
      </c>
      <c r="J258" s="15" cm="1">
        <f t="array" ref="J258">EVAL($AG$13,B258)</f>
        <v>115.47812785337958</v>
      </c>
      <c r="K258" s="15" cm="1">
        <f t="array" ref="K258">EVAL($AG$14,B258)</f>
        <v>1.3534318769565037</v>
      </c>
      <c r="L258" s="15" cm="1">
        <f t="array" ref="L258">EVAL($AG$15,B258)</f>
        <v>66.040392771301981</v>
      </c>
      <c r="M258" s="15" cm="1">
        <f t="array" ref="M258">EVAL($AG$16,B258)</f>
        <v>0.86993845545178605</v>
      </c>
      <c r="N258" s="15" cm="1">
        <f t="array" ref="N258">EVAL($AG$17,B258)</f>
        <v>38.540099009149124</v>
      </c>
      <c r="O258" s="15" cm="1">
        <f t="array" ref="O258">EVAL($AG$18,B258)</f>
        <v>9.3116240529680077E-3</v>
      </c>
      <c r="P258" s="15" cm="1">
        <f t="array" ref="P258">EVAL($AG$19,B258)</f>
        <v>9.3116240529680077E-3</v>
      </c>
      <c r="Q258" s="15" cm="1">
        <f t="array" ref="Q258">EVAL($AH$6,B258)</f>
        <v>1.1318032848681958</v>
      </c>
      <c r="R258" s="15" cm="1">
        <f t="array" ref="R258">EVAL($AH$7,B258)</f>
        <v>1.1318032848681958</v>
      </c>
      <c r="T258" s="15" cm="1">
        <f t="array" ref="T258">EVAL($AH$9,B258)</f>
        <v>0.74866000722416259</v>
      </c>
      <c r="U258" s="15" cm="1">
        <f t="array" ref="U258">EVAL($AH$10,B258)</f>
        <v>0.74866000722416259</v>
      </c>
      <c r="V258" s="15" cm="1">
        <f t="array" ref="V258">EVAL($AH$11,B258)</f>
        <v>0.74866000722416259</v>
      </c>
      <c r="W258" s="15" cm="1">
        <f t="array" ref="W258">EVAL($AH$12,B258)</f>
        <v>29.523834467350767</v>
      </c>
      <c r="X258" s="15" cm="1">
        <f t="array" ref="X258">EVAL($AH$13,B258)</f>
        <v>0.35265164969785484</v>
      </c>
      <c r="Y258" s="15" cm="1">
        <f t="array" ref="Y258">EVAL($AH$14,B258)</f>
        <v>0.35265164969785484</v>
      </c>
    </row>
    <row r="259" spans="1:25" x14ac:dyDescent="0.25">
      <c r="A259" s="20">
        <v>26.600000000000101</v>
      </c>
      <c r="B259" s="41">
        <f t="shared" si="3"/>
        <v>83.566364585488813</v>
      </c>
      <c r="C259" s="15" cm="1">
        <f t="array" ref="C259">EVAL($AG$6,B259)</f>
        <v>306.13037556422597</v>
      </c>
      <c r="D259" s="15" cm="1">
        <f t="array" ref="D259">EVAL($AG$7,B259)</f>
        <v>3.6788714702447529</v>
      </c>
      <c r="F259" s="15" cm="1">
        <f t="array" ref="F259">EVAL($AG$9,B259)</f>
        <v>1.9024448574369621</v>
      </c>
      <c r="G259" s="15" cm="1">
        <f t="array" ref="G259">EVAL($AG$10,B259)</f>
        <v>1.9024448574369621</v>
      </c>
      <c r="H259" s="15" cm="1">
        <f t="array" ref="H259">EVAL($AG$11,B259)</f>
        <v>1.9024448574369621</v>
      </c>
      <c r="I259" s="15" cm="1">
        <f t="array" ref="I259">EVAL($AG$12,B259)</f>
        <v>1.8351884790918671</v>
      </c>
      <c r="J259" s="15" cm="1">
        <f t="array" ref="J259">EVAL($AG$13,B259)</f>
        <v>115.80471158740383</v>
      </c>
      <c r="K259" s="15" cm="1">
        <f t="array" ref="K259">EVAL($AG$14,B259)</f>
        <v>1.3578342392060665</v>
      </c>
      <c r="L259" s="15" cm="1">
        <f t="array" ref="L259">EVAL($AG$15,B259)</f>
        <v>66.19177505894082</v>
      </c>
      <c r="M259" s="15" cm="1">
        <f t="array" ref="M259">EVAL($AG$16,B259)</f>
        <v>0.87161047507815304</v>
      </c>
      <c r="N259" s="15" cm="1">
        <f t="array" ref="N259">EVAL($AG$17,B259)</f>
        <v>38.599428225635961</v>
      </c>
      <c r="O259" s="15" cm="1">
        <f t="array" ref="O259">EVAL($AG$18,B259)</f>
        <v>9.2922493816829151E-3</v>
      </c>
      <c r="P259" s="15" cm="1">
        <f t="array" ref="P259">EVAL($AG$19,B259)</f>
        <v>9.2922493816829151E-3</v>
      </c>
      <c r="Q259" s="15" cm="1">
        <f t="array" ref="Q259">EVAL($AH$6,B259)</f>
        <v>1.1335665207598349</v>
      </c>
      <c r="R259" s="15" cm="1">
        <f t="array" ref="R259">EVAL($AH$7,B259)</f>
        <v>1.1335665207598349</v>
      </c>
      <c r="T259" s="15" cm="1">
        <f t="array" ref="T259">EVAL($AH$9,B259)</f>
        <v>0.74976223757288951</v>
      </c>
      <c r="U259" s="15" cm="1">
        <f t="array" ref="U259">EVAL($AH$10,B259)</f>
        <v>0.74976223757288951</v>
      </c>
      <c r="V259" s="15" cm="1">
        <f t="array" ref="V259">EVAL($AH$11,B259)</f>
        <v>0.74976223757288951</v>
      </c>
      <c r="W259" s="15" cm="1">
        <f t="array" ref="W259">EVAL($AH$12,B259)</f>
        <v>29.6886702523807</v>
      </c>
      <c r="X259" s="15" cm="1">
        <f t="array" ref="X259">EVAL($AH$13,B259)</f>
        <v>0.35299769732961811</v>
      </c>
      <c r="Y259" s="15" cm="1">
        <f t="array" ref="Y259">EVAL($AH$14,B259)</f>
        <v>0.35299769732961811</v>
      </c>
    </row>
    <row r="260" spans="1:25" x14ac:dyDescent="0.25">
      <c r="A260" s="20">
        <v>26.700000000000099</v>
      </c>
      <c r="B260" s="41">
        <f t="shared" ref="B260:B323" si="4">A260*PI()</f>
        <v>83.88052385084778</v>
      </c>
      <c r="C260" s="15" cm="1">
        <f t="array" ref="C260">EVAL($AG$6,B260)</f>
        <v>306.92573872105982</v>
      </c>
      <c r="D260" s="15" cm="1">
        <f t="array" ref="D260">EVAL($AG$7,B260)</f>
        <v>3.6827580833677698</v>
      </c>
      <c r="F260" s="15" cm="1">
        <f t="array" ref="F260">EVAL($AG$9,B260)</f>
        <v>1.9097122734090579</v>
      </c>
      <c r="G260" s="15" cm="1">
        <f t="array" ref="G260">EVAL($AG$10,B260)</f>
        <v>1.9097122734090579</v>
      </c>
      <c r="H260" s="15" cm="1">
        <f t="array" ref="H260">EVAL($AG$11,B260)</f>
        <v>1.9097122734090579</v>
      </c>
      <c r="I260" s="15" cm="1">
        <f t="array" ref="I260">EVAL($AG$12,B260)</f>
        <v>1.8417027169861566</v>
      </c>
      <c r="J260" s="15" cm="1">
        <f t="array" ref="J260">EVAL($AG$13,B260)</f>
        <v>116.1309882798877</v>
      </c>
      <c r="K260" s="15" cm="1">
        <f t="array" ref="K260">EVAL($AG$14,B260)</f>
        <v>1.3622343214182739</v>
      </c>
      <c r="L260" s="15" cm="1">
        <f t="array" ref="L260">EVAL($AG$15,B260)</f>
        <v>66.342934363739275</v>
      </c>
      <c r="M260" s="15" cm="1">
        <f t="array" ref="M260">EVAL($AG$16,B260)</f>
        <v>0.87327941623963756</v>
      </c>
      <c r="N260" s="15" cm="1">
        <f t="array" ref="N260">EVAL($AG$17,B260)</f>
        <v>38.658625636600412</v>
      </c>
      <c r="O260" s="15" cm="1">
        <f t="array" ref="O260">EVAL($AG$18,B260)</f>
        <v>9.2729874973368088E-3</v>
      </c>
      <c r="P260" s="15" cm="1">
        <f t="array" ref="P260">EVAL($AG$19,B260)</f>
        <v>9.2729874973368088E-3</v>
      </c>
      <c r="Q260" s="15" cm="1">
        <f t="array" ref="Q260">EVAL($AH$6,B260)</f>
        <v>1.1353258718634138</v>
      </c>
      <c r="R260" s="15" cm="1">
        <f t="array" ref="R260">EVAL($AH$7,B260)</f>
        <v>1.1353258718634138</v>
      </c>
      <c r="T260" s="15" cm="1">
        <f t="array" ref="T260">EVAL($AH$9,B260)</f>
        <v>0.75086194561937059</v>
      </c>
      <c r="U260" s="15" cm="1">
        <f t="array" ref="U260">EVAL($AH$10,B260)</f>
        <v>0.75086194561937059</v>
      </c>
      <c r="V260" s="15" cm="1">
        <f t="array" ref="V260">EVAL($AH$11,B260)</f>
        <v>0.75086194561937059</v>
      </c>
      <c r="W260" s="15" cm="1">
        <f t="array" ref="W260">EVAL($AH$12,B260)</f>
        <v>29.853802637070626</v>
      </c>
      <c r="X260" s="15" cm="1">
        <f t="array" ref="X260">EVAL($AH$13,B260)</f>
        <v>0.35334278412614994</v>
      </c>
      <c r="Y260" s="15" cm="1">
        <f t="array" ref="Y260">EVAL($AH$14,B260)</f>
        <v>0.35334278412614994</v>
      </c>
    </row>
    <row r="261" spans="1:25" x14ac:dyDescent="0.25">
      <c r="A261" s="20">
        <v>26.8000000000001</v>
      </c>
      <c r="B261" s="41">
        <f t="shared" si="4"/>
        <v>84.194683116206775</v>
      </c>
      <c r="C261" s="15" cm="1">
        <f t="array" ref="C261">EVAL($AG$6,B261)</f>
        <v>307.7201834191066</v>
      </c>
      <c r="D261" s="15" cm="1">
        <f t="array" ref="D261">EVAL($AG$7,B261)</f>
        <v>3.6866342501462204</v>
      </c>
      <c r="F261" s="15" cm="1">
        <f t="array" ref="F261">EVAL($AG$9,B261)</f>
        <v>1.916980127617842</v>
      </c>
      <c r="G261" s="15" cm="1">
        <f t="array" ref="G261">EVAL($AG$10,B261)</f>
        <v>1.916980127617842</v>
      </c>
      <c r="H261" s="15" cm="1">
        <f t="array" ref="H261">EVAL($AG$11,B261)</f>
        <v>1.916980127617842</v>
      </c>
      <c r="I261" s="15" cm="1">
        <f t="array" ref="I261">EVAL($AG$12,B261)</f>
        <v>1.8482155960561804</v>
      </c>
      <c r="J261" s="15" cm="1">
        <f t="array" ref="J261">EVAL($AG$13,B261)</f>
        <v>116.45695936785467</v>
      </c>
      <c r="K261" s="15" cm="1">
        <f t="array" ref="K261">EVAL($AG$14,B261)</f>
        <v>1.3666321333068661</v>
      </c>
      <c r="L261" s="15" cm="1">
        <f t="array" ref="L261">EVAL($AG$15,B261)</f>
        <v>66.493871847450208</v>
      </c>
      <c r="M261" s="15" cm="1">
        <f t="array" ref="M261">EVAL($AG$16,B261)</f>
        <v>0.8749452961023102</v>
      </c>
      <c r="N261" s="15" cm="1">
        <f t="array" ref="N261">EVAL($AG$17,B261)</f>
        <v>38.717692026875433</v>
      </c>
      <c r="O261" s="15" cm="1">
        <f t="array" ref="O261">EVAL($AG$18,B261)</f>
        <v>9.2538373246090835E-3</v>
      </c>
      <c r="P261" s="15" cm="1">
        <f t="array" ref="P261">EVAL($AG$19,B261)</f>
        <v>9.2538373246090835E-3</v>
      </c>
      <c r="Q261" s="15" cm="1">
        <f t="array" ref="Q261">EVAL($AH$6,B261)</f>
        <v>1.1370813612398103</v>
      </c>
      <c r="R261" s="15" cm="1">
        <f t="array" ref="R261">EVAL($AH$7,B261)</f>
        <v>1.1370813612398103</v>
      </c>
      <c r="T261" s="15" cm="1">
        <f t="array" ref="T261">EVAL($AH$9,B261)</f>
        <v>0.75195914655005902</v>
      </c>
      <c r="U261" s="15" cm="1">
        <f t="array" ref="U261">EVAL($AH$10,B261)</f>
        <v>0.75195914655005902</v>
      </c>
      <c r="V261" s="15" cm="1">
        <f t="array" ref="V261">EVAL($AH$11,B261)</f>
        <v>0.75195914655005902</v>
      </c>
      <c r="W261" s="15" cm="1">
        <f t="array" ref="W261">EVAL($AH$12,B261)</f>
        <v>30.019231041251462</v>
      </c>
      <c r="X261" s="15" cm="1">
        <f t="array" ref="X261">EVAL($AH$13,B261)</f>
        <v>0.35368691633900035</v>
      </c>
      <c r="Y261" s="15" cm="1">
        <f t="array" ref="Y261">EVAL($AH$14,B261)</f>
        <v>0.35368691633900035</v>
      </c>
    </row>
    <row r="262" spans="1:25" x14ac:dyDescent="0.25">
      <c r="A262" s="20">
        <v>26.900000000000102</v>
      </c>
      <c r="B262" s="41">
        <f t="shared" si="4"/>
        <v>84.508842381565756</v>
      </c>
      <c r="C262" s="15" cm="1">
        <f t="array" ref="C262">EVAL($AG$6,B262)</f>
        <v>308.51371414014801</v>
      </c>
      <c r="D262" s="15" cm="1">
        <f t="array" ref="D262">EVAL($AG$7,B262)</f>
        <v>3.6905000374798216</v>
      </c>
      <c r="F262" s="15" cm="1">
        <f t="array" ref="F262">EVAL($AG$9,B262)</f>
        <v>1.924248418454376</v>
      </c>
      <c r="G262" s="15" cm="1">
        <f t="array" ref="G262">EVAL($AG$10,B262)</f>
        <v>1.924248418454376</v>
      </c>
      <c r="H262" s="15" cm="1">
        <f t="array" ref="H262">EVAL($AG$11,B262)</f>
        <v>1.924248418454376</v>
      </c>
      <c r="I262" s="15" cm="1">
        <f t="array" ref="I262">EVAL($AG$12,B262)</f>
        <v>1.8547271216540635</v>
      </c>
      <c r="J262" s="15" cm="1">
        <f t="array" ref="J262">EVAL($AG$13,B262)</f>
        <v>116.7826262762684</v>
      </c>
      <c r="K262" s="15" cm="1">
        <f t="array" ref="K262">EVAL($AG$14,B262)</f>
        <v>1.3710276845081215</v>
      </c>
      <c r="L262" s="15" cm="1">
        <f t="array" ref="L262">EVAL($AG$15,B262)</f>
        <v>66.644588661464667</v>
      </c>
      <c r="M262" s="15" cm="1">
        <f t="array" ref="M262">EVAL($AG$16,B262)</f>
        <v>0.87660813167288354</v>
      </c>
      <c r="N262" s="15" cm="1">
        <f t="array" ref="N262">EVAL($AG$17,B262)</f>
        <v>38.776628173712922</v>
      </c>
      <c r="O262" s="15" cm="1">
        <f t="array" ref="O262">EVAL($AG$18,B262)</f>
        <v>9.2347978023939944E-3</v>
      </c>
      <c r="P262" s="15" cm="1">
        <f t="array" ref="P262">EVAL($AG$19,B262)</f>
        <v>9.2347978023939944E-3</v>
      </c>
      <c r="Q262" s="15" cm="1">
        <f t="array" ref="Q262">EVAL($AH$6,B262)</f>
        <v>1.1388330117275651</v>
      </c>
      <c r="R262" s="15" cm="1">
        <f t="array" ref="R262">EVAL($AH$7,B262)</f>
        <v>1.1388330117275651</v>
      </c>
      <c r="T262" s="15" cm="1">
        <f t="array" ref="T262">EVAL($AH$9,B262)</f>
        <v>0.75305385540371184</v>
      </c>
      <c r="U262" s="15" cm="1">
        <f t="array" ref="U262">EVAL($AH$10,B262)</f>
        <v>0.75305385540371184</v>
      </c>
      <c r="V262" s="15" cm="1">
        <f t="array" ref="V262">EVAL($AH$11,B262)</f>
        <v>0.75305385540371184</v>
      </c>
      <c r="W262" s="15" cm="1">
        <f t="array" ref="W262">EVAL($AH$12,B262)</f>
        <v>30.184954888051777</v>
      </c>
      <c r="X262" s="15" cm="1">
        <f t="array" ref="X262">EVAL($AH$13,B262)</f>
        <v>0.35403010015590147</v>
      </c>
      <c r="Y262" s="15" cm="1">
        <f t="array" ref="Y262">EVAL($AH$14,B262)</f>
        <v>0.35403010015590147</v>
      </c>
    </row>
    <row r="263" spans="1:25" x14ac:dyDescent="0.25">
      <c r="A263" s="20">
        <v>27.000000000000099</v>
      </c>
      <c r="B263" s="41">
        <f t="shared" si="4"/>
        <v>84.823001646924723</v>
      </c>
      <c r="C263" s="15" cm="1">
        <f t="array" ref="C263">EVAL($AG$6,B263)</f>
        <v>309.30633532752586</v>
      </c>
      <c r="D263" s="15" cm="1">
        <f t="array" ref="D263">EVAL($AG$7,B263)</f>
        <v>3.6943555115930722</v>
      </c>
      <c r="F263" s="15" cm="1">
        <f t="array" ref="F263">EVAL($AG$9,B263)</f>
        <v>1.9315171443215848</v>
      </c>
      <c r="G263" s="15" cm="1">
        <f t="array" ref="G263">EVAL($AG$10,B263)</f>
        <v>1.9315171443215848</v>
      </c>
      <c r="H263" s="15" cm="1">
        <f t="array" ref="H263">EVAL($AG$11,B263)</f>
        <v>1.9315171443215848</v>
      </c>
      <c r="I263" s="15" cm="1">
        <f t="array" ref="I263">EVAL($AG$12,B263)</f>
        <v>1.861237299091028</v>
      </c>
      <c r="J263" s="15" cm="1">
        <f t="array" ref="J263">EVAL($AG$13,B263)</f>
        <v>117.10799041817805</v>
      </c>
      <c r="K263" s="15" cm="1">
        <f t="array" ref="K263">EVAL($AG$14,B263)</f>
        <v>1.375420984581754</v>
      </c>
      <c r="L263" s="15" cm="1">
        <f t="array" ref="L263">EVAL($AG$15,B263)</f>
        <v>66.79508594694218</v>
      </c>
      <c r="M263" s="15" cm="1">
        <f t="array" ref="M263">EVAL($AG$16,B263)</f>
        <v>0.87826793980077822</v>
      </c>
      <c r="N263" s="15" cm="1">
        <f t="array" ref="N263">EVAL($AG$17,B263)</f>
        <v>38.835434846884716</v>
      </c>
      <c r="O263" s="15" cm="1">
        <f t="array" ref="O263">EVAL($AG$18,B263)</f>
        <v>9.2158678835607809E-3</v>
      </c>
      <c r="P263" s="15" cm="1">
        <f t="array" ref="P263">EVAL($AG$19,B263)</f>
        <v>9.2158678835607809E-3</v>
      </c>
      <c r="Q263" s="15" cm="1">
        <f t="array" ref="Q263">EVAL($AH$6,B263)</f>
        <v>1.1405808459458411</v>
      </c>
      <c r="R263" s="15" cm="1">
        <f t="array" ref="R263">EVAL($AH$7,B263)</f>
        <v>1.1405808459458411</v>
      </c>
      <c r="T263" s="15" cm="1">
        <f t="array" ref="T263">EVAL($AH$9,B263)</f>
        <v>0.75414608707336817</v>
      </c>
      <c r="U263" s="15" cm="1">
        <f t="array" ref="U263">EVAL($AH$10,B263)</f>
        <v>0.75414608707336817</v>
      </c>
      <c r="V263" s="15" cm="1">
        <f t="array" ref="V263">EVAL($AH$11,B263)</f>
        <v>0.75414608707336817</v>
      </c>
      <c r="W263" s="15" cm="1">
        <f t="array" ref="W263">EVAL($AH$12,B263)</f>
        <v>30.350973603866318</v>
      </c>
      <c r="X263" s="15" cm="1">
        <f t="array" ref="X263">EVAL($AH$13,B263)</f>
        <v>0.35437234170165344</v>
      </c>
      <c r="Y263" s="15" cm="1">
        <f t="array" ref="Y263">EVAL($AH$14,B263)</f>
        <v>0.35437234170165344</v>
      </c>
    </row>
    <row r="264" spans="1:25" x14ac:dyDescent="0.25">
      <c r="A264" s="20">
        <v>27.100000000000101</v>
      </c>
      <c r="B264" s="41">
        <f t="shared" si="4"/>
        <v>85.137160912283704</v>
      </c>
      <c r="C264" s="15" cm="1">
        <f t="array" ref="C264">EVAL($AG$6,B264)</f>
        <v>310.09805138661255</v>
      </c>
      <c r="D264" s="15" cm="1">
        <f t="array" ref="D264">EVAL($AG$7,B264)</f>
        <v>3.698200738044553</v>
      </c>
      <c r="F264" s="15" cm="1">
        <f t="array" ref="F264">EVAL($AG$9,B264)</f>
        <v>1.9387863036341328</v>
      </c>
      <c r="G264" s="15" cm="1">
        <f t="array" ref="G264">EVAL($AG$10,B264)</f>
        <v>1.9387863036341328</v>
      </c>
      <c r="H264" s="15" cm="1">
        <f t="array" ref="H264">EVAL($AG$11,B264)</f>
        <v>1.9387863036341328</v>
      </c>
      <c r="I264" s="15" cm="1">
        <f t="array" ref="I264">EVAL($AG$12,B264)</f>
        <v>1.8677461336378669</v>
      </c>
      <c r="J264" s="15" cm="1">
        <f t="array" ref="J264">EVAL($AG$13,B264)</f>
        <v>117.43305319486188</v>
      </c>
      <c r="K264" s="15" cm="1">
        <f t="array" ref="K264">EVAL($AG$14,B264)</f>
        <v>1.3798120430118062</v>
      </c>
      <c r="L264" s="15" cm="1">
        <f t="array" ref="L264">EVAL($AG$15,B264)</f>
        <v>66.945364834939383</v>
      </c>
      <c r="M264" s="15" cm="1">
        <f t="array" ref="M264">EVAL($AG$16,B264)</f>
        <v>0.87992473718015218</v>
      </c>
      <c r="N264" s="15" cm="1">
        <f t="array" ref="N264">EVAL($AG$17,B264)</f>
        <v>38.894112808782062</v>
      </c>
      <c r="O264" s="15" cm="1">
        <f t="array" ref="O264">EVAL($AG$18,B264)</f>
        <v>9.1970465347186395E-3</v>
      </c>
      <c r="P264" s="15" cm="1">
        <f t="array" ref="P264">EVAL($AG$19,B264)</f>
        <v>9.1970465347186395E-3</v>
      </c>
      <c r="Q264" s="15" cm="1">
        <f t="array" ref="Q264">EVAL($AH$6,B264)</f>
        <v>1.1423248862973363</v>
      </c>
      <c r="R264" s="15" cm="1">
        <f t="array" ref="R264">EVAL($AH$7,B264)</f>
        <v>1.1423248862973363</v>
      </c>
      <c r="T264" s="15" cm="1">
        <f t="array" ref="T264">EVAL($AH$9,B264)</f>
        <v>0.75523585630829693</v>
      </c>
      <c r="U264" s="15" cm="1">
        <f t="array" ref="U264">EVAL($AH$10,B264)</f>
        <v>0.75523585630829693</v>
      </c>
      <c r="V264" s="15" cm="1">
        <f t="array" ref="V264">EVAL($AH$11,B264)</f>
        <v>0.75523585630829693</v>
      </c>
      <c r="W264" s="15" cm="1">
        <f t="array" ref="W264">EVAL($AH$12,B264)</f>
        <v>30.517286618325933</v>
      </c>
      <c r="X264" s="15" cm="1">
        <f t="array" ref="X264">EVAL($AH$13,B264)</f>
        <v>0.3547136470389945</v>
      </c>
      <c r="Y264" s="15" cm="1">
        <f t="array" ref="Y264">EVAL($AH$14,B264)</f>
        <v>0.3547136470389945</v>
      </c>
    </row>
    <row r="265" spans="1:25" x14ac:dyDescent="0.25">
      <c r="A265" s="20">
        <v>27.200000000000099</v>
      </c>
      <c r="B265" s="41">
        <f t="shared" si="4"/>
        <v>85.451320177642685</v>
      </c>
      <c r="C265" s="15" cm="1">
        <f t="array" ref="C265">EVAL($AG$6,B265)</f>
        <v>310.88886668527516</v>
      </c>
      <c r="D265" s="15" cm="1">
        <f t="array" ref="D265">EVAL($AG$7,B265)</f>
        <v>3.7020357817360412</v>
      </c>
      <c r="F265" s="15" cm="1">
        <f t="array" ref="F265">EVAL($AG$9,B265)</f>
        <v>1.9460558948182844</v>
      </c>
      <c r="G265" s="15" cm="1">
        <f t="array" ref="G265">EVAL($AG$10,B265)</f>
        <v>1.9460558948182844</v>
      </c>
      <c r="H265" s="15" cm="1">
        <f t="array" ref="H265">EVAL($AG$11,B265)</f>
        <v>1.9460558948182844</v>
      </c>
      <c r="I265" s="15" cm="1">
        <f t="array" ref="I265">EVAL($AG$12,B265)</f>
        <v>1.8742536305253903</v>
      </c>
      <c r="J265" s="15" cm="1">
        <f t="array" ref="J265">EVAL($AG$13,B265)</f>
        <v>117.75781599596797</v>
      </c>
      <c r="K265" s="15" cm="1">
        <f t="array" ref="K265">EVAL($AG$14,B265)</f>
        <v>1.3842008692075225</v>
      </c>
      <c r="L265" s="15" cm="1">
        <f t="array" ref="L265">EVAL($AG$15,B265)</f>
        <v>67.095426446536251</v>
      </c>
      <c r="M265" s="15" cm="1">
        <f t="array" ref="M265">EVAL($AG$16,B265)</f>
        <v>0.88157854035190064</v>
      </c>
      <c r="N265" s="15" cm="1">
        <f t="array" ref="N265">EVAL($AG$17,B265)</f>
        <v>38.952662814513275</v>
      </c>
      <c r="O265" s="15" cm="1">
        <f t="array" ref="O265">EVAL($AG$18,B265)</f>
        <v>9.1783327359865816E-3</v>
      </c>
      <c r="P265" s="15" cm="1">
        <f t="array" ref="P265">EVAL($AG$19,B265)</f>
        <v>9.1783327359865816E-3</v>
      </c>
      <c r="Q265" s="15" cm="1">
        <f t="array" ref="Q265">EVAL($AH$6,B265)</f>
        <v>1.1440651549711436</v>
      </c>
      <c r="R265" s="15" cm="1">
        <f t="array" ref="R265">EVAL($AH$7,B265)</f>
        <v>1.1440651549711436</v>
      </c>
      <c r="T265" s="15" cm="1">
        <f t="array" ref="T265">EVAL($AH$9,B265)</f>
        <v>0.75632317771590696</v>
      </c>
      <c r="U265" s="15" cm="1">
        <f t="array" ref="U265">EVAL($AH$10,B265)</f>
        <v>0.75632317771590696</v>
      </c>
      <c r="V265" s="15" cm="1">
        <f t="array" ref="V265">EVAL($AH$11,B265)</f>
        <v>0.75632317771590696</v>
      </c>
      <c r="W265" s="15" cm="1">
        <f t="array" ref="W265">EVAL($AH$12,B265)</f>
        <v>30.683893364267181</v>
      </c>
      <c r="X265" s="15" cm="1">
        <f t="array" ref="X265">EVAL($AH$13,B265)</f>
        <v>0.35505402216945686</v>
      </c>
      <c r="Y265" s="15" cm="1">
        <f t="array" ref="Y265">EVAL($AH$14,B265)</f>
        <v>0.35505402216945686</v>
      </c>
    </row>
    <row r="266" spans="1:25" x14ac:dyDescent="0.25">
      <c r="A266" s="20">
        <v>27.3000000000001</v>
      </c>
      <c r="B266" s="41">
        <f t="shared" si="4"/>
        <v>85.765479443001666</v>
      </c>
      <c r="C266" s="15" cm="1">
        <f t="array" ref="C266">EVAL($AG$6,B266)</f>
        <v>311.67878555433015</v>
      </c>
      <c r="D266" s="15" cm="1">
        <f t="array" ref="D266">EVAL($AG$7,B266)</f>
        <v>3.7058607069214839</v>
      </c>
      <c r="F266" s="15" cm="1">
        <f t="array" ref="F266">EVAL($AG$9,B266)</f>
        <v>1.9533259163117891</v>
      </c>
      <c r="G266" s="15" cm="1">
        <f t="array" ref="G266">EVAL($AG$10,B266)</f>
        <v>1.9533259163117891</v>
      </c>
      <c r="H266" s="15" cm="1">
        <f t="array" ref="H266">EVAL($AG$11,B266)</f>
        <v>1.9533259163117891</v>
      </c>
      <c r="I266" s="15" cm="1">
        <f t="array" ref="I266">EVAL($AG$12,B266)</f>
        <v>1.8807597949448771</v>
      </c>
      <c r="J266" s="15" cm="1">
        <f t="array" ref="J266">EVAL($AG$13,B266)</f>
        <v>118.08228019965343</v>
      </c>
      <c r="K266" s="15" cm="1">
        <f t="array" ref="K266">EVAL($AG$14,B266)</f>
        <v>1.3885874725042131</v>
      </c>
      <c r="L266" s="15" cm="1">
        <f t="array" ref="L266">EVAL($AG$15,B266)</f>
        <v>67.24527189296046</v>
      </c>
      <c r="M266" s="15" cm="1">
        <f t="array" ref="M266">EVAL($AG$16,B266)</f>
        <v>0.8832293657056185</v>
      </c>
      <c r="N266" s="15" cm="1">
        <f t="array" ref="N266">EVAL($AG$17,B266)</f>
        <v>39.011085611999803</v>
      </c>
      <c r="O266" s="15" cm="1">
        <f t="array" ref="O266">EVAL($AG$18,B266)</f>
        <v>9.1597254807679156E-3</v>
      </c>
      <c r="P266" s="15" cm="1">
        <f t="array" ref="P266">EVAL($AG$19,B266)</f>
        <v>9.1597254807679156E-3</v>
      </c>
      <c r="Q266" s="15" cm="1">
        <f t="array" ref="Q266">EVAL($AH$6,B266)</f>
        <v>1.1458016739455661</v>
      </c>
      <c r="R266" s="15" cm="1">
        <f t="array" ref="R266">EVAL($AH$7,B266)</f>
        <v>1.1458016739455661</v>
      </c>
      <c r="T266" s="15" cm="1">
        <f t="array" ref="T266">EVAL($AH$9,B266)</f>
        <v>0.75740806576362896</v>
      </c>
      <c r="U266" s="15" cm="1">
        <f t="array" ref="U266">EVAL($AH$10,B266)</f>
        <v>0.75740806576362896</v>
      </c>
      <c r="V266" s="15" cm="1">
        <f t="array" ref="V266">EVAL($AH$11,B266)</f>
        <v>0.75740806576362896</v>
      </c>
      <c r="W266" s="15" cm="1">
        <f t="array" ref="W266">EVAL($AH$12,B266)</f>
        <v>30.850793277702579</v>
      </c>
      <c r="X266" s="15" cm="1">
        <f t="array" ref="X266">EVAL($AH$13,B266)</f>
        <v>0.35539347303420626</v>
      </c>
      <c r="Y266" s="15" cm="1">
        <f t="array" ref="Y266">EVAL($AH$14,B266)</f>
        <v>0.35539347303420626</v>
      </c>
    </row>
    <row r="267" spans="1:25" x14ac:dyDescent="0.25">
      <c r="A267" s="20">
        <v>27.400000000000102</v>
      </c>
      <c r="B267" s="41">
        <f t="shared" si="4"/>
        <v>86.079638708360648</v>
      </c>
      <c r="C267" s="15" cm="1">
        <f t="array" ref="C267">EVAL($AG$6,B267)</f>
        <v>312.46781228799313</v>
      </c>
      <c r="D267" s="15" cm="1">
        <f t="array" ref="D267">EVAL($AG$7,B267)</f>
        <v>3.7096755772158079</v>
      </c>
      <c r="F267" s="15" cm="1">
        <f t="array" ref="F267">EVAL($AG$9,B267)</f>
        <v>1.9605963665637427</v>
      </c>
      <c r="G267" s="15" cm="1">
        <f t="array" ref="G267">EVAL($AG$10,B267)</f>
        <v>1.9605963665637427</v>
      </c>
      <c r="H267" s="15" cm="1">
        <f t="array" ref="H267">EVAL($AG$11,B267)</f>
        <v>1.9605963665637427</v>
      </c>
      <c r="I267" s="15" cm="1">
        <f t="array" ref="I267">EVAL($AG$12,B267)</f>
        <v>1.8872646320485251</v>
      </c>
      <c r="J267" s="15" cm="1">
        <f t="array" ref="J267">EVAL($AG$13,B267)</f>
        <v>118.4064471727208</v>
      </c>
      <c r="K267" s="15" cm="1">
        <f t="array" ref="K267">EVAL($AG$14,B267)</f>
        <v>1.3929718621641027</v>
      </c>
      <c r="L267" s="15" cm="1">
        <f t="array" ref="L267">EVAL($AG$15,B267)</f>
        <v>67.394902275709683</v>
      </c>
      <c r="M267" s="15" cm="1">
        <f t="array" ref="M267">EVAL($AG$16,B267)</f>
        <v>0.88487722948153558</v>
      </c>
      <c r="N267" s="15" cm="1">
        <f t="array" ref="N267">EVAL($AG$17,B267)</f>
        <v>39.069381942070677</v>
      </c>
      <c r="O267" s="15" cm="1">
        <f t="array" ref="O267">EVAL($AG$18,B267)</f>
        <v>9.1412237755293391E-3</v>
      </c>
      <c r="P267" s="15" cm="1">
        <f t="array" ref="P267">EVAL($AG$19,B267)</f>
        <v>9.1412237755293391E-3</v>
      </c>
      <c r="Q267" s="15" cm="1">
        <f t="array" ref="Q267">EVAL($AH$6,B267)</f>
        <v>1.147534464990881</v>
      </c>
      <c r="R267" s="15" cm="1">
        <f t="array" ref="R267">EVAL($AH$7,B267)</f>
        <v>1.147534464990881</v>
      </c>
      <c r="T267" s="15" cm="1">
        <f t="array" ref="T267">EVAL($AH$9,B267)</f>
        <v>0.75849053478076378</v>
      </c>
      <c r="U267" s="15" cm="1">
        <f t="array" ref="U267">EVAL($AH$10,B267)</f>
        <v>0.75849053478076378</v>
      </c>
      <c r="V267" s="15" cm="1">
        <f t="array" ref="V267">EVAL($AH$11,B267)</f>
        <v>0.75849053478076378</v>
      </c>
      <c r="W267" s="15" cm="1">
        <f t="array" ref="W267">EVAL($AH$12,B267)</f>
        <v>31.017985797791209</v>
      </c>
      <c r="X267" s="15" cm="1">
        <f t="array" ref="X267">EVAL($AH$13,B267)</f>
        <v>0.35573200551486839</v>
      </c>
      <c r="Y267" s="15" cm="1">
        <f t="array" ref="Y267">EVAL($AH$14,B267)</f>
        <v>0.35573200551486839</v>
      </c>
    </row>
    <row r="268" spans="1:25" x14ac:dyDescent="0.25">
      <c r="A268" s="20">
        <v>27.500000000000099</v>
      </c>
      <c r="B268" s="41">
        <f t="shared" si="4"/>
        <v>86.393797973719629</v>
      </c>
      <c r="C268" s="15" cm="1">
        <f t="array" ref="C268">EVAL($AG$6,B268)</f>
        <v>313.25595114432076</v>
      </c>
      <c r="D268" s="15" cm="1">
        <f t="array" ref="D268">EVAL($AG$7,B268)</f>
        <v>3.7134804556035861</v>
      </c>
      <c r="F268" s="15" cm="1">
        <f t="array" ref="F268">EVAL($AG$9,B268)</f>
        <v>1.9678672440344791</v>
      </c>
      <c r="G268" s="15" cm="1">
        <f t="array" ref="G268">EVAL($AG$10,B268)</f>
        <v>1.9678672440344791</v>
      </c>
      <c r="H268" s="15" cm="1">
        <f t="array" ref="H268">EVAL($AG$11,B268)</f>
        <v>1.9678672440344791</v>
      </c>
      <c r="I268" s="15" cm="1">
        <f t="array" ref="I268">EVAL($AG$12,B268)</f>
        <v>1.893768146949879</v>
      </c>
      <c r="J268" s="15" cm="1">
        <f t="array" ref="J268">EVAL($AG$13,B268)</f>
        <v>118.73031827075341</v>
      </c>
      <c r="K268" s="15" cm="1">
        <f t="array" ref="K268">EVAL($AG$14,B268)</f>
        <v>1.3973540473771708</v>
      </c>
      <c r="L268" s="15" cm="1">
        <f t="array" ref="L268">EVAL($AG$15,B268)</f>
        <v>67.544318686672156</v>
      </c>
      <c r="M268" s="15" cm="1">
        <f t="array" ref="M268">EVAL($AG$16,B268)</f>
        <v>0.88652214777241567</v>
      </c>
      <c r="N268" s="15" cm="1">
        <f t="array" ref="N268">EVAL($AG$17,B268)</f>
        <v>39.127552538555442</v>
      </c>
      <c r="O268" s="15" cm="1">
        <f t="array" ref="O268">EVAL($AG$18,B268)</f>
        <v>9.1228266395844623E-3</v>
      </c>
      <c r="P268" s="15" cm="1">
        <f t="array" ref="P268">EVAL($AG$19,B268)</f>
        <v>9.1228266395844623E-3</v>
      </c>
      <c r="Q268" s="15" cm="1">
        <f t="array" ref="Q268">EVAL($AH$6,B268)</f>
        <v>1.1492635496720645</v>
      </c>
      <c r="R268" s="15" cm="1">
        <f t="array" ref="R268">EVAL($AH$7,B268)</f>
        <v>1.1492635496720645</v>
      </c>
      <c r="T268" s="15" cm="1">
        <f t="array" ref="T268">EVAL($AH$9,B268)</f>
        <v>0.75957059896030044</v>
      </c>
      <c r="U268" s="15" cm="1">
        <f t="array" ref="U268">EVAL($AH$10,B268)</f>
        <v>0.75957059896030044</v>
      </c>
      <c r="V268" s="15" cm="1">
        <f t="array" ref="V268">EVAL($AH$11,B268)</f>
        <v>0.75957059896030044</v>
      </c>
      <c r="W268" s="15" cm="1">
        <f t="array" ref="W268">EVAL($AH$12,B268)</f>
        <v>31.185470366810065</v>
      </c>
      <c r="X268" s="15" cm="1">
        <f t="array" ref="X268">EVAL($AH$13,B268)</f>
        <v>0.3560696254343404</v>
      </c>
      <c r="Y268" s="15" cm="1">
        <f t="array" ref="Y268">EVAL($AH$14,B268)</f>
        <v>0.3560696254343404</v>
      </c>
    </row>
    <row r="269" spans="1:25" x14ac:dyDescent="0.25">
      <c r="A269" s="20">
        <v>27.600000000000101</v>
      </c>
      <c r="B269" s="41">
        <f t="shared" si="4"/>
        <v>86.70795723907861</v>
      </c>
      <c r="C269" s="15" cm="1">
        <f t="array" ref="C269">EVAL($AG$6,B269)</f>
        <v>314.04320634564459</v>
      </c>
      <c r="D269" s="15" cm="1">
        <f t="array" ref="D269">EVAL($AG$7,B269)</f>
        <v>3.7172754044475429</v>
      </c>
      <c r="F269" s="15" cm="1">
        <f t="array" ref="F269">EVAL($AG$9,B269)</f>
        <v>1.9751385471954328</v>
      </c>
      <c r="G269" s="15" cm="1">
        <f t="array" ref="G269">EVAL($AG$10,B269)</f>
        <v>1.9751385471954328</v>
      </c>
      <c r="H269" s="15" cm="1">
        <f t="array" ref="H269">EVAL($AG$11,B269)</f>
        <v>1.9751385471954328</v>
      </c>
      <c r="I269" s="15" cm="1">
        <f t="array" ref="I269">EVAL($AG$12,B269)</f>
        <v>1.9002703447242617</v>
      </c>
      <c r="J269" s="15" cm="1">
        <f t="array" ref="J269">EVAL($AG$13,B269)</f>
        <v>119.05389483824712</v>
      </c>
      <c r="K269" s="15" cm="1">
        <f t="array" ref="K269">EVAL($AG$14,B269)</f>
        <v>1.4017340372619704</v>
      </c>
      <c r="L269" s="15" cm="1">
        <f t="array" ref="L269">EVAL($AG$15,B269)</f>
        <v>67.693522208244943</v>
      </c>
      <c r="M269" s="15" cm="1">
        <f t="array" ref="M269">EVAL($AG$16,B269)</f>
        <v>0.88816413652542736</v>
      </c>
      <c r="N269" s="15" cm="1">
        <f t="array" ref="N269">EVAL($AG$17,B269)</f>
        <v>39.18559812837541</v>
      </c>
      <c r="O269" s="15" cm="1">
        <f t="array" ref="O269">EVAL($AG$18,B269)</f>
        <v>9.1045331048817089E-3</v>
      </c>
      <c r="P269" s="15" cm="1">
        <f t="array" ref="P269">EVAL($AG$19,B269)</f>
        <v>9.1045331048817089E-3</v>
      </c>
      <c r="Q269" s="15" cm="1">
        <f t="array" ref="Q269">EVAL($AH$6,B269)</f>
        <v>1.1509889493514613</v>
      </c>
      <c r="R269" s="15" cm="1">
        <f t="array" ref="R269">EVAL($AH$7,B269)</f>
        <v>1.1509889493514613</v>
      </c>
      <c r="T269" s="15" cm="1">
        <f t="array" ref="T269">EVAL($AH$9,B269)</f>
        <v>0.76064827236070265</v>
      </c>
      <c r="U269" s="15" cm="1">
        <f t="array" ref="U269">EVAL($AH$10,B269)</f>
        <v>0.76064827236070265</v>
      </c>
      <c r="V269" s="15" cm="1">
        <f t="array" ref="V269">EVAL($AH$11,B269)</f>
        <v>0.76064827236070265</v>
      </c>
      <c r="W269" s="15" cm="1">
        <f t="array" ref="W269">EVAL($AH$12,B269)</f>
        <v>31.353246430124958</v>
      </c>
      <c r="X269" s="15" cm="1">
        <f t="array" ref="X269">EVAL($AH$13,B269)</f>
        <v>0.35640633855758813</v>
      </c>
      <c r="Y269" s="15" cm="1">
        <f t="array" ref="Y269">EVAL($AH$14,B269)</f>
        <v>0.35640633855758813</v>
      </c>
    </row>
    <row r="270" spans="1:25" x14ac:dyDescent="0.25">
      <c r="A270" s="20">
        <v>27.700000000000099</v>
      </c>
      <c r="B270" s="41">
        <f t="shared" si="4"/>
        <v>87.022116504437577</v>
      </c>
      <c r="C270" s="15" cm="1">
        <f t="array" ref="C270">EVAL($AG$6,B270)</f>
        <v>314.82958207899941</v>
      </c>
      <c r="D270" s="15" cm="1">
        <f t="array" ref="D270">EVAL($AG$7,B270)</f>
        <v>3.721060485496928</v>
      </c>
      <c r="F270" s="15" cm="1">
        <f t="array" ref="F270">EVAL($AG$9,B270)</f>
        <v>1.9824102745290295</v>
      </c>
      <c r="G270" s="15" cm="1">
        <f t="array" ref="G270">EVAL($AG$10,B270)</f>
        <v>1.9824102745290295</v>
      </c>
      <c r="H270" s="15" cm="1">
        <f t="array" ref="H270">EVAL($AG$11,B270)</f>
        <v>1.9824102745290295</v>
      </c>
      <c r="I270" s="15" cm="1">
        <f t="array" ref="I270">EVAL($AG$12,B270)</f>
        <v>1.9067712304091964</v>
      </c>
      <c r="J270" s="15" cm="1">
        <f t="array" ref="J270">EVAL($AG$13,B270)</f>
        <v>119.37717820874119</v>
      </c>
      <c r="K270" s="15" cm="1">
        <f t="array" ref="K270">EVAL($AG$14,B270)</f>
        <v>1.4061118408664439</v>
      </c>
      <c r="L270" s="15" cm="1">
        <f t="array" ref="L270">EVAL($AG$15,B270)</f>
        <v>67.842513913450489</v>
      </c>
      <c r="M270" s="15" cm="1">
        <f t="array" ref="M270">EVAL($AG$16,B270)</f>
        <v>0.88980321154398367</v>
      </c>
      <c r="N270" s="15" cm="1">
        <f t="array" ref="N270">EVAL($AG$17,B270)</f>
        <v>39.243519431633452</v>
      </c>
      <c r="O270" s="15" cm="1">
        <f t="array" ref="O270">EVAL($AG$18,B270)</f>
        <v>9.0863422157964856E-3</v>
      </c>
      <c r="P270" s="15" cm="1">
        <f t="array" ref="P270">EVAL($AG$19,B270)</f>
        <v>9.0863422157964856E-3</v>
      </c>
      <c r="Q270" s="15" cm="1">
        <f t="array" ref="Q270">EVAL($AH$6,B270)</f>
        <v>1.1527106851914188</v>
      </c>
      <c r="R270" s="15" cm="1">
        <f t="array" ref="R270">EVAL($AH$7,B270)</f>
        <v>1.1527106851914188</v>
      </c>
      <c r="T270" s="15" cm="1">
        <f t="array" ref="T270">EVAL($AH$9,B270)</f>
        <v>0.76172356890766602</v>
      </c>
      <c r="U270" s="15" cm="1">
        <f t="array" ref="U270">EVAL($AH$10,B270)</f>
        <v>0.76172356890766602</v>
      </c>
      <c r="V270" s="15" cm="1">
        <f t="array" ref="V270">EVAL($AH$11,B270)</f>
        <v>0.76172356890766602</v>
      </c>
      <c r="W270" s="15" cm="1">
        <f t="array" ref="W270">EVAL($AH$12,B270)</f>
        <v>31.521313436162622</v>
      </c>
      <c r="X270" s="15" cm="1">
        <f t="array" ref="X270">EVAL($AH$13,B270)</f>
        <v>0.35674215059243003</v>
      </c>
      <c r="Y270" s="15" cm="1">
        <f t="array" ref="Y270">EVAL($AH$14,B270)</f>
        <v>0.35674215059243003</v>
      </c>
    </row>
    <row r="271" spans="1:25" x14ac:dyDescent="0.25">
      <c r="A271" s="20">
        <v>27.8000000000001</v>
      </c>
      <c r="B271" s="41">
        <f t="shared" si="4"/>
        <v>87.336275769796558</v>
      </c>
      <c r="C271" s="15" cm="1">
        <f t="array" ref="C271">EVAL($AG$6,B271)</f>
        <v>315.6150824965452</v>
      </c>
      <c r="D271" s="15" cm="1">
        <f t="array" ref="D271">EVAL($AG$7,B271)</f>
        <v>3.7248357598957362</v>
      </c>
      <c r="F271" s="15" cm="1">
        <f t="array" ref="F271">EVAL($AG$9,B271)</f>
        <v>1.9896824245285629</v>
      </c>
      <c r="G271" s="15" cm="1">
        <f t="array" ref="G271">EVAL($AG$10,B271)</f>
        <v>1.9896824245285629</v>
      </c>
      <c r="H271" s="15" cm="1">
        <f t="array" ref="H271">EVAL($AG$11,B271)</f>
        <v>1.9896824245285629</v>
      </c>
      <c r="I271" s="15" cm="1">
        <f t="array" ref="I271">EVAL($AG$12,B271)</f>
        <v>1.913270809004826</v>
      </c>
      <c r="J271" s="15" cm="1">
        <f t="array" ref="J271">EVAL($AG$13,B271)</f>
        <v>119.70016970494667</v>
      </c>
      <c r="K271" s="15" cm="1">
        <f t="array" ref="K271">EVAL($AG$14,B271)</f>
        <v>1.4104874671687204</v>
      </c>
      <c r="L271" s="15" cm="1">
        <f t="array" ref="L271">EVAL($AG$15,B271)</f>
        <v>67.991294866051334</v>
      </c>
      <c r="M271" s="15" cm="1">
        <f t="array" ref="M271">EVAL($AG$16,B271)</f>
        <v>0.89143938848955029</v>
      </c>
      <c r="N271" s="15" cm="1">
        <f t="array" ref="N271">EVAL($AG$17,B271)</f>
        <v>39.301317161702329</v>
      </c>
      <c r="O271" s="15" cm="1">
        <f t="array" ref="O271">EVAL($AG$18,B271)</f>
        <v>9.0682530289274942E-3</v>
      </c>
      <c r="P271" s="15" cm="1">
        <f t="array" ref="P271">EVAL($AG$19,B271)</f>
        <v>9.0682530289274942E-3</v>
      </c>
      <c r="Q271" s="15" cm="1">
        <f t="array" ref="Q271">EVAL($AH$6,B271)</f>
        <v>1.1544287781568716</v>
      </c>
      <c r="R271" s="15" cm="1">
        <f t="array" ref="R271">EVAL($AH$7,B271)</f>
        <v>1.1544287781568716</v>
      </c>
      <c r="T271" s="15" cm="1">
        <f t="array" ref="T271">EVAL($AH$9,B271)</f>
        <v>0.76279650239584684</v>
      </c>
      <c r="U271" s="15" cm="1">
        <f t="array" ref="U271">EVAL($AH$10,B271)</f>
        <v>0.76279650239584684</v>
      </c>
      <c r="V271" s="15" cm="1">
        <f t="array" ref="V271">EVAL($AH$11,B271)</f>
        <v>0.76279650239584684</v>
      </c>
      <c r="W271" s="15" cm="1">
        <f t="array" ref="W271">EVAL($AH$12,B271)</f>
        <v>31.689670836382614</v>
      </c>
      <c r="X271" s="15" cm="1">
        <f t="array" ref="X271">EVAL($AH$13,B271)</f>
        <v>0.35707706719030785</v>
      </c>
      <c r="Y271" s="15" cm="1">
        <f t="array" ref="Y271">EVAL($AH$14,B271)</f>
        <v>0.35707706719030785</v>
      </c>
    </row>
    <row r="272" spans="1:25" x14ac:dyDescent="0.25">
      <c r="A272" s="20">
        <v>27.900000000000102</v>
      </c>
      <c r="B272" s="41">
        <f t="shared" si="4"/>
        <v>87.650435035155553</v>
      </c>
      <c r="C272" s="15" cm="1">
        <f t="array" ref="C272">EVAL($AG$6,B272)</f>
        <v>316.3997117159812</v>
      </c>
      <c r="D272" s="15" cm="1">
        <f t="array" ref="D272">EVAL($AG$7,B272)</f>
        <v>3.7286012881907968</v>
      </c>
      <c r="F272" s="15" cm="1">
        <f t="array" ref="F272">EVAL($AG$9,B272)</f>
        <v>1.996954995698083</v>
      </c>
      <c r="G272" s="15" cm="1">
        <f t="array" ref="G272">EVAL($AG$10,B272)</f>
        <v>1.996954995698083</v>
      </c>
      <c r="H272" s="15" cm="1">
        <f t="array" ref="H272">EVAL($AG$11,B272)</f>
        <v>1.996954995698083</v>
      </c>
      <c r="I272" s="15" cm="1">
        <f t="array" ref="I272">EVAL($AG$12,B272)</f>
        <v>1.9197690854743248</v>
      </c>
      <c r="J272" s="15" cm="1">
        <f t="array" ref="J272">EVAL($AG$13,B272)</f>
        <v>120.0228706388733</v>
      </c>
      <c r="K272" s="15" cm="1">
        <f t="array" ref="K272">EVAL($AG$14,B272)</f>
        <v>1.414860925077905</v>
      </c>
      <c r="L272" s="15" cm="1">
        <f t="array" ref="L272">EVAL($AG$15,B272)</f>
        <v>68.139866120663285</v>
      </c>
      <c r="M272" s="15" cm="1">
        <f t="array" ref="M272">EVAL($AG$16,B272)</f>
        <v>0.89307268288342889</v>
      </c>
      <c r="N272" s="15" cm="1">
        <f t="array" ref="N272">EVAL($AG$17,B272)</f>
        <v>39.358992025311622</v>
      </c>
      <c r="O272" s="15" cm="1">
        <f t="array" ref="O272">EVAL($AG$18,B272)</f>
        <v>9.0502646128970757E-3</v>
      </c>
      <c r="P272" s="15" cm="1">
        <f t="array" ref="P272">EVAL($AG$19,B272)</f>
        <v>9.0502646128970757E-3</v>
      </c>
      <c r="Q272" s="15" cm="1">
        <f t="array" ref="Q272">EVAL($AH$6,B272)</f>
        <v>1.1561432490178882</v>
      </c>
      <c r="R272" s="15" cm="1">
        <f t="array" ref="R272">EVAL($AH$7,B272)</f>
        <v>1.1561432490178882</v>
      </c>
      <c r="T272" s="15" cm="1">
        <f t="array" ref="T272">EVAL($AH$9,B272)</f>
        <v>0.76386708649056123</v>
      </c>
      <c r="U272" s="15" cm="1">
        <f t="array" ref="U272">EVAL($AH$10,B272)</f>
        <v>0.76386708649056123</v>
      </c>
      <c r="V272" s="15" cm="1">
        <f t="array" ref="V272">EVAL($AH$11,B272)</f>
        <v>0.76386708649056123</v>
      </c>
      <c r="W272" s="15" cm="1">
        <f t="array" ref="W272">EVAL($AH$12,B272)</f>
        <v>31.858318085249888</v>
      </c>
      <c r="X272" s="15" cm="1">
        <f t="array" ref="X272">EVAL($AH$13,B272)</f>
        <v>0.35741109394704401</v>
      </c>
      <c r="Y272" s="15" cm="1">
        <f t="array" ref="Y272">EVAL($AH$14,B272)</f>
        <v>0.35741109394704401</v>
      </c>
    </row>
    <row r="273" spans="1:25" x14ac:dyDescent="0.25">
      <c r="A273" s="20">
        <v>28.000000000000099</v>
      </c>
      <c r="B273" s="41">
        <f t="shared" si="4"/>
        <v>87.96459430051452</v>
      </c>
      <c r="C273" s="15" cm="1">
        <f t="array" ref="C273">EVAL($AG$6,B273)</f>
        <v>317.18347382095476</v>
      </c>
      <c r="D273" s="15" cm="1">
        <f t="array" ref="D273">EVAL($AG$7,B273)</f>
        <v>3.7323571303397225</v>
      </c>
      <c r="F273" s="15" cm="1">
        <f t="array" ref="F273">EVAL($AG$9,B273)</f>
        <v>2.0042279865522725</v>
      </c>
      <c r="G273" s="15" cm="1">
        <f t="array" ref="G273">EVAL($AG$10,B273)</f>
        <v>2.0042279865522725</v>
      </c>
      <c r="H273" s="15" cm="1">
        <f t="array" ref="H273">EVAL($AG$11,B273)</f>
        <v>2.0042279865522725</v>
      </c>
      <c r="I273" s="15" cm="1">
        <f t="array" ref="I273">EVAL($AG$12,B273)</f>
        <v>1.9262660647442948</v>
      </c>
      <c r="J273" s="15" cm="1">
        <f t="array" ref="J273">EVAL($AG$13,B273)</f>
        <v>120.34528231195348</v>
      </c>
      <c r="K273" s="15" cm="1">
        <f t="array" ref="K273">EVAL($AG$14,B273)</f>
        <v>1.4192322234348556</v>
      </c>
      <c r="L273" s="15" cm="1">
        <f t="array" ref="L273">EVAL($AG$15,B273)</f>
        <v>68.288228722866137</v>
      </c>
      <c r="M273" s="15" cm="1">
        <f t="array" ref="M273">EVAL($AG$16,B273)</f>
        <v>0.89470311010850556</v>
      </c>
      <c r="N273" s="15" cm="1">
        <f t="array" ref="N273">EVAL($AG$17,B273)</f>
        <v>39.416544722633027</v>
      </c>
      <c r="O273" s="15" cm="1">
        <f t="array" ref="O273">EVAL($AG$18,B273)</f>
        <v>9.0323760481555628E-3</v>
      </c>
      <c r="P273" s="15" cm="1">
        <f t="array" ref="P273">EVAL($AG$19,B273)</f>
        <v>9.0323760481555628E-3</v>
      </c>
      <c r="Q273" s="15" cm="1">
        <f t="array" ref="Q273">EVAL($AH$6,B273)</f>
        <v>1.1578541183521711</v>
      </c>
      <c r="R273" s="15" cm="1">
        <f t="array" ref="R273">EVAL($AH$7,B273)</f>
        <v>1.1578541183521711</v>
      </c>
      <c r="T273" s="15" cm="1">
        <f t="array" ref="T273">EVAL($AH$9,B273)</f>
        <v>0.76493533472945663</v>
      </c>
      <c r="U273" s="15" cm="1">
        <f t="array" ref="U273">EVAL($AH$10,B273)</f>
        <v>0.76493533472945663</v>
      </c>
      <c r="V273" s="15" cm="1">
        <f t="array" ref="V273">EVAL($AH$11,B273)</f>
        <v>0.76493533472945663</v>
      </c>
      <c r="W273" s="15" cm="1">
        <f t="array" ref="W273">EVAL($AH$12,B273)</f>
        <v>32.027254640207609</v>
      </c>
      <c r="X273" s="15" cm="1">
        <f t="array" ref="X273">EVAL($AH$13,B273)</f>
        <v>0.35774423640358594</v>
      </c>
      <c r="Y273" s="15" cm="1">
        <f t="array" ref="Y273">EVAL($AH$14,B273)</f>
        <v>0.35774423640358594</v>
      </c>
    </row>
    <row r="274" spans="1:25" x14ac:dyDescent="0.25">
      <c r="A274" s="20">
        <v>28.100000000000101</v>
      </c>
      <c r="B274" s="41">
        <f t="shared" si="4"/>
        <v>88.278753565873501</v>
      </c>
      <c r="C274" s="15" cm="1">
        <f t="array" ref="C274">EVAL($AG$6,B274)</f>
        <v>317.96637286146313</v>
      </c>
      <c r="D274" s="15" cm="1">
        <f t="array" ref="D274">EVAL($AG$7,B274)</f>
        <v>3.7361033457187216</v>
      </c>
      <c r="F274" s="15" cm="1">
        <f t="array" ref="F274">EVAL($AG$9,B274)</f>
        <v>2.0115013956163414</v>
      </c>
      <c r="G274" s="15" cm="1">
        <f t="array" ref="G274">EVAL($AG$10,B274)</f>
        <v>2.0115013956163414</v>
      </c>
      <c r="H274" s="15" cm="1">
        <f t="array" ref="H274">EVAL($AG$11,B274)</f>
        <v>2.0115013956163414</v>
      </c>
      <c r="I274" s="15" cm="1">
        <f t="array" ref="I274">EVAL($AG$12,B274)</f>
        <v>1.9327617517051829</v>
      </c>
      <c r="J274" s="15" cm="1">
        <f t="array" ref="J274">EVAL($AG$13,B274)</f>
        <v>120.6674060151656</v>
      </c>
      <c r="K274" s="15" cm="1">
        <f t="array" ref="K274">EVAL($AG$14,B274)</f>
        <v>1.4236013710129449</v>
      </c>
      <c r="L274" s="15" cm="1">
        <f t="array" ref="L274">EVAL($AG$15,B274)</f>
        <v>68.436383709313461</v>
      </c>
      <c r="M274" s="15" cm="1">
        <f t="array" ref="M274">EVAL($AG$16,B274)</f>
        <v>0.89633068541097838</v>
      </c>
      <c r="N274" s="15" cm="1">
        <f t="array" ref="N274">EVAL($AG$17,B274)</f>
        <v>39.473975947364494</v>
      </c>
      <c r="O274" s="15" cm="1">
        <f t="array" ref="O274">EVAL($AG$18,B274)</f>
        <v>9.0145864267894733E-3</v>
      </c>
      <c r="P274" s="15" cm="1">
        <f t="array" ref="P274">EVAL($AG$19,B274)</f>
        <v>9.0145864267894733E-3</v>
      </c>
      <c r="Q274" s="15" cm="1">
        <f t="array" ref="Q274">EVAL($AH$6,B274)</f>
        <v>1.1595614065475208</v>
      </c>
      <c r="R274" s="15" cm="1">
        <f t="array" ref="R274">EVAL($AH$7,B274)</f>
        <v>1.1595614065475208</v>
      </c>
      <c r="T274" s="15" cm="1">
        <f t="array" ref="T274">EVAL($AH$9,B274)</f>
        <v>0.76600126052415574</v>
      </c>
      <c r="U274" s="15" cm="1">
        <f t="array" ref="U274">EVAL($AH$10,B274)</f>
        <v>0.76600126052415574</v>
      </c>
      <c r="V274" s="15" cm="1">
        <f t="array" ref="V274">EVAL($AH$11,B274)</f>
        <v>0.76600126052415574</v>
      </c>
      <c r="W274" s="15" cm="1">
        <f t="array" ref="W274">EVAL($AH$12,B274)</f>
        <v>32.196479961650283</v>
      </c>
      <c r="X274" s="15" cm="1">
        <f t="array" ref="X274">EVAL($AH$13,B274)</f>
        <v>0.35807650004673797</v>
      </c>
      <c r="Y274" s="15" cm="1">
        <f t="array" ref="Y274">EVAL($AH$14,B274)</f>
        <v>0.35807650004673797</v>
      </c>
    </row>
    <row r="275" spans="1:25" x14ac:dyDescent="0.25">
      <c r="A275" s="20">
        <v>28.200000000000099</v>
      </c>
      <c r="B275" s="41">
        <f t="shared" si="4"/>
        <v>88.592912831232482</v>
      </c>
      <c r="C275" s="15" cm="1">
        <f t="array" ref="C275">EVAL($AG$6,B275)</f>
        <v>318.74841285425003</v>
      </c>
      <c r="D275" s="15" cm="1">
        <f t="array" ref="D275">EVAL($AG$7,B275)</f>
        <v>3.7398399931302855</v>
      </c>
      <c r="F275" s="15" cm="1">
        <f t="array" ref="F275">EVAL($AG$9,B275)</f>
        <v>2.0187752214259107</v>
      </c>
      <c r="G275" s="15" cm="1">
        <f t="array" ref="G275">EVAL($AG$10,B275)</f>
        <v>2.0187752214259107</v>
      </c>
      <c r="H275" s="15" cm="1">
        <f t="array" ref="H275">EVAL($AG$11,B275)</f>
        <v>2.0187752214259107</v>
      </c>
      <c r="I275" s="15" cm="1">
        <f t="array" ref="I275">EVAL($AG$12,B275)</f>
        <v>1.9392561512116484</v>
      </c>
      <c r="J275" s="15" cm="1">
        <f t="array" ref="J275">EVAL($AG$13,B275)</f>
        <v>120.98924302915448</v>
      </c>
      <c r="K275" s="15" cm="1">
        <f t="array" ref="K275">EVAL($AG$14,B275)</f>
        <v>1.4279683765188151</v>
      </c>
      <c r="L275" s="15" cm="1">
        <f t="array" ref="L275">EVAL($AG$15,B275)</f>
        <v>68.58433210783987</v>
      </c>
      <c r="M275" s="15" cm="1">
        <f t="array" ref="M275">EVAL($AG$16,B275)</f>
        <v>0.89795542390205041</v>
      </c>
      <c r="N275" s="15" cm="1">
        <f t="array" ref="N275">EVAL($AG$17,B275)</f>
        <v>39.531286386812823</v>
      </c>
      <c r="O275" s="15" cm="1">
        <f t="array" ref="O275">EVAL($AG$18,B275)</f>
        <v>8.9968948523334816E-3</v>
      </c>
      <c r="P275" s="15" cm="1">
        <f t="array" ref="P275">EVAL($AG$19,B275)</f>
        <v>8.9968948523334816E-3</v>
      </c>
      <c r="Q275" s="15" cm="1">
        <f t="array" ref="Q275">EVAL($AH$6,B275)</f>
        <v>1.161265133804255</v>
      </c>
      <c r="R275" s="15" cm="1">
        <f t="array" ref="R275">EVAL($AH$7,B275)</f>
        <v>1.161265133804255</v>
      </c>
      <c r="T275" s="15" cm="1">
        <f t="array" ref="T275">EVAL($AH$9,B275)</f>
        <v>0.76706487716187333</v>
      </c>
      <c r="U275" s="15" cm="1">
        <f t="array" ref="U275">EVAL($AH$10,B275)</f>
        <v>0.76706487716187333</v>
      </c>
      <c r="V275" s="15" cm="1">
        <f t="array" ref="V275">EVAL($AH$11,B275)</f>
        <v>0.76706487716187333</v>
      </c>
      <c r="W275" s="15" cm="1">
        <f t="array" ref="W275">EVAL($AH$12,B275)</f>
        <v>32.365993512897177</v>
      </c>
      <c r="X275" s="15" cm="1">
        <f t="array" ref="X275">EVAL($AH$13,B275)</f>
        <v>0.35840789030988135</v>
      </c>
      <c r="Y275" s="15" cm="1">
        <f t="array" ref="Y275">EVAL($AH$14,B275)</f>
        <v>0.35840789030988135</v>
      </c>
    </row>
    <row r="276" spans="1:25" x14ac:dyDescent="0.25">
      <c r="A276" s="20">
        <v>28.3000000000001</v>
      </c>
      <c r="B276" s="41">
        <f t="shared" si="4"/>
        <v>88.907072096591463</v>
      </c>
      <c r="C276" s="15" cm="1">
        <f t="array" ref="C276">EVAL($AG$6,B276)</f>
        <v>319.52959778319507</v>
      </c>
      <c r="D276" s="15" cm="1">
        <f t="array" ref="D276">EVAL($AG$7,B276)</f>
        <v>3.7435671308107428</v>
      </c>
      <c r="F276" s="15" cm="1">
        <f t="array" ref="F276">EVAL($AG$9,B276)</f>
        <v>2.0260494625269097</v>
      </c>
      <c r="G276" s="15" cm="1">
        <f t="array" ref="G276">EVAL($AG$10,B276)</f>
        <v>2.0260494625269097</v>
      </c>
      <c r="H276" s="15" cm="1">
        <f t="array" ref="H276">EVAL($AG$11,B276)</f>
        <v>2.0260494625269097</v>
      </c>
      <c r="I276" s="15" cm="1">
        <f t="array" ref="I276">EVAL($AG$12,B276)</f>
        <v>1.9457492680829782</v>
      </c>
      <c r="J276" s="15" cm="1">
        <f t="array" ref="J276">EVAL($AG$13,B276)</f>
        <v>121.3107946243509</v>
      </c>
      <c r="K276" s="15" cm="1">
        <f t="array" ref="K276">EVAL($AG$14,B276)</f>
        <v>1.4323332485931222</v>
      </c>
      <c r="L276" s="15" cm="1">
        <f t="array" ref="L276">EVAL($AG$15,B276)</f>
        <v>68.732074937567504</v>
      </c>
      <c r="M276" s="15" cm="1">
        <f t="array" ref="M276">EVAL($AG$16,B276)</f>
        <v>0.89957734055960092</v>
      </c>
      <c r="N276" s="15" cm="1">
        <f t="array" ref="N276">EVAL($AG$17,B276)</f>
        <v>39.588476721975042</v>
      </c>
      <c r="O276" s="15" cm="1">
        <f t="array" ref="O276">EVAL($AG$18,B276)</f>
        <v>8.9793004395861027E-3</v>
      </c>
      <c r="P276" s="15" cm="1">
        <f t="array" ref="P276">EVAL($AG$19,B276)</f>
        <v>8.9793004395861027E-3</v>
      </c>
      <c r="Q276" s="15" cm="1">
        <f t="array" ref="Q276">EVAL($AH$6,B276)</f>
        <v>1.1629653201375914</v>
      </c>
      <c r="R276" s="15" cm="1">
        <f t="array" ref="R276">EVAL($AH$7,B276)</f>
        <v>1.1629653201375914</v>
      </c>
      <c r="T276" s="15" cm="1">
        <f t="array" ref="T276">EVAL($AH$9,B276)</f>
        <v>0.76812619780700775</v>
      </c>
      <c r="U276" s="15" cm="1">
        <f t="array" ref="U276">EVAL($AH$10,B276)</f>
        <v>0.76812619780700775</v>
      </c>
      <c r="V276" s="15" cm="1">
        <f t="array" ref="V276">EVAL($AH$11,B276)</f>
        <v>0.76812619780700775</v>
      </c>
      <c r="W276" s="15" cm="1">
        <f t="array" ref="W276">EVAL($AH$12,B276)</f>
        <v>32.535794760166333</v>
      </c>
      <c r="X276" s="15" cm="1">
        <f t="array" ref="X276">EVAL($AH$13,B276)</f>
        <v>0.35873841257368133</v>
      </c>
      <c r="Y276" s="15" cm="1">
        <f t="array" ref="Y276">EVAL($AH$14,B276)</f>
        <v>0.35873841257368133</v>
      </c>
    </row>
    <row r="277" spans="1:25" x14ac:dyDescent="0.25">
      <c r="A277" s="20">
        <v>28.400000000000102</v>
      </c>
      <c r="B277" s="41">
        <f t="shared" si="4"/>
        <v>89.221231361950444</v>
      </c>
      <c r="C277" s="15" cm="1">
        <f t="array" ref="C277">EVAL($AG$6,B277)</f>
        <v>320.30993159969745</v>
      </c>
      <c r="D277" s="15" cm="1">
        <f t="array" ref="D277">EVAL($AG$7,B277)</f>
        <v>3.7472848164376868</v>
      </c>
      <c r="F277" s="15" cm="1">
        <f t="array" ref="F277">EVAL($AG$9,B277)</f>
        <v>2.0333241174754471</v>
      </c>
      <c r="G277" s="15" cm="1">
        <f t="array" ref="G277">EVAL($AG$10,B277)</f>
        <v>2.0333241174754471</v>
      </c>
      <c r="H277" s="15" cm="1">
        <f t="array" ref="H277">EVAL($AG$11,B277)</f>
        <v>2.0333241174754471</v>
      </c>
      <c r="I277" s="15" cm="1">
        <f t="array" ref="I277">EVAL($AG$12,B277)</f>
        <v>1.9522411071034438</v>
      </c>
      <c r="J277" s="15" cm="1">
        <f t="array" ref="J277">EVAL($AG$13,B277)</f>
        <v>121.63206206108795</v>
      </c>
      <c r="K277" s="15" cm="1">
        <f t="array" ref="K277">EVAL($AG$14,B277)</f>
        <v>1.4366959958112619</v>
      </c>
      <c r="L277" s="15" cm="1">
        <f t="array" ref="L277">EVAL($AG$15,B277)</f>
        <v>68.879613209009889</v>
      </c>
      <c r="M277" s="15" cm="1">
        <f t="array" ref="M277">EVAL($AG$16,B277)</f>
        <v>0.90119645022982742</v>
      </c>
      <c r="N277" s="15" cm="1">
        <f t="array" ref="N277">EVAL($AG$17,B277)</f>
        <v>39.645547627618292</v>
      </c>
      <c r="O277" s="15" cm="1">
        <f t="array" ref="O277">EVAL($AG$18,B277)</f>
        <v>8.9618023144289738E-3</v>
      </c>
      <c r="P277" s="15" cm="1">
        <f t="array" ref="P277">EVAL($AG$19,B277)</f>
        <v>8.9618023144289738E-3</v>
      </c>
      <c r="Q277" s="15" cm="1">
        <f t="array" ref="Q277">EVAL($AH$6,B277)</f>
        <v>1.1646619853799915</v>
      </c>
      <c r="R277" s="15" cm="1">
        <f t="array" ref="R277">EVAL($AH$7,B277)</f>
        <v>1.1646619853799915</v>
      </c>
      <c r="T277" s="15" cm="1">
        <f t="array" ref="T277">EVAL($AH$9,B277)</f>
        <v>0.76918523550270346</v>
      </c>
      <c r="U277" s="15" cm="1">
        <f t="array" ref="U277">EVAL($AH$10,B277)</f>
        <v>0.76918523550270346</v>
      </c>
      <c r="V277" s="15" cm="1">
        <f t="array" ref="V277">EVAL($AH$11,B277)</f>
        <v>0.76918523550270346</v>
      </c>
      <c r="W277" s="15" cm="1">
        <f t="array" ref="W277">EVAL($AH$12,B277)</f>
        <v>32.705883172548369</v>
      </c>
      <c r="X277" s="15" cm="1">
        <f t="array" ref="X277">EVAL($AH$13,B277)</f>
        <v>0.35906807216678266</v>
      </c>
      <c r="Y277" s="15" cm="1">
        <f t="array" ref="Y277">EVAL($AH$14,B277)</f>
        <v>0.35906807216678266</v>
      </c>
    </row>
    <row r="278" spans="1:25" x14ac:dyDescent="0.25">
      <c r="A278" s="20">
        <v>28.500000000000099</v>
      </c>
      <c r="B278" s="41">
        <f t="shared" si="4"/>
        <v>89.535390627309411</v>
      </c>
      <c r="C278" s="15" cm="1">
        <f t="array" ref="C278">EVAL($AG$6,B278)</f>
        <v>321.08941822305542</v>
      </c>
      <c r="D278" s="15" cm="1">
        <f t="array" ref="D278">EVAL($AG$7,B278)</f>
        <v>3.75099310713729</v>
      </c>
      <c r="F278" s="15" cm="1">
        <f t="array" ref="F278">EVAL($AG$9,B278)</f>
        <v>2.0405991848377356</v>
      </c>
      <c r="G278" s="15" cm="1">
        <f t="array" ref="G278">EVAL($AG$10,B278)</f>
        <v>2.0405991848377356</v>
      </c>
      <c r="H278" s="15" cm="1">
        <f t="array" ref="H278">EVAL($AG$11,B278)</f>
        <v>2.0405991848377356</v>
      </c>
      <c r="I278" s="15" cm="1">
        <f t="array" ref="I278">EVAL($AG$12,B278)</f>
        <v>1.958731673022698</v>
      </c>
      <c r="J278" s="15" cm="1">
        <f t="array" ref="J278">EVAL($AG$13,B278)</f>
        <v>121.95304658971783</v>
      </c>
      <c r="K278" s="15" cm="1">
        <f t="array" ref="K278">EVAL($AG$14,B278)</f>
        <v>1.4410566266840987</v>
      </c>
      <c r="L278" s="15" cm="1">
        <f t="array" ref="L278">EVAL($AG$15,B278)</f>
        <v>69.026947924175104</v>
      </c>
      <c r="M278" s="15" cm="1">
        <f t="array" ref="M278">EVAL($AG$16,B278)</f>
        <v>0.90281276762886364</v>
      </c>
      <c r="N278" s="15" cm="1">
        <f t="array" ref="N278">EVAL($AG$17,B278)</f>
        <v>39.702499772358671</v>
      </c>
      <c r="O278" s="15" cm="1">
        <f t="array" ref="O278">EVAL($AG$18,B278)</f>
        <v>8.944399613649635E-3</v>
      </c>
      <c r="P278" s="15" cm="1">
        <f t="array" ref="P278">EVAL($AG$19,B278)</f>
        <v>8.944399613649635E-3</v>
      </c>
      <c r="Q278" s="15" cm="1">
        <f t="array" ref="Q278">EVAL($AH$6,B278)</f>
        <v>1.1663551491834681</v>
      </c>
      <c r="R278" s="15" cm="1">
        <f t="array" ref="R278">EVAL($AH$7,B278)</f>
        <v>1.1663551491834681</v>
      </c>
      <c r="T278" s="15" cm="1">
        <f t="array" ref="T278">EVAL($AH$9,B278)</f>
        <v>0.77024200317239422</v>
      </c>
      <c r="U278" s="15" cm="1">
        <f t="array" ref="U278">EVAL($AH$10,B278)</f>
        <v>0.77024200317239422</v>
      </c>
      <c r="V278" s="15" cm="1">
        <f t="array" ref="V278">EVAL($AH$11,B278)</f>
        <v>0.77024200317239422</v>
      </c>
      <c r="W278" s="15" cm="1">
        <f t="array" ref="W278">EVAL($AH$12,B278)</f>
        <v>32.876258221981466</v>
      </c>
      <c r="X278" s="15" cm="1">
        <f t="array" ref="X278">EVAL($AH$13,B278)</f>
        <v>0.35939687436649465</v>
      </c>
      <c r="Y278" s="15" cm="1">
        <f t="array" ref="Y278">EVAL($AH$14,B278)</f>
        <v>0.35939687436649465</v>
      </c>
    </row>
    <row r="279" spans="1:25" x14ac:dyDescent="0.25">
      <c r="A279" s="20">
        <v>28.600000000000101</v>
      </c>
      <c r="B279" s="41">
        <f t="shared" si="4"/>
        <v>89.849549892668406</v>
      </c>
      <c r="C279" s="15" cm="1">
        <f t="array" ref="C279">EVAL($AG$6,B279)</f>
        <v>321.8680615408374</v>
      </c>
      <c r="D279" s="15" cm="1">
        <f t="array" ref="D279">EVAL($AG$7,B279)</f>
        <v>3.754692059491481</v>
      </c>
      <c r="F279" s="15" cm="1">
        <f t="array" ref="F279">EVAL($AG$9,B279)</f>
        <v>2.04787466318996</v>
      </c>
      <c r="G279" s="15" cm="1">
        <f t="array" ref="G279">EVAL($AG$10,B279)</f>
        <v>2.04787466318996</v>
      </c>
      <c r="H279" s="15" cm="1">
        <f t="array" ref="H279">EVAL($AG$11,B279)</f>
        <v>2.04787466318996</v>
      </c>
      <c r="I279" s="15" cm="1">
        <f t="array" ref="I279">EVAL($AG$12,B279)</f>
        <v>1.965220970556133</v>
      </c>
      <c r="J279" s="15" cm="1">
        <f t="array" ref="J279">EVAL($AG$13,B279)</f>
        <v>122.27374945072455</v>
      </c>
      <c r="K279" s="15" cm="1">
        <f t="array" ref="K279">EVAL($AG$14,B279)</f>
        <v>1.4454151496586689</v>
      </c>
      <c r="L279" s="15" cm="1">
        <f t="array" ref="L279">EVAL($AG$15,B279)</f>
        <v>69.174080076666726</v>
      </c>
      <c r="M279" s="15" cm="1">
        <f t="array" ref="M279">EVAL($AG$16,B279)</f>
        <v>0.90442630734436957</v>
      </c>
      <c r="N279" s="15" cm="1">
        <f t="array" ref="N279">EVAL($AG$17,B279)</f>
        <v>39.759333818738547</v>
      </c>
      <c r="O279" s="15" cm="1">
        <f t="array" ref="O279">EVAL($AG$18,B279)</f>
        <v>8.9270914847678021E-3</v>
      </c>
      <c r="P279" s="15" cm="1">
        <f t="array" ref="P279">EVAL($AG$19,B279)</f>
        <v>8.9270914847678021E-3</v>
      </c>
      <c r="Q279" s="15" cm="1">
        <f t="array" ref="Q279">EVAL($AH$6,B279)</f>
        <v>1.1680448310218488</v>
      </c>
      <c r="R279" s="15" cm="1">
        <f t="array" ref="R279">EVAL($AH$7,B279)</f>
        <v>1.1680448310218488</v>
      </c>
      <c r="T279" s="15" cm="1">
        <f t="array" ref="T279">EVAL($AH$9,B279)</f>
        <v>0.77129651362131357</v>
      </c>
      <c r="U279" s="15" cm="1">
        <f t="array" ref="U279">EVAL($AH$10,B279)</f>
        <v>0.77129651362131357</v>
      </c>
      <c r="V279" s="15" cm="1">
        <f t="array" ref="V279">EVAL($AH$11,B279)</f>
        <v>0.77129651362131357</v>
      </c>
      <c r="W279" s="15" cm="1">
        <f t="array" ref="W279">EVAL($AH$12,B279)</f>
        <v>33.046919383225621</v>
      </c>
      <c r="X279" s="15" cm="1">
        <f t="array" ref="X279">EVAL($AH$13,B279)</f>
        <v>0.35972482439946291</v>
      </c>
      <c r="Y279" s="15" cm="1">
        <f t="array" ref="Y279">EVAL($AH$14,B279)</f>
        <v>0.35972482439946291</v>
      </c>
    </row>
    <row r="280" spans="1:25" x14ac:dyDescent="0.25">
      <c r="A280" s="20">
        <v>28.700000000000099</v>
      </c>
      <c r="B280" s="41">
        <f t="shared" si="4"/>
        <v>90.163709158027373</v>
      </c>
      <c r="C280" s="15" cm="1">
        <f t="array" ref="C280">EVAL($AG$6,B280)</f>
        <v>322.64586540924921</v>
      </c>
      <c r="D280" s="15" cm="1">
        <f t="array" ref="D280">EVAL($AG$7,B280)</f>
        <v>3.7583817295450164</v>
      </c>
      <c r="F280" s="15" cm="1">
        <f t="array" ref="F280">EVAL($AG$9,B280)</f>
        <v>2.0551505511181816</v>
      </c>
      <c r="G280" s="15" cm="1">
        <f t="array" ref="G280">EVAL($AG$10,B280)</f>
        <v>2.0551505511181816</v>
      </c>
      <c r="H280" s="15" cm="1">
        <f t="array" ref="H280">EVAL($AG$11,B280)</f>
        <v>2.0551505511181816</v>
      </c>
      <c r="I280" s="15" cm="1">
        <f t="array" ref="I280">EVAL($AG$12,B280)</f>
        <v>1.971709004385253</v>
      </c>
      <c r="J280" s="15" cm="1">
        <f t="array" ref="J280">EVAL($AG$13,B280)</f>
        <v>122.59417187483638</v>
      </c>
      <c r="K280" s="15" cm="1">
        <f t="array" ref="K280">EVAL($AG$14,B280)</f>
        <v>1.4497715731188834</v>
      </c>
      <c r="L280" s="15" cm="1">
        <f t="array" ref="L280">EVAL($AG$15,B280)</f>
        <v>69.321010651783425</v>
      </c>
      <c r="M280" s="15" cm="1">
        <f t="array" ref="M280">EVAL($AG$16,B280)</f>
        <v>0.9060370838370988</v>
      </c>
      <c r="N280" s="15" cm="1">
        <f t="array" ref="N280">EVAL($AG$17,B280)</f>
        <v>39.816050423302848</v>
      </c>
      <c r="O280" s="15" cm="1">
        <f t="array" ref="O280">EVAL($AG$18,B280)</f>
        <v>8.909877085864961E-3</v>
      </c>
      <c r="P280" s="15" cm="1">
        <f t="array" ref="P280">EVAL($AG$19,B280)</f>
        <v>8.909877085864961E-3</v>
      </c>
      <c r="Q280" s="15" cm="1">
        <f t="array" ref="Q280">EVAL($AH$6,B280)</f>
        <v>1.1697310501930136</v>
      </c>
      <c r="R280" s="15" cm="1">
        <f t="array" ref="R280">EVAL($AH$7,B280)</f>
        <v>1.1697310501930136</v>
      </c>
      <c r="T280" s="15" cm="1">
        <f t="array" ref="T280">EVAL($AH$9,B280)</f>
        <v>0.77234877953798675</v>
      </c>
      <c r="U280" s="15" cm="1">
        <f t="array" ref="U280">EVAL($AH$10,B280)</f>
        <v>0.77234877953798675</v>
      </c>
      <c r="V280" s="15" cm="1">
        <f t="array" ref="V280">EVAL($AH$11,B280)</f>
        <v>0.77234877953798675</v>
      </c>
      <c r="W280" s="15" cm="1">
        <f t="array" ref="W280">EVAL($AH$12,B280)</f>
        <v>33.217866133838051</v>
      </c>
      <c r="X280" s="15" cm="1">
        <f t="array" ref="X280">EVAL($AH$13,B280)</f>
        <v>0.36005192744233122</v>
      </c>
      <c r="Y280" s="15" cm="1">
        <f t="array" ref="Y280">EVAL($AH$14,B280)</f>
        <v>0.36005192744233122</v>
      </c>
    </row>
    <row r="281" spans="1:25" x14ac:dyDescent="0.25">
      <c r="A281" s="20">
        <v>28.8000000000001</v>
      </c>
      <c r="B281" s="41">
        <f t="shared" si="4"/>
        <v>90.477868423386354</v>
      </c>
      <c r="C281" s="15" cm="1">
        <f t="array" ref="C281">EVAL($AG$6,B281)</f>
        <v>323.42283365349607</v>
      </c>
      <c r="D281" s="15" cm="1">
        <f t="array" ref="D281">EVAL($AG$7,B281)</f>
        <v>3.7620621728124348</v>
      </c>
      <c r="F281" s="15" cm="1">
        <f t="array" ref="F281">EVAL($AG$9,B281)</f>
        <v>2.0624268472182385</v>
      </c>
      <c r="G281" s="15" cm="1">
        <f t="array" ref="G281">EVAL($AG$10,B281)</f>
        <v>2.0624268472182385</v>
      </c>
      <c r="H281" s="15" cm="1">
        <f t="array" ref="H281">EVAL($AG$11,B281)</f>
        <v>2.0624268472182385</v>
      </c>
      <c r="I281" s="15" cm="1">
        <f t="array" ref="I281">EVAL($AG$12,B281)</f>
        <v>1.9781957791580316</v>
      </c>
      <c r="J281" s="15" cm="1">
        <f t="array" ref="J281">EVAL($AG$13,B281)</f>
        <v>122.91431508313651</v>
      </c>
      <c r="K281" s="15" cm="1">
        <f t="array" ref="K281">EVAL($AG$14,B281)</f>
        <v>1.4541259053862208</v>
      </c>
      <c r="L281" s="15" cm="1">
        <f t="array" ref="L281">EVAL($AG$15,B281)</f>
        <v>69.467740626617257</v>
      </c>
      <c r="M281" s="15" cm="1">
        <f t="array" ref="M281">EVAL($AG$16,B281)</f>
        <v>0.90764511144244098</v>
      </c>
      <c r="N281" s="15" cm="1">
        <f t="array" ref="N281">EVAL($AG$17,B281)</f>
        <v>39.872650236673984</v>
      </c>
      <c r="O281" s="15" cm="1">
        <f t="array" ref="O281">EVAL($AG$18,B281)</f>
        <v>8.8927555854172655E-3</v>
      </c>
      <c r="P281" s="15" cm="1">
        <f t="array" ref="P281">EVAL($AG$19,B281)</f>
        <v>8.8927555854172655E-3</v>
      </c>
      <c r="Q281" s="15" cm="1">
        <f t="array" ref="Q281">EVAL($AH$6,B281)</f>
        <v>1.1714138258210898</v>
      </c>
      <c r="R281" s="15" cm="1">
        <f t="array" ref="R281">EVAL($AH$7,B281)</f>
        <v>1.1714138258210898</v>
      </c>
      <c r="T281" s="15" cm="1">
        <f t="array" ref="T281">EVAL($AH$9,B281)</f>
        <v>0.77339881349569839</v>
      </c>
      <c r="U281" s="15" cm="1">
        <f t="array" ref="U281">EVAL($AH$10,B281)</f>
        <v>0.77339881349569839</v>
      </c>
      <c r="V281" s="15" cm="1">
        <f t="array" ref="V281">EVAL($AH$11,B281)</f>
        <v>0.77339881349569839</v>
      </c>
      <c r="W281" s="15" cm="1">
        <f t="array" ref="W281">EVAL($AH$12,B281)</f>
        <v>33.389097954148554</v>
      </c>
      <c r="X281" s="15" cm="1">
        <f t="array" ref="X281">EVAL($AH$13,B281)</f>
        <v>0.36037818862239268</v>
      </c>
      <c r="Y281" s="15" cm="1">
        <f t="array" ref="Y281">EVAL($AH$14,B281)</f>
        <v>0.36037818862239268</v>
      </c>
    </row>
    <row r="282" spans="1:25" x14ac:dyDescent="0.25">
      <c r="A282" s="20">
        <v>28.900000000000102</v>
      </c>
      <c r="B282" s="41">
        <f t="shared" si="4"/>
        <v>90.792027688745335</v>
      </c>
      <c r="C282" s="15" cm="1">
        <f t="array" ref="C282">EVAL($AG$6,B282)</f>
        <v>324.19897006813699</v>
      </c>
      <c r="D282" s="15" cm="1">
        <f t="array" ref="D282">EVAL($AG$7,B282)</f>
        <v>3.765733444284884</v>
      </c>
      <c r="F282" s="15" cm="1">
        <f t="array" ref="F282">EVAL($AG$9,B282)</f>
        <v>2.0697035500956371</v>
      </c>
      <c r="G282" s="15" cm="1">
        <f t="array" ref="G282">EVAL($AG$10,B282)</f>
        <v>2.0697035500956371</v>
      </c>
      <c r="H282" s="15" cm="1">
        <f t="array" ref="H282">EVAL($AG$11,B282)</f>
        <v>2.0697035500956371</v>
      </c>
      <c r="I282" s="15" cm="1">
        <f t="array" ref="I282">EVAL($AG$12,B282)</f>
        <v>1.9846812994892686</v>
      </c>
      <c r="J282" s="15" cm="1">
        <f t="array" ref="J282">EVAL($AG$13,B282)</f>
        <v>123.23418028717141</v>
      </c>
      <c r="K282" s="15" cm="1">
        <f t="array" ref="K282">EVAL($AG$14,B282)</f>
        <v>1.4584781547203991</v>
      </c>
      <c r="L282" s="15" cm="1">
        <f t="array" ref="L282">EVAL($AG$15,B282)</f>
        <v>69.614270970149931</v>
      </c>
      <c r="M282" s="15" cm="1">
        <f t="array" ref="M282">EVAL($AG$16,B282)</f>
        <v>0.90925040437193694</v>
      </c>
      <c r="N282" s="15" cm="1">
        <f t="array" ref="N282">EVAL($AG$17,B282)</f>
        <v>39.929133903625591</v>
      </c>
      <c r="O282" s="15" cm="1">
        <f t="array" ref="O282">EVAL($AG$18,B282)</f>
        <v>8.8757261621316731E-3</v>
      </c>
      <c r="P282" s="15" cm="1">
        <f t="array" ref="P282">EVAL($AG$19,B282)</f>
        <v>8.8757261621316731E-3</v>
      </c>
      <c r="Q282" s="15" cm="1">
        <f t="array" ref="Q282">EVAL($AH$6,B282)</f>
        <v>1.1730931768586119</v>
      </c>
      <c r="R282" s="15" cm="1">
        <f t="array" ref="R282">EVAL($AH$7,B282)</f>
        <v>1.1730931768586119</v>
      </c>
      <c r="T282" s="15" cm="1">
        <f t="array" ref="T282">EVAL($AH$9,B282)</f>
        <v>0.77444662795393138</v>
      </c>
      <c r="U282" s="15" cm="1">
        <f t="array" ref="U282">EVAL($AH$10,B282)</f>
        <v>0.77444662795393138</v>
      </c>
      <c r="V282" s="15" cm="1">
        <f t="array" ref="V282">EVAL($AH$11,B282)</f>
        <v>0.77444662795393138</v>
      </c>
      <c r="W282" s="15" cm="1">
        <f t="array" ref="W282">EVAL($AH$12,B282)</f>
        <v>33.560614327235108</v>
      </c>
      <c r="X282" s="15" cm="1">
        <f t="array" ref="X282">EVAL($AH$13,B282)</f>
        <v>0.36070361301822873</v>
      </c>
      <c r="Y282" s="15" cm="1">
        <f t="array" ref="Y282">EVAL($AH$14,B282)</f>
        <v>0.36070361301822873</v>
      </c>
    </row>
    <row r="283" spans="1:25" x14ac:dyDescent="0.25">
      <c r="A283" s="20">
        <v>29.000000000000099</v>
      </c>
      <c r="B283" s="41">
        <f t="shared" si="4"/>
        <v>91.106186954104317</v>
      </c>
      <c r="C283" s="15" cm="1">
        <f t="array" ref="C283">EVAL($AG$6,B283)</f>
        <v>324.97427841743797</v>
      </c>
      <c r="D283" s="15" cm="1">
        <f t="array" ref="D283">EVAL($AG$7,B283)</f>
        <v>3.7693955984368621</v>
      </c>
      <c r="F283" s="15" cm="1">
        <f t="array" ref="F283">EVAL($AG$9,B283)</f>
        <v>2.0769806583654629</v>
      </c>
      <c r="G283" s="15" cm="1">
        <f t="array" ref="G283">EVAL($AG$10,B283)</f>
        <v>2.0769806583654629</v>
      </c>
      <c r="H283" s="15" cm="1">
        <f t="array" ref="H283">EVAL($AG$11,B283)</f>
        <v>2.0769806583654629</v>
      </c>
      <c r="I283" s="15" cm="1">
        <f t="array" ref="I283">EVAL($AG$12,B283)</f>
        <v>1.9911655699609427</v>
      </c>
      <c r="J283" s="15" cm="1">
        <f t="array" ref="J283">EVAL($AG$13,B283)</f>
        <v>123.5537686890586</v>
      </c>
      <c r="K283" s="15" cm="1">
        <f t="array" ref="K283">EVAL($AG$14,B283)</f>
        <v>1.4628283293200559</v>
      </c>
      <c r="L283" s="15" cm="1">
        <f t="array" ref="L283">EVAL($AG$15,B283)</f>
        <v>69.760602643348392</v>
      </c>
      <c r="M283" s="15" cm="1">
        <f t="array" ref="M283">EVAL($AG$16,B283)</f>
        <v>0.91085297671477872</v>
      </c>
      <c r="N283" s="15" cm="1">
        <f t="array" ref="N283">EVAL($AG$17,B283)</f>
        <v>39.985502063155309</v>
      </c>
      <c r="O283" s="15" cm="1">
        <f t="array" ref="O283">EVAL($AG$18,B283)</f>
        <v>8.8587880047851578E-3</v>
      </c>
      <c r="P283" s="15" cm="1">
        <f t="array" ref="P283">EVAL($AG$19,B283)</f>
        <v>8.8587880047851578E-3</v>
      </c>
      <c r="Q283" s="15" cm="1">
        <f t="array" ref="Q283">EVAL($AH$6,B283)</f>
        <v>1.1747691220886516</v>
      </c>
      <c r="R283" s="15" cm="1">
        <f t="array" ref="R283">EVAL($AH$7,B283)</f>
        <v>1.1747691220886516</v>
      </c>
      <c r="T283" s="15" cm="1">
        <f t="array" ref="T283">EVAL($AH$9,B283)</f>
        <v>0.77549223525979138</v>
      </c>
      <c r="U283" s="15" cm="1">
        <f t="array" ref="U283">EVAL($AH$10,B283)</f>
        <v>0.77549223525979138</v>
      </c>
      <c r="V283" s="15" cm="1">
        <f t="array" ref="V283">EVAL($AH$11,B283)</f>
        <v>0.77549223525979138</v>
      </c>
      <c r="W283" s="15" cm="1">
        <f t="array" ref="W283">EVAL($AH$12,B283)</f>
        <v>33.732414738900026</v>
      </c>
      <c r="X283" s="15" cm="1">
        <f t="array" ref="X283">EVAL($AH$13,B283)</f>
        <v>0.36102820566034005</v>
      </c>
      <c r="Y283" s="15" cm="1">
        <f t="array" ref="Y283">EVAL($AH$14,B283)</f>
        <v>0.36102820566034005</v>
      </c>
    </row>
    <row r="284" spans="1:25" x14ac:dyDescent="0.25">
      <c r="A284" s="20">
        <v>29.100000000000101</v>
      </c>
      <c r="B284" s="41">
        <f t="shared" si="4"/>
        <v>91.420346219463298</v>
      </c>
      <c r="C284" s="15" cm="1">
        <f t="array" ref="C284">EVAL($AG$6,B284)</f>
        <v>325.74876243571492</v>
      </c>
      <c r="D284" s="15" cm="1">
        <f t="array" ref="D284">EVAL($AG$7,B284)</f>
        <v>3.7730486892328221</v>
      </c>
      <c r="F284" s="15" cm="1">
        <f t="array" ref="F284">EVAL($AG$9,B284)</f>
        <v>2.0842581706522783</v>
      </c>
      <c r="G284" s="15" cm="1">
        <f t="array" ref="G284">EVAL($AG$10,B284)</f>
        <v>2.0842581706522783</v>
      </c>
      <c r="H284" s="15" cm="1">
        <f t="array" ref="H284">EVAL($AG$11,B284)</f>
        <v>2.0842581706522783</v>
      </c>
      <c r="I284" s="15" cm="1">
        <f t="array" ref="I284">EVAL($AG$12,B284)</f>
        <v>1.9976485951225555</v>
      </c>
      <c r="J284" s="15" cm="1">
        <f t="array" ref="J284">EVAL($AG$13,B284)</f>
        <v>123.87308148159178</v>
      </c>
      <c r="K284" s="15" cm="1">
        <f t="array" ref="K284">EVAL($AG$14,B284)</f>
        <v>1.4671764373234053</v>
      </c>
      <c r="L284" s="15" cm="1">
        <f t="array" ref="L284">EVAL($AG$15,B284)</f>
        <v>69.906736599257997</v>
      </c>
      <c r="M284" s="15" cm="1">
        <f t="array" ref="M284">EVAL($AG$16,B284)</f>
        <v>0.91245284243927494</v>
      </c>
      <c r="N284" s="15" cm="1">
        <f t="array" ref="N284">EVAL($AG$17,B284)</f>
        <v>40.041755348556038</v>
      </c>
      <c r="O284" s="15" cm="1">
        <f t="array" ref="O284">EVAL($AG$18,B284)</f>
        <v>8.8419403120670575E-3</v>
      </c>
      <c r="P284" s="15" cm="1">
        <f t="array" ref="P284">EVAL($AG$19,B284)</f>
        <v>8.8419403120670575E-3</v>
      </c>
      <c r="Q284" s="15" cm="1">
        <f t="array" ref="Q284">EVAL($AH$6,B284)</f>
        <v>1.1764416801269113</v>
      </c>
      <c r="R284" s="15" cm="1">
        <f t="array" ref="R284">EVAL($AH$7,B284)</f>
        <v>1.1764416801269113</v>
      </c>
      <c r="T284" s="15" cm="1">
        <f t="array" ref="T284">EVAL($AH$9,B284)</f>
        <v>0.77653564764940053</v>
      </c>
      <c r="U284" s="15" cm="1">
        <f t="array" ref="U284">EVAL($AH$10,B284)</f>
        <v>0.77653564764940053</v>
      </c>
      <c r="V284" s="15" cm="1">
        <f t="array" ref="V284">EVAL($AH$11,B284)</f>
        <v>0.77653564764940053</v>
      </c>
      <c r="W284" s="15" cm="1">
        <f t="array" ref="W284">EVAL($AH$12,B284)</f>
        <v>33.90449867764616</v>
      </c>
      <c r="X284" s="15" cm="1">
        <f t="array" ref="X284">EVAL($AH$13,B284)</f>
        <v>0.3613519715317644</v>
      </c>
      <c r="Y284" s="15" cm="1">
        <f t="array" ref="Y284">EVAL($AH$14,B284)</f>
        <v>0.3613519715317644</v>
      </c>
    </row>
    <row r="285" spans="1:25" x14ac:dyDescent="0.25">
      <c r="A285" s="20">
        <v>29.200000000000099</v>
      </c>
      <c r="B285" s="41">
        <f t="shared" si="4"/>
        <v>91.734505484822265</v>
      </c>
      <c r="C285" s="15" cm="1">
        <f t="array" ref="C285">EVAL($AG$6,B285)</f>
        <v>326.52242582767525</v>
      </c>
      <c r="D285" s="15" cm="1">
        <f t="array" ref="D285">EVAL($AG$7,B285)</f>
        <v>3.7766927701336876</v>
      </c>
      <c r="F285" s="15" cm="1">
        <f t="array" ref="F285">EVAL($AG$9,B285)</f>
        <v>2.0915360855900138</v>
      </c>
      <c r="G285" s="15" cm="1">
        <f t="array" ref="G285">EVAL($AG$10,B285)</f>
        <v>2.0915360855900138</v>
      </c>
      <c r="H285" s="15" cm="1">
        <f t="array" ref="H285">EVAL($AG$11,B285)</f>
        <v>2.0915360855900138</v>
      </c>
      <c r="I285" s="15" cm="1">
        <f t="array" ref="I285">EVAL($AG$12,B285)</f>
        <v>2.0041303794914738</v>
      </c>
      <c r="J285" s="15" cm="1">
        <f t="array" ref="J285">EVAL($AG$13,B285)</f>
        <v>124.19211984834506</v>
      </c>
      <c r="K285" s="15" cm="1">
        <f t="array" ref="K285">EVAL($AG$14,B285)</f>
        <v>1.4715224868088852</v>
      </c>
      <c r="L285" s="15" cm="1">
        <f t="array" ref="L285">EVAL($AG$15,B285)</f>
        <v>70.052673783095202</v>
      </c>
      <c r="M285" s="15" cm="1">
        <f t="array" ref="M285">EVAL($AG$16,B285)</f>
        <v>0.91405001539430264</v>
      </c>
      <c r="N285" s="15" cm="1">
        <f t="array" ref="N285">EVAL($AG$17,B285)</f>
        <v>40.09789438748642</v>
      </c>
      <c r="O285" s="15" cm="1">
        <f t="array" ref="O285">EVAL($AG$18,B285)</f>
        <v>8.8251822924243946E-3</v>
      </c>
      <c r="P285" s="15" cm="1">
        <f t="array" ref="P285">EVAL($AG$19,B285)</f>
        <v>8.8251822924243946E-3</v>
      </c>
      <c r="Q285" s="15" cm="1">
        <f t="array" ref="Q285">EVAL($AH$6,B285)</f>
        <v>1.1781108694237821</v>
      </c>
      <c r="R285" s="15" cm="1">
        <f t="array" ref="R285">EVAL($AH$7,B285)</f>
        <v>1.1781108694237821</v>
      </c>
      <c r="T285" s="15" cm="1">
        <f t="array" ref="T285">EVAL($AH$9,B285)</f>
        <v>0.77757687724927393</v>
      </c>
      <c r="U285" s="15" cm="1">
        <f t="array" ref="U285">EVAL($AH$10,B285)</f>
        <v>0.77757687724927393</v>
      </c>
      <c r="V285" s="15" cm="1">
        <f t="array" ref="V285">EVAL($AH$11,B285)</f>
        <v>0.77757687724927393</v>
      </c>
      <c r="W285" s="15" cm="1">
        <f t="array" ref="W285">EVAL($AH$12,B285)</f>
        <v>34.076865634653373</v>
      </c>
      <c r="X285" s="15" cm="1">
        <f t="array" ref="X285">EVAL($AH$13,B285)</f>
        <v>0.36167491556868658</v>
      </c>
      <c r="Y285" s="15" cm="1">
        <f t="array" ref="Y285">EVAL($AH$14,B285)</f>
        <v>0.36167491556868658</v>
      </c>
    </row>
    <row r="286" spans="1:25" x14ac:dyDescent="0.25">
      <c r="A286" s="20">
        <v>29.3000000000001</v>
      </c>
      <c r="B286" s="41">
        <f t="shared" si="4"/>
        <v>92.04866475018126</v>
      </c>
      <c r="C286" s="15" cm="1">
        <f t="array" ref="C286">EVAL($AG$6,B286)</f>
        <v>327.29527226875274</v>
      </c>
      <c r="D286" s="15" cm="1">
        <f t="array" ref="D286">EVAL($AG$7,B286)</f>
        <v>3.7803278941032534</v>
      </c>
      <c r="F286" s="15" cm="1">
        <f t="array" ref="F286">EVAL($AG$9,B286)</f>
        <v>2.0988144018218846</v>
      </c>
      <c r="G286" s="15" cm="1">
        <f t="array" ref="G286">EVAL($AG$10,B286)</f>
        <v>2.0988144018218846</v>
      </c>
      <c r="H286" s="15" cm="1">
        <f t="array" ref="H286">EVAL($AG$11,B286)</f>
        <v>2.0988144018218846</v>
      </c>
      <c r="I286" s="15" cm="1">
        <f t="array" ref="I286">EVAL($AG$12,B286)</f>
        <v>2.0106109275532602</v>
      </c>
      <c r="J286" s="15" cm="1">
        <f t="array" ref="J286">EVAL($AG$13,B286)</f>
        <v>124.51088496377574</v>
      </c>
      <c r="K286" s="15" cm="1">
        <f t="array" ref="K286">EVAL($AG$14,B286)</f>
        <v>1.4758664857958042</v>
      </c>
      <c r="L286" s="15" cm="1">
        <f t="array" ref="L286">EVAL($AG$15,B286)</f>
        <v>70.198415132338184</v>
      </c>
      <c r="M286" s="15" cm="1">
        <f t="array" ref="M286">EVAL($AG$16,B286)</f>
        <v>0.91564450931073338</v>
      </c>
      <c r="N286" s="15" cm="1">
        <f t="array" ref="N286">EVAL($AG$17,B286)</f>
        <v>40.153919802039979</v>
      </c>
      <c r="O286" s="15" cm="1">
        <f t="array" ref="O286">EVAL($AG$18,B286)</f>
        <v>8.8085131639101394E-3</v>
      </c>
      <c r="P286" s="15" cm="1">
        <f t="array" ref="P286">EVAL($AG$19,B286)</f>
        <v>8.8085131639101394E-3</v>
      </c>
      <c r="Q286" s="15" cm="1">
        <f t="array" ref="Q286">EVAL($AH$6,B286)</f>
        <v>1.1797767082663757</v>
      </c>
      <c r="R286" s="15" cm="1">
        <f t="array" ref="R286">EVAL($AH$7,B286)</f>
        <v>1.1797767082663757</v>
      </c>
      <c r="T286" s="15" cm="1">
        <f t="array" ref="T286">EVAL($AH$9,B286)</f>
        <v>0.77861593607767254</v>
      </c>
      <c r="U286" s="15" cm="1">
        <f t="array" ref="U286">EVAL($AH$10,B286)</f>
        <v>0.77861593607767254</v>
      </c>
      <c r="V286" s="15" cm="1">
        <f t="array" ref="V286">EVAL($AH$11,B286)</f>
        <v>0.77861593607767254</v>
      </c>
      <c r="W286" s="15" cm="1">
        <f t="array" ref="W286">EVAL($AH$12,B286)</f>
        <v>34.249515103755591</v>
      </c>
      <c r="X286" s="15" cm="1">
        <f t="array" ref="X286">EVAL($AH$13,B286)</f>
        <v>0.36199704266103755</v>
      </c>
      <c r="Y286" s="15" cm="1">
        <f t="array" ref="Y286">EVAL($AH$14,B286)</f>
        <v>0.36199704266103755</v>
      </c>
    </row>
    <row r="287" spans="1:25" x14ac:dyDescent="0.25">
      <c r="A287" s="20">
        <v>29.400000000000102</v>
      </c>
      <c r="B287" s="41">
        <f t="shared" si="4"/>
        <v>92.362824015540241</v>
      </c>
      <c r="C287" s="15" cm="1">
        <f t="array" ref="C287">EVAL($AG$6,B287)</f>
        <v>328.06730540543771</v>
      </c>
      <c r="D287" s="15" cm="1">
        <f t="array" ref="D287">EVAL($AG$7,B287)</f>
        <v>3.7839541136144899</v>
      </c>
      <c r="F287" s="15" cm="1">
        <f t="array" ref="F287">EVAL($AG$9,B287)</f>
        <v>2.106093118000294</v>
      </c>
      <c r="G287" s="15" cm="1">
        <f t="array" ref="G287">EVAL($AG$10,B287)</f>
        <v>2.106093118000294</v>
      </c>
      <c r="H287" s="15" cm="1">
        <f t="array" ref="H287">EVAL($AG$11,B287)</f>
        <v>2.106093118000294</v>
      </c>
      <c r="I287" s="15" cm="1">
        <f t="array" ref="I287">EVAL($AG$12,B287)</f>
        <v>2.0170902437620066</v>
      </c>
      <c r="J287" s="15" cm="1">
        <f t="array" ref="J287">EVAL($AG$13,B287)</f>
        <v>124.82937799332488</v>
      </c>
      <c r="K287" s="15" cm="1">
        <f t="array" ref="K287">EVAL($AG$14,B287)</f>
        <v>1.4802084422449724</v>
      </c>
      <c r="L287" s="15" cm="1">
        <f t="array" ref="L287">EVAL($AG$15,B287)</f>
        <v>70.343961576816469</v>
      </c>
      <c r="M287" s="15" cm="1">
        <f t="array" ref="M287">EVAL($AG$16,B287)</f>
        <v>0.91723633780283564</v>
      </c>
      <c r="N287" s="15" cm="1">
        <f t="array" ref="N287">EVAL($AG$17,B287)</f>
        <v>40.209832208813317</v>
      </c>
      <c r="O287" s="15" cm="1">
        <f t="array" ref="O287">EVAL($AG$18,B287)</f>
        <v>8.7919321540343223E-3</v>
      </c>
      <c r="P287" s="15" cm="1">
        <f t="array" ref="P287">EVAL($AG$19,B287)</f>
        <v>8.7919321540343223E-3</v>
      </c>
      <c r="Q287" s="15" cm="1">
        <f t="array" ref="Q287">EVAL($AH$6,B287)</f>
        <v>1.1814392147805188</v>
      </c>
      <c r="R287" s="15" cm="1">
        <f t="array" ref="R287">EVAL($AH$7,B287)</f>
        <v>1.1814392147805188</v>
      </c>
      <c r="T287" s="15" cm="1">
        <f t="array" ref="T287">EVAL($AH$9,B287)</f>
        <v>0.77965283604593583</v>
      </c>
      <c r="U287" s="15" cm="1">
        <f t="array" ref="U287">EVAL($AH$10,B287)</f>
        <v>0.77965283604593583</v>
      </c>
      <c r="V287" s="15" cm="1">
        <f t="array" ref="V287">EVAL($AH$11,B287)</f>
        <v>0.77965283604593583</v>
      </c>
      <c r="W287" s="15" cm="1">
        <f t="array" ref="W287">EVAL($AH$12,B287)</f>
        <v>34.422446581417773</v>
      </c>
      <c r="X287" s="15" cm="1">
        <f t="array" ref="X287">EVAL($AH$13,B287)</f>
        <v>0.36231835765308373</v>
      </c>
      <c r="Y287" s="15" cm="1">
        <f t="array" ref="Y287">EVAL($AH$14,B287)</f>
        <v>0.36231835765308373</v>
      </c>
    </row>
    <row r="288" spans="1:25" x14ac:dyDescent="0.25">
      <c r="A288" s="20">
        <v>29.500000000000099</v>
      </c>
      <c r="B288" s="41">
        <f t="shared" si="4"/>
        <v>92.676983280899208</v>
      </c>
      <c r="C288" s="15" cm="1">
        <f t="array" ref="C288">EVAL($AG$6,B288)</f>
        <v>328.83852885560469</v>
      </c>
      <c r="D288" s="15" cm="1">
        <f t="array" ref="D288">EVAL($AG$7,B288)</f>
        <v>3.7875714806557488</v>
      </c>
      <c r="F288" s="15" cm="1">
        <f t="array" ref="F288">EVAL($AG$9,B288)</f>
        <v>2.1133722327867464</v>
      </c>
      <c r="G288" s="15" cm="1">
        <f t="array" ref="G288">EVAL($AG$10,B288)</f>
        <v>2.1133722327867464</v>
      </c>
      <c r="H288" s="15" cm="1">
        <f t="array" ref="H288">EVAL($AG$11,B288)</f>
        <v>2.1133722327867464</v>
      </c>
      <c r="I288" s="15" cm="1">
        <f t="array" ref="I288">EVAL($AG$12,B288)</f>
        <v>2.0235683325406804</v>
      </c>
      <c r="J288" s="15" cm="1">
        <f t="array" ref="J288">EVAL($AG$13,B288)</f>
        <v>125.14760009351799</v>
      </c>
      <c r="K288" s="15" cm="1">
        <f t="array" ref="K288">EVAL($AG$14,B288)</f>
        <v>1.4845483640593324</v>
      </c>
      <c r="L288" s="15" cm="1">
        <f t="array" ref="L288">EVAL($AG$15,B288)</f>
        <v>70.489314038799279</v>
      </c>
      <c r="M288" s="15" cm="1">
        <f t="array" ref="M288">EVAL($AG$16,B288)</f>
        <v>0.91882551436966275</v>
      </c>
      <c r="N288" s="15" cm="1">
        <f t="array" ref="N288">EVAL($AG$17,B288)</f>
        <v>40.265632218973266</v>
      </c>
      <c r="O288" s="15" cm="1">
        <f t="array" ref="O288">EVAL($AG$18,B288)</f>
        <v>8.7754384996179529E-3</v>
      </c>
      <c r="P288" s="15" cm="1">
        <f t="array" ref="P288">EVAL($AG$19,B288)</f>
        <v>8.7754384996179529E-3</v>
      </c>
      <c r="Q288" s="15" cm="1">
        <f t="array" ref="Q288">EVAL($AH$6,B288)</f>
        <v>1.1830984069327226</v>
      </c>
      <c r="R288" s="15" cm="1">
        <f t="array" ref="R288">EVAL($AH$7,B288)</f>
        <v>1.1830984069327226</v>
      </c>
      <c r="T288" s="15" cm="1">
        <f t="array" ref="T288">EVAL($AH$9,B288)</f>
        <v>0.78068758895979407</v>
      </c>
      <c r="U288" s="15" cm="1">
        <f t="array" ref="U288">EVAL($AH$10,B288)</f>
        <v>0.78068758895979407</v>
      </c>
      <c r="V288" s="15" cm="1">
        <f t="array" ref="V288">EVAL($AH$11,B288)</f>
        <v>0.78068758895979407</v>
      </c>
      <c r="W288" s="15" cm="1">
        <f t="array" ref="W288">EVAL($AH$12,B288)</f>
        <v>34.595659566713636</v>
      </c>
      <c r="X288" s="15" cm="1">
        <f t="array" ref="X288">EVAL($AH$13,B288)</f>
        <v>0.36263886534400808</v>
      </c>
      <c r="Y288" s="15" cm="1">
        <f t="array" ref="Y288">EVAL($AH$14,B288)</f>
        <v>0.36263886534400808</v>
      </c>
    </row>
    <row r="289" spans="1:25" x14ac:dyDescent="0.25">
      <c r="A289" s="20">
        <v>29.600000000000101</v>
      </c>
      <c r="B289" s="41">
        <f t="shared" si="4"/>
        <v>92.991142546258189</v>
      </c>
      <c r="C289" s="15" cm="1">
        <f t="array" ref="C289">EVAL($AG$6,B289)</f>
        <v>329.60894620882925</v>
      </c>
      <c r="D289" s="15" cm="1">
        <f t="array" ref="D289">EVAL($AG$7,B289)</f>
        <v>3.7911800467368519</v>
      </c>
      <c r="F289" s="15" cm="1">
        <f t="array" ref="F289">EVAL($AG$9,B289)</f>
        <v>2.1206517448517364</v>
      </c>
      <c r="G289" s="15" cm="1">
        <f t="array" ref="G289">EVAL($AG$10,B289)</f>
        <v>2.1206517448517364</v>
      </c>
      <c r="H289" s="15" cm="1">
        <f t="array" ref="H289">EVAL($AG$11,B289)</f>
        <v>2.1206517448517364</v>
      </c>
      <c r="I289" s="15" cm="1">
        <f t="array" ref="I289">EVAL($AG$12,B289)</f>
        <v>2.0300451982814116</v>
      </c>
      <c r="J289" s="15" cm="1">
        <f t="array" ref="J289">EVAL($AG$13,B289)</f>
        <v>125.46555241206191</v>
      </c>
      <c r="K289" s="15" cm="1">
        <f t="array" ref="K289">EVAL($AG$14,B289)</f>
        <v>1.4888862590845622</v>
      </c>
      <c r="L289" s="15" cm="1">
        <f t="array" ref="L289">EVAL($AG$15,B289)</f>
        <v>70.634473433082093</v>
      </c>
      <c r="M289" s="15" cm="1">
        <f t="array" ref="M289">EVAL($AG$16,B289)</f>
        <v>0.92041205239640878</v>
      </c>
      <c r="N289" s="15" cm="1">
        <f t="array" ref="N289">EVAL($AG$17,B289)</f>
        <v>40.321320438322793</v>
      </c>
      <c r="O289" s="15" cm="1">
        <f t="array" ref="O289">EVAL($AG$18,B289)</f>
        <v>8.7590314466497246E-3</v>
      </c>
      <c r="P289" s="15" cm="1">
        <f t="array" ref="P289">EVAL($AG$19,B289)</f>
        <v>8.7590314466497246E-3</v>
      </c>
      <c r="Q289" s="15" cm="1">
        <f t="array" ref="Q289">EVAL($AH$6,B289)</f>
        <v>1.1847543025321117</v>
      </c>
      <c r="R289" s="15" cm="1">
        <f t="array" ref="R289">EVAL($AH$7,B289)</f>
        <v>1.1847543025321117</v>
      </c>
      <c r="T289" s="15" cm="1">
        <f t="array" ref="T289">EVAL($AH$9,B289)</f>
        <v>0.78172020652065688</v>
      </c>
      <c r="U289" s="15" cm="1">
        <f t="array" ref="U289">EVAL($AH$10,B289)</f>
        <v>0.78172020652065688</v>
      </c>
      <c r="V289" s="15" cm="1">
        <f t="array" ref="V289">EVAL($AH$11,B289)</f>
        <v>0.78172020652065688</v>
      </c>
      <c r="W289" s="15" cm="1">
        <f t="array" ref="W289">EVAL($AH$12,B289)</f>
        <v>34.769153561302829</v>
      </c>
      <c r="X289" s="15" cm="1">
        <f t="array" ref="X289">EVAL($AH$13,B289)</f>
        <v>0.36295857048847951</v>
      </c>
      <c r="Y289" s="15" cm="1">
        <f t="array" ref="Y289">EVAL($AH$14,B289)</f>
        <v>0.36295857048847951</v>
      </c>
    </row>
    <row r="290" spans="1:25" x14ac:dyDescent="0.25">
      <c r="A290" s="20">
        <v>29.700000000000099</v>
      </c>
      <c r="B290" s="41">
        <f t="shared" si="4"/>
        <v>93.30530181161717</v>
      </c>
      <c r="C290" s="15" cm="1">
        <f t="array" ref="C290">EVAL($AG$6,B290)</f>
        <v>330.37856102670764</v>
      </c>
      <c r="D290" s="15" cm="1">
        <f t="array" ref="D290">EVAL($AG$7,B290)</f>
        <v>3.7947798628951039</v>
      </c>
      <c r="F290" s="15" cm="1">
        <f t="array" ref="F290">EVAL($AG$9,B290)</f>
        <v>2.1279316528746737</v>
      </c>
      <c r="G290" s="15" cm="1">
        <f t="array" ref="G290">EVAL($AG$10,B290)</f>
        <v>2.1279316528746737</v>
      </c>
      <c r="H290" s="15" cm="1">
        <f t="array" ref="H290">EVAL($AG$11,B290)</f>
        <v>2.1279316528746737</v>
      </c>
      <c r="I290" s="15" cm="1">
        <f t="array" ref="I290">EVAL($AG$12,B290)</f>
        <v>2.0365208453458394</v>
      </c>
      <c r="J290" s="15" cm="1">
        <f t="array" ref="J290">EVAL($AG$13,B290)</f>
        <v>125.78323608794247</v>
      </c>
      <c r="K290" s="15" cm="1">
        <f t="array" ref="K290">EVAL($AG$14,B290)</f>
        <v>1.4932221351096904</v>
      </c>
      <c r="L290" s="15" cm="1">
        <f t="array" ref="L290">EVAL($AG$15,B290)</f>
        <v>70.779440667072436</v>
      </c>
      <c r="M290" s="15" cm="1">
        <f t="array" ref="M290">EVAL($AG$16,B290)</f>
        <v>0.92199596515575399</v>
      </c>
      <c r="N290" s="15" cm="1">
        <f t="array" ref="N290">EVAL($AG$17,B290)</f>
        <v>40.376897467366064</v>
      </c>
      <c r="O290" s="15" cm="1">
        <f t="array" ref="O290">EVAL($AG$18,B290)</f>
        <v>8.7427102501453548E-3</v>
      </c>
      <c r="P290" s="15" cm="1">
        <f t="array" ref="P290">EVAL($AG$19,B290)</f>
        <v>8.7427102501453548E-3</v>
      </c>
      <c r="Q290" s="15" cm="1">
        <f t="array" ref="Q290">EVAL($AH$6,B290)</f>
        <v>1.1864069192323345</v>
      </c>
      <c r="R290" s="15" cm="1">
        <f t="array" ref="R290">EVAL($AH$7,B290)</f>
        <v>1.1864069192323345</v>
      </c>
      <c r="T290" s="15" cm="1">
        <f t="array" ref="T290">EVAL($AH$9,B290)</f>
        <v>0.78275070032688554</v>
      </c>
      <c r="U290" s="15" cm="1">
        <f t="array" ref="U290">EVAL($AH$10,B290)</f>
        <v>0.78275070032688554</v>
      </c>
      <c r="V290" s="15" cm="1">
        <f t="array" ref="V290">EVAL($AH$11,B290)</f>
        <v>0.78275070032688554</v>
      </c>
      <c r="W290" s="15" cm="1">
        <f t="array" ref="W290">EVAL($AH$12,B290)</f>
        <v>34.942928069409255</v>
      </c>
      <c r="X290" s="15" cm="1">
        <f t="array" ref="X290">EVAL($AH$13,B290)</f>
        <v>0.36327747779721531</v>
      </c>
      <c r="Y290" s="15" cm="1">
        <f t="array" ref="Y290">EVAL($AH$14,B290)</f>
        <v>0.36327747779721531</v>
      </c>
    </row>
    <row r="291" spans="1:25" x14ac:dyDescent="0.25">
      <c r="A291" s="20">
        <v>29.8000000000001</v>
      </c>
      <c r="B291" s="41">
        <f t="shared" si="4"/>
        <v>93.619461076976151</v>
      </c>
      <c r="C291" s="15" cm="1">
        <f t="array" ref="C291">EVAL($AG$6,B291)</f>
        <v>331.14737684316691</v>
      </c>
      <c r="D291" s="15" cm="1">
        <f t="array" ref="D291">EVAL($AG$7,B291)</f>
        <v>3.7983709797012049</v>
      </c>
      <c r="F291" s="15" cm="1">
        <f t="array" ref="F291">EVAL($AG$9,B291)</f>
        <v>2.1352119555437947</v>
      </c>
      <c r="G291" s="15" cm="1">
        <f t="array" ref="G291">EVAL($AG$10,B291)</f>
        <v>2.1352119555437947</v>
      </c>
      <c r="H291" s="15" cm="1">
        <f t="array" ref="H291">EVAL($AG$11,B291)</f>
        <v>2.1352119555437947</v>
      </c>
      <c r="I291" s="15" cm="1">
        <f t="array" ref="I291">EVAL($AG$12,B291)</f>
        <v>2.0429952780654146</v>
      </c>
      <c r="J291" s="15" cm="1">
        <f t="array" ref="J291">EVAL($AG$13,B291)</f>
        <v>126.10065225151972</v>
      </c>
      <c r="K291" s="15" cm="1">
        <f t="array" ref="K291">EVAL($AG$14,B291)</f>
        <v>1.4975559998676973</v>
      </c>
      <c r="L291" s="15" cm="1">
        <f t="array" ref="L291">EVAL($AG$15,B291)</f>
        <v>70.924216640874249</v>
      </c>
      <c r="M291" s="15" cm="1">
        <f t="array" ref="M291">EVAL($AG$16,B291)</f>
        <v>0.92357726580918609</v>
      </c>
      <c r="N291" s="15" cm="1">
        <f t="array" ref="N291">EVAL($AG$17,B291)</f>
        <v>40.432363901372561</v>
      </c>
      <c r="O291" s="15" cm="1">
        <f t="array" ref="O291">EVAL($AG$18,B291)</f>
        <v>8.7264741740095287E-3</v>
      </c>
      <c r="P291" s="15" cm="1">
        <f t="array" ref="P291">EVAL($AG$19,B291)</f>
        <v>8.7264741740095287E-3</v>
      </c>
      <c r="Q291" s="15" cm="1">
        <f t="array" ref="Q291">EVAL($AH$6,B291)</f>
        <v>1.188056274533438</v>
      </c>
      <c r="R291" s="15" cm="1">
        <f t="array" ref="R291">EVAL($AH$7,B291)</f>
        <v>1.188056274533438</v>
      </c>
      <c r="T291" s="15" cm="1">
        <f t="array" ref="T291">EVAL($AH$9,B291)</f>
        <v>0.78377908187504408</v>
      </c>
      <c r="U291" s="15" cm="1">
        <f t="array" ref="U291">EVAL($AH$10,B291)</f>
        <v>0.78377908187504408</v>
      </c>
      <c r="V291" s="15" cm="1">
        <f t="array" ref="V291">EVAL($AH$11,B291)</f>
        <v>0.78377908187504408</v>
      </c>
      <c r="W291" s="15" cm="1">
        <f t="array" ref="W291">EVAL($AH$12,B291)</f>
        <v>35.116982597799378</v>
      </c>
      <c r="X291" s="15" cm="1">
        <f t="array" ref="X291">EVAL($AH$13,B291)</f>
        <v>0.36359559193753449</v>
      </c>
      <c r="Y291" s="15" cm="1">
        <f t="array" ref="Y291">EVAL($AH$14,B291)</f>
        <v>0.36359559193753449</v>
      </c>
    </row>
    <row r="292" spans="1:25" x14ac:dyDescent="0.25">
      <c r="A292" s="20">
        <v>29.900000000000102</v>
      </c>
      <c r="B292" s="41">
        <f t="shared" si="4"/>
        <v>93.933620342335132</v>
      </c>
      <c r="C292" s="15" cm="1">
        <f t="array" ref="C292">EVAL($AG$6,B292)</f>
        <v>331.91539716477109</v>
      </c>
      <c r="D292" s="15" cm="1">
        <f t="array" ref="D292">EVAL($AG$7,B292)</f>
        <v>3.8019534472650527</v>
      </c>
      <c r="F292" s="15" cm="1">
        <f t="array" ref="F292">EVAL($AG$9,B292)</f>
        <v>2.1424926515560565</v>
      </c>
      <c r="G292" s="15" cm="1">
        <f t="array" ref="G292">EVAL($AG$10,B292)</f>
        <v>2.1424926515560565</v>
      </c>
      <c r="H292" s="15" cm="1">
        <f t="array" ref="H292">EVAL($AG$11,B292)</f>
        <v>2.1424926515560565</v>
      </c>
      <c r="I292" s="15" cm="1">
        <f t="array" ref="I292">EVAL($AG$12,B292)</f>
        <v>2.0494685007417077</v>
      </c>
      <c r="J292" s="15" cm="1">
        <f t="array" ref="J292">EVAL($AG$13,B292)</f>
        <v>126.41780202462138</v>
      </c>
      <c r="K292" s="15" cm="1">
        <f t="array" ref="K292">EVAL($AG$14,B292)</f>
        <v>1.5018878610360913</v>
      </c>
      <c r="L292" s="15" cm="1">
        <f t="array" ref="L292">EVAL($AG$15,B292)</f>
        <v>71.068802247370641</v>
      </c>
      <c r="M292" s="15" cm="1">
        <f t="array" ref="M292">EVAL($AG$16,B292)</f>
        <v>0.92515596740829675</v>
      </c>
      <c r="N292" s="15" cm="1">
        <f t="array" ref="N292">EVAL($AG$17,B292)</f>
        <v>40.487720330439913</v>
      </c>
      <c r="O292" s="15" cm="1">
        <f t="array" ref="O292">EVAL($AG$18,B292)</f>
        <v>8.7103224909005142E-3</v>
      </c>
      <c r="P292" s="15" cm="1">
        <f t="array" ref="P292">EVAL($AG$19,B292)</f>
        <v>8.7103224909005142E-3</v>
      </c>
      <c r="Q292" s="15" cm="1">
        <f t="array" ref="Q292">EVAL($AH$6,B292)</f>
        <v>1.1897023857837108</v>
      </c>
      <c r="R292" s="15" cm="1">
        <f t="array" ref="R292">EVAL($AH$7,B292)</f>
        <v>1.1897023857837108</v>
      </c>
      <c r="T292" s="15" cm="1">
        <f t="array" ref="T292">EVAL($AH$9,B292)</f>
        <v>0.78480536256112943</v>
      </c>
      <c r="U292" s="15" cm="1">
        <f t="array" ref="U292">EVAL($AH$10,B292)</f>
        <v>0.78480536256112943</v>
      </c>
      <c r="V292" s="15" cm="1">
        <f t="array" ref="V292">EVAL($AH$11,B292)</f>
        <v>0.78480536256112943</v>
      </c>
      <c r="W292" s="15" cm="1">
        <f t="array" ref="W292">EVAL($AH$12,B292)</f>
        <v>35.291316655760085</v>
      </c>
      <c r="X292" s="15" cm="1">
        <f t="array" ref="X292">EVAL($AH$13,B292)</f>
        <v>0.36391291753389987</v>
      </c>
      <c r="Y292" s="15" cm="1">
        <f t="array" ref="Y292">EVAL($AH$14,B292)</f>
        <v>0.36391291753389987</v>
      </c>
    </row>
    <row r="293" spans="1:25" x14ac:dyDescent="0.25">
      <c r="A293" s="20">
        <v>30.000000000000099</v>
      </c>
      <c r="B293" s="41">
        <f t="shared" si="4"/>
        <v>94.247779607694099</v>
      </c>
      <c r="C293" s="15" cm="1">
        <f t="array" ref="C293">EVAL($AG$6,B293)</f>
        <v>332.68262547102637</v>
      </c>
      <c r="D293" s="15" cm="1">
        <f t="array" ref="D293">EVAL($AG$7,B293)</f>
        <v>3.805527315241485</v>
      </c>
      <c r="F293" s="15" cm="1">
        <f t="array" ref="F293">EVAL($AG$9,B293)</f>
        <v>2.1497737396170793</v>
      </c>
      <c r="G293" s="15" cm="1">
        <f t="array" ref="G293">EVAL($AG$10,B293)</f>
        <v>2.1497737396170793</v>
      </c>
      <c r="H293" s="15" cm="1">
        <f t="array" ref="H293">EVAL($AG$11,B293)</f>
        <v>2.1497737396170793</v>
      </c>
      <c r="I293" s="15" cm="1">
        <f t="array" ref="I293">EVAL($AG$12,B293)</f>
        <v>2.0559405176467247</v>
      </c>
      <c r="J293" s="15" cm="1">
        <f t="array" ref="J293">EVAL($AG$13,B293)</f>
        <v>126.73468652063691</v>
      </c>
      <c r="K293" s="15" cm="1">
        <f t="array" ref="K293">EVAL($AG$14,B293)</f>
        <v>1.5062177262375134</v>
      </c>
      <c r="L293" s="15" cm="1">
        <f t="array" ref="L293">EVAL($AG$15,B293)</f>
        <v>71.213198372306408</v>
      </c>
      <c r="M293" s="15" cm="1">
        <f t="array" ref="M293">EVAL($AG$16,B293)</f>
        <v>0.9267320828960719</v>
      </c>
      <c r="N293" s="15" cm="1">
        <f t="array" ref="N293">EVAL($AG$17,B293)</f>
        <v>40.542967339556192</v>
      </c>
      <c r="O293" s="15" cm="1">
        <f t="array" ref="O293">EVAL($AG$18,B293)</f>
        <v>8.6942544820971211E-3</v>
      </c>
      <c r="P293" s="15" cm="1">
        <f t="array" ref="P293">EVAL($AG$19,B293)</f>
        <v>8.6942544820971211E-3</v>
      </c>
      <c r="Q293" s="15" cm="1">
        <f t="array" ref="Q293">EVAL($AH$6,B293)</f>
        <v>1.191345270181509</v>
      </c>
      <c r="R293" s="15" cm="1">
        <f t="array" ref="R293">EVAL($AH$7,B293)</f>
        <v>1.191345270181509</v>
      </c>
      <c r="T293" s="15" cm="1">
        <f t="array" ref="T293">EVAL($AH$9,B293)</f>
        <v>0.78582955368178797</v>
      </c>
      <c r="U293" s="15" cm="1">
        <f t="array" ref="U293">EVAL($AH$10,B293)</f>
        <v>0.78582955368178797</v>
      </c>
      <c r="V293" s="15" cm="1">
        <f t="array" ref="V293">EVAL($AH$11,B293)</f>
        <v>0.78582955368178797</v>
      </c>
      <c r="W293" s="15" cm="1">
        <f t="array" ref="W293">EVAL($AH$12,B293)</f>
        <v>35.465929755078321</v>
      </c>
      <c r="X293" s="15" cm="1">
        <f t="array" ref="X293">EVAL($AH$13,B293)</f>
        <v>0.36422945916845595</v>
      </c>
      <c r="Y293" s="15" cm="1">
        <f t="array" ref="Y293">EVAL($AH$14,B293)</f>
        <v>0.36422945916845595</v>
      </c>
    </row>
    <row r="294" spans="1:25" x14ac:dyDescent="0.25">
      <c r="A294" s="20">
        <v>30.1000000000002</v>
      </c>
      <c r="B294" s="41">
        <f t="shared" si="4"/>
        <v>94.561938873053407</v>
      </c>
      <c r="C294" s="15" cm="1">
        <f t="array" ref="C294">EVAL($AG$6,B294)</f>
        <v>333.44906521467732</v>
      </c>
      <c r="D294" s="15" cm="1">
        <f t="array" ref="D294">EVAL($AG$7,B294)</f>
        <v>3.8090926328359007</v>
      </c>
      <c r="F294" s="15" cm="1">
        <f t="array" ref="F294">EVAL($AG$9,B294)</f>
        <v>2.1570552184410392</v>
      </c>
      <c r="G294" s="15" cm="1">
        <f t="array" ref="G294">EVAL($AG$10,B294)</f>
        <v>2.1570552184410392</v>
      </c>
      <c r="H294" s="15" cm="1">
        <f t="array" ref="H294">EVAL($AG$11,B294)</f>
        <v>2.1570552184410392</v>
      </c>
      <c r="I294" s="15" cm="1">
        <f t="array" ref="I294">EVAL($AG$12,B294)</f>
        <v>2.0624113330232015</v>
      </c>
      <c r="J294" s="15" cm="1">
        <f t="array" ref="J294">EVAL($AG$13,B294)</f>
        <v>127.05130684460774</v>
      </c>
      <c r="K294" s="15" cm="1">
        <f t="array" ref="K294">EVAL($AG$14,B294)</f>
        <v>1.5105456030402911</v>
      </c>
      <c r="L294" s="15" cm="1">
        <f t="array" ref="L294">EVAL($AG$15,B294)</f>
        <v>71.357405894368114</v>
      </c>
      <c r="M294" s="15" cm="1">
        <f t="array" ref="M294">EVAL($AG$16,B294)</f>
        <v>0.9283056251081464</v>
      </c>
      <c r="N294" s="15" cm="1">
        <f t="array" ref="N294">EVAL($AG$17,B294)</f>
        <v>40.5981055086609</v>
      </c>
      <c r="O294" s="15" cm="1">
        <f t="array" ref="O294">EVAL($AG$18,B294)</f>
        <v>8.6782694373682672E-3</v>
      </c>
      <c r="P294" s="15" cm="1">
        <f t="array" ref="P294">EVAL($AG$19,B294)</f>
        <v>8.6782694373682672E-3</v>
      </c>
      <c r="Q294" s="15" cm="1">
        <f t="array" ref="Q294">EVAL($AH$6,B294)</f>
        <v>1.1929849447770418</v>
      </c>
      <c r="R294" s="15" cm="1">
        <f t="array" ref="R294">EVAL($AH$7,B294)</f>
        <v>1.1929849447770418</v>
      </c>
      <c r="T294" s="15" cm="1">
        <f t="array" ref="T294">EVAL($AH$9,B294)</f>
        <v>0.78685166643550519</v>
      </c>
      <c r="U294" s="15" cm="1">
        <f t="array" ref="U294">EVAL($AH$10,B294)</f>
        <v>0.78685166643550519</v>
      </c>
      <c r="V294" s="15" cm="1">
        <f t="array" ref="V294">EVAL($AH$11,B294)</f>
        <v>0.78685166643550519</v>
      </c>
      <c r="W294" s="15" cm="1">
        <f t="array" ref="W294">EVAL($AH$12,B294)</f>
        <v>35.640821410019413</v>
      </c>
      <c r="X294" s="15" cm="1">
        <f t="array" ref="X294">EVAL($AH$13,B294)</f>
        <v>0.36454522138155371</v>
      </c>
      <c r="Y294" s="15" cm="1">
        <f t="array" ref="Y294">EVAL($AH$14,B294)</f>
        <v>0.36454522138155371</v>
      </c>
    </row>
    <row r="295" spans="1:25" x14ac:dyDescent="0.25">
      <c r="A295" s="20">
        <v>30.200000000000198</v>
      </c>
      <c r="B295" s="41">
        <f t="shared" si="4"/>
        <v>94.876098138412374</v>
      </c>
      <c r="C295" s="15" cm="1">
        <f t="array" ref="C295">EVAL($AG$6,B295)</f>
        <v>334.21471982199955</v>
      </c>
      <c r="D295" s="15" cm="1">
        <f t="array" ref="D295">EVAL($AG$7,B295)</f>
        <v>3.8126494488097995</v>
      </c>
      <c r="F295" s="15" cm="1">
        <f t="array" ref="F295">EVAL($AG$9,B295)</f>
        <v>2.1643370867505669</v>
      </c>
      <c r="G295" s="15" cm="1">
        <f t="array" ref="G295">EVAL($AG$10,B295)</f>
        <v>2.1643370867505669</v>
      </c>
      <c r="H295" s="15" cm="1">
        <f t="array" ref="H295">EVAL($AG$11,B295)</f>
        <v>2.1643370867505669</v>
      </c>
      <c r="I295" s="15" cm="1">
        <f t="array" ref="I295">EVAL($AG$12,B295)</f>
        <v>2.0688809510848833</v>
      </c>
      <c r="J295" s="15" cm="1">
        <f t="array" ref="J295">EVAL($AG$13,B295)</f>
        <v>127.36766409331693</v>
      </c>
      <c r="K295" s="15" cm="1">
        <f t="array" ref="K295">EVAL($AG$14,B295)</f>
        <v>1.5148714989590035</v>
      </c>
      <c r="L295" s="15" cm="1">
        <f t="array" ref="L295">EVAL($AG$15,B295)</f>
        <v>71.501425685263442</v>
      </c>
      <c r="M295" s="15" cm="1">
        <f t="array" ref="M295">EVAL($AG$16,B295)</f>
        <v>0.92987660677404915</v>
      </c>
      <c r="N295" s="15" cm="1">
        <f t="array" ref="N295">EVAL($AG$17,B295)</f>
        <v>40.653135412705012</v>
      </c>
      <c r="O295" s="15" cm="1">
        <f t="array" ref="O295">EVAL($AG$18,B295)</f>
        <v>8.6623666548449191E-3</v>
      </c>
      <c r="P295" s="15" cm="1">
        <f t="array" ref="P295">EVAL($AG$19,B295)</f>
        <v>8.6623666548449191E-3</v>
      </c>
      <c r="Q295" s="15" cm="1">
        <f t="array" ref="Q295">EVAL($AH$6,B295)</f>
        <v>1.1946214264741322</v>
      </c>
      <c r="R295" s="15" cm="1">
        <f t="array" ref="R295">EVAL($AH$7,B295)</f>
        <v>1.1946214264741322</v>
      </c>
      <c r="T295" s="15" cm="1">
        <f t="array" ref="T295">EVAL($AH$9,B295)</f>
        <v>0.78787171192378203</v>
      </c>
      <c r="U295" s="15" cm="1">
        <f t="array" ref="U295">EVAL($AH$10,B295)</f>
        <v>0.78787171192378203</v>
      </c>
      <c r="V295" s="15" cm="1">
        <f t="array" ref="V295">EVAL($AH$11,B295)</f>
        <v>0.78787171192378203</v>
      </c>
      <c r="W295" s="15" cm="1">
        <f t="array" ref="W295">EVAL($AH$12,B295)</f>
        <v>35.815991137305986</v>
      </c>
      <c r="X295" s="15" cm="1">
        <f t="array" ref="X295">EVAL($AH$13,B295)</f>
        <v>0.36486020867226937</v>
      </c>
      <c r="Y295" s="15" cm="1">
        <f t="array" ref="Y295">EVAL($AH$14,B295)</f>
        <v>0.36486020867226937</v>
      </c>
    </row>
    <row r="296" spans="1:25" x14ac:dyDescent="0.25">
      <c r="A296" s="20">
        <v>30.3000000000002</v>
      </c>
      <c r="B296" s="41">
        <f t="shared" si="4"/>
        <v>95.190257403771355</v>
      </c>
      <c r="C296" s="15" cm="1">
        <f t="array" ref="C296">EVAL($AG$6,B296)</f>
        <v>334.97959269309348</v>
      </c>
      <c r="D296" s="15" cm="1">
        <f t="array" ref="D296">EVAL($AG$7,B296)</f>
        <v>3.8161978114862611</v>
      </c>
      <c r="F296" s="15" cm="1">
        <f t="array" ref="F296">EVAL($AG$9,B296)</f>
        <v>2.1716193432767117</v>
      </c>
      <c r="G296" s="15" cm="1">
        <f t="array" ref="G296">EVAL($AG$10,B296)</f>
        <v>2.1716193432767117</v>
      </c>
      <c r="H296" s="15" cm="1">
        <f t="array" ref="H296">EVAL($AG$11,B296)</f>
        <v>2.1716193432767117</v>
      </c>
      <c r="I296" s="15" cm="1">
        <f t="array" ref="I296">EVAL($AG$12,B296)</f>
        <v>2.0753493760168524</v>
      </c>
      <c r="J296" s="15" cm="1">
        <f t="array" ref="J296">EVAL($AG$13,B296)</f>
        <v>127.68375935537956</v>
      </c>
      <c r="K296" s="15" cm="1">
        <f t="array" ref="K296">EVAL($AG$14,B296)</f>
        <v>1.519195421455058</v>
      </c>
      <c r="L296" s="15" cm="1">
        <f t="array" ref="L296">EVAL($AG$15,B296)</f>
        <v>71.645258609800209</v>
      </c>
      <c r="M296" s="15" cm="1">
        <f t="array" ref="M296">EVAL($AG$16,B296)</f>
        <v>0.93144504051843202</v>
      </c>
      <c r="N296" s="15" cm="1">
        <f t="array" ref="N296">EVAL($AG$17,B296)</f>
        <v>40.70805762171053</v>
      </c>
      <c r="O296" s="15" cm="1">
        <f t="array" ref="O296">EVAL($AG$18,B296)</f>
        <v>8.6465454408942433E-3</v>
      </c>
      <c r="P296" s="15" cm="1">
        <f t="array" ref="P296">EVAL($AG$19,B296)</f>
        <v>8.6465454408942433E-3</v>
      </c>
      <c r="Q296" s="15" cm="1">
        <f t="array" ref="Q296">EVAL($AH$6,B296)</f>
        <v>1.1962547320319621</v>
      </c>
      <c r="R296" s="15" cm="1">
        <f t="array" ref="R296">EVAL($AH$7,B296)</f>
        <v>1.1962547320319621</v>
      </c>
      <c r="T296" s="15" cm="1">
        <f t="array" ref="T296">EVAL($AH$9,B296)</f>
        <v>0.78888970115229717</v>
      </c>
      <c r="U296" s="15" cm="1">
        <f t="array" ref="U296">EVAL($AH$10,B296)</f>
        <v>0.78888970115229717</v>
      </c>
      <c r="V296" s="15" cm="1">
        <f t="array" ref="V296">EVAL($AH$11,B296)</f>
        <v>0.78888970115229717</v>
      </c>
      <c r="W296" s="15" cm="1">
        <f t="array" ref="W296">EVAL($AH$12,B296)</f>
        <v>35.991438456098415</v>
      </c>
      <c r="X296" s="15" cm="1">
        <f t="array" ref="X296">EVAL($AH$13,B296)</f>
        <v>0.36517442549891643</v>
      </c>
      <c r="Y296" s="15" cm="1">
        <f t="array" ref="Y296">EVAL($AH$14,B296)</f>
        <v>0.36517442549891643</v>
      </c>
    </row>
    <row r="297" spans="1:25" x14ac:dyDescent="0.25">
      <c r="A297" s="20">
        <v>30.400000000000201</v>
      </c>
      <c r="B297" s="41">
        <f t="shared" si="4"/>
        <v>95.504416669130336</v>
      </c>
      <c r="C297" s="15" cm="1">
        <f t="array" ref="C297">EVAL($AG$6,B297)</f>
        <v>335.74368720216643</v>
      </c>
      <c r="D297" s="15" cm="1">
        <f t="array" ref="D297">EVAL($AG$7,B297)</f>
        <v>3.8197377687553042</v>
      </c>
      <c r="F297" s="15" cm="1">
        <f t="array" ref="F297">EVAL($AG$9,B297)</f>
        <v>2.1789019867588109</v>
      </c>
      <c r="G297" s="15" cm="1">
        <f t="array" ref="G297">EVAL($AG$10,B297)</f>
        <v>2.1789019867588109</v>
      </c>
      <c r="H297" s="15" cm="1">
        <f t="array" ref="H297">EVAL($AG$11,B297)</f>
        <v>2.1789019867588109</v>
      </c>
      <c r="I297" s="15" cm="1">
        <f t="array" ref="I297">EVAL($AG$12,B297)</f>
        <v>2.0818166119757917</v>
      </c>
      <c r="J297" s="15" cm="1">
        <f t="array" ref="J297">EVAL($AG$13,B297)</f>
        <v>127.99959371132921</v>
      </c>
      <c r="K297" s="15" cm="1">
        <f t="array" ref="K297">EVAL($AG$14,B297)</f>
        <v>1.5235173779372257</v>
      </c>
      <c r="L297" s="15" cm="1">
        <f t="array" ref="L297">EVAL($AG$15,B297)</f>
        <v>71.788905525963074</v>
      </c>
      <c r="M297" s="15" cm="1">
        <f t="array" ref="M297">EVAL($AG$16,B297)</f>
        <v>0.93301093886227393</v>
      </c>
      <c r="N297" s="15" cm="1">
        <f t="array" ref="N297">EVAL($AG$17,B297)</f>
        <v>40.762872700828645</v>
      </c>
      <c r="O297" s="15" cm="1">
        <f t="array" ref="O297">EVAL($AG$18,B297)</f>
        <v>8.6308051099962535E-3</v>
      </c>
      <c r="P297" s="15" cm="1">
        <f t="array" ref="P297">EVAL($AG$19,B297)</f>
        <v>8.6308051099962535E-3</v>
      </c>
      <c r="Q297" s="15" cm="1">
        <f t="array" ref="Q297">EVAL($AH$6,B297)</f>
        <v>1.197884878066777</v>
      </c>
      <c r="R297" s="15" cm="1">
        <f t="array" ref="R297">EVAL($AH$7,B297)</f>
        <v>1.197884878066777</v>
      </c>
      <c r="T297" s="15" cm="1">
        <f t="array" ref="T297">EVAL($AH$9,B297)</f>
        <v>0.78990564503204264</v>
      </c>
      <c r="U297" s="15" cm="1">
        <f t="array" ref="U297">EVAL($AH$10,B297)</f>
        <v>0.78990564503204264</v>
      </c>
      <c r="V297" s="15" cm="1">
        <f t="array" ref="V297">EVAL($AH$11,B297)</f>
        <v>0.78990564503204264</v>
      </c>
      <c r="W297" s="15" cm="1">
        <f t="array" ref="W297">EVAL($AH$12,B297)</f>
        <v>36.167162887973724</v>
      </c>
      <c r="X297" s="15" cm="1">
        <f t="array" ref="X297">EVAL($AH$13,B297)</f>
        <v>0.36548787627954638</v>
      </c>
      <c r="Y297" s="15" cm="1">
        <f t="array" ref="Y297">EVAL($AH$14,B297)</f>
        <v>0.36548787627954638</v>
      </c>
    </row>
    <row r="298" spans="1:25" x14ac:dyDescent="0.25">
      <c r="A298" s="20">
        <v>30.500000000000199</v>
      </c>
      <c r="B298" s="41">
        <f t="shared" si="4"/>
        <v>95.818575934489317</v>
      </c>
      <c r="C298" s="15" cm="1">
        <f t="array" ref="C298">EVAL($AG$6,B298)</f>
        <v>336.50700669781713</v>
      </c>
      <c r="D298" s="15" cm="1">
        <f t="array" ref="D298">EVAL($AG$7,B298)</f>
        <v>3.8232693680791865</v>
      </c>
      <c r="F298" s="15" cm="1">
        <f t="array" ref="F298">EVAL($AG$9,B298)</f>
        <v>2.1861850159444494</v>
      </c>
      <c r="G298" s="15" cm="1">
        <f t="array" ref="G298">EVAL($AG$10,B298)</f>
        <v>2.1861850159444494</v>
      </c>
      <c r="H298" s="15" cm="1">
        <f t="array" ref="H298">EVAL($AG$11,B298)</f>
        <v>2.1861850159444494</v>
      </c>
      <c r="I298" s="15" cm="1">
        <f t="array" ref="I298">EVAL($AG$12,B298)</f>
        <v>2.0882826630902867</v>
      </c>
      <c r="J298" s="15" cm="1">
        <f t="array" ref="J298">EVAL($AG$13,B298)</f>
        <v>128.31516823370504</v>
      </c>
      <c r="K298" s="15" cm="1">
        <f t="array" ref="K298">EVAL($AG$14,B298)</f>
        <v>1.5278373757621928</v>
      </c>
      <c r="L298" s="15" cm="1">
        <f t="array" ref="L298">EVAL($AG$15,B298)</f>
        <v>71.93236728498988</v>
      </c>
      <c r="M298" s="15" cm="1">
        <f t="array" ref="M298">EVAL($AG$16,B298)</f>
        <v>0.934574314224073</v>
      </c>
      <c r="N298" s="15" cm="1">
        <f t="array" ref="N298">EVAL($AG$17,B298)</f>
        <v>40.817581210397385</v>
      </c>
      <c r="O298" s="15" cm="1">
        <f t="array" ref="O298">EVAL($AG$18,B298)</f>
        <v>8.6151449846225518E-3</v>
      </c>
      <c r="P298" s="15" cm="1">
        <f t="array" ref="P298">EVAL($AG$19,B298)</f>
        <v>8.6151449846225518E-3</v>
      </c>
      <c r="Q298" s="15" cm="1">
        <f t="array" ref="Q298">EVAL($AH$6,B298)</f>
        <v>1.1995118810535743</v>
      </c>
      <c r="R298" s="15" cm="1">
        <f t="array" ref="R298">EVAL($AH$7,B298)</f>
        <v>1.1995118810535743</v>
      </c>
      <c r="T298" s="15" cm="1">
        <f t="array" ref="T298">EVAL($AH$9,B298)</f>
        <v>0.79091955438045047</v>
      </c>
      <c r="U298" s="15" cm="1">
        <f t="array" ref="U298">EVAL($AH$10,B298)</f>
        <v>0.79091955438045047</v>
      </c>
      <c r="V298" s="15" cm="1">
        <f t="array" ref="V298">EVAL($AH$11,B298)</f>
        <v>0.79091955438045047</v>
      </c>
      <c r="W298" s="15" cm="1">
        <f t="array" ref="W298">EVAL($AH$12,B298)</f>
        <v>36.343163956906032</v>
      </c>
      <c r="X298" s="15" cm="1">
        <f t="array" ref="X298">EVAL($AH$13,B298)</f>
        <v>0.36580056539244482</v>
      </c>
      <c r="Y298" s="15" cm="1">
        <f t="array" ref="Y298">EVAL($AH$14,B298)</f>
        <v>0.36580056539244482</v>
      </c>
    </row>
    <row r="299" spans="1:25" x14ac:dyDescent="0.25">
      <c r="A299" s="20">
        <v>30.6000000000002</v>
      </c>
      <c r="B299" s="41">
        <f t="shared" si="4"/>
        <v>96.132735199848298</v>
      </c>
      <c r="C299" s="15" cm="1">
        <f t="array" ref="C299">EVAL($AG$6,B299)</f>
        <v>337.26955450331104</v>
      </c>
      <c r="D299" s="15" cm="1">
        <f t="array" ref="D299">EVAL($AG$7,B299)</f>
        <v>3.8267926564976054</v>
      </c>
      <c r="F299" s="15" cm="1">
        <f t="array" ref="F299">EVAL($AG$9,B299)</f>
        <v>2.1934684295893438</v>
      </c>
      <c r="G299" s="15" cm="1">
        <f t="array" ref="G299">EVAL($AG$10,B299)</f>
        <v>2.1934684295893438</v>
      </c>
      <c r="H299" s="15" cm="1">
        <f t="array" ref="H299">EVAL($AG$11,B299)</f>
        <v>2.1934684295893438</v>
      </c>
      <c r="I299" s="15" cm="1">
        <f t="array" ref="I299">EVAL($AG$12,B299)</f>
        <v>2.0947475334610925</v>
      </c>
      <c r="J299" s="15" cm="1">
        <f t="array" ref="J299">EVAL($AG$13,B299)</f>
        <v>128.63048398713605</v>
      </c>
      <c r="K299" s="15" cm="1">
        <f t="array" ref="K299">EVAL($AG$14,B299)</f>
        <v>1.5321554222350897</v>
      </c>
      <c r="L299" s="15" cm="1">
        <f t="array" ref="L299">EVAL($AG$15,B299)</f>
        <v>72.075644731446317</v>
      </c>
      <c r="M299" s="15" cm="1">
        <f t="array" ref="M299">EVAL($AG$16,B299)</f>
        <v>0.93613517892101372</v>
      </c>
      <c r="N299" s="15" cm="1">
        <f t="array" ref="N299">EVAL($AG$17,B299)</f>
        <v>40.872183705998061</v>
      </c>
      <c r="O299" s="15" cm="1">
        <f t="array" ref="O299">EVAL($AG$18,B299)</f>
        <v>8.5995643951173838E-3</v>
      </c>
      <c r="P299" s="15" cm="1">
        <f t="array" ref="P299">EVAL($AG$19,B299)</f>
        <v>8.5995643951173838E-3</v>
      </c>
      <c r="Q299" s="15" cm="1">
        <f t="array" ref="Q299">EVAL($AH$6,B299)</f>
        <v>1.2011357573277588</v>
      </c>
      <c r="R299" s="15" cm="1">
        <f t="array" ref="R299">EVAL($AH$7,B299)</f>
        <v>1.2011357573277588</v>
      </c>
      <c r="T299" s="15" cm="1">
        <f t="array" ref="T299">EVAL($AH$9,B299)</f>
        <v>0.79193143992249559</v>
      </c>
      <c r="U299" s="15" cm="1">
        <f t="array" ref="U299">EVAL($AH$10,B299)</f>
        <v>0.79193143992249559</v>
      </c>
      <c r="V299" s="15" cm="1">
        <f t="array" ref="V299">EVAL($AH$11,B299)</f>
        <v>0.79193143992249559</v>
      </c>
      <c r="W299" s="15" cm="1">
        <f t="array" ref="W299">EVAL($AH$12,B299)</f>
        <v>36.519441189246272</v>
      </c>
      <c r="X299" s="15" cm="1">
        <f t="array" ref="X299">EVAL($AH$13,B299)</f>
        <v>0.36611249717661726</v>
      </c>
      <c r="Y299" s="15" cm="1">
        <f t="array" ref="Y299">EVAL($AH$14,B299)</f>
        <v>0.36611249717661726</v>
      </c>
    </row>
    <row r="300" spans="1:25" x14ac:dyDescent="0.25">
      <c r="A300" s="20">
        <v>30.700000000000198</v>
      </c>
      <c r="B300" s="41">
        <f t="shared" si="4"/>
        <v>96.446894465207265</v>
      </c>
      <c r="C300" s="15" cm="1">
        <f t="array" ref="C300">EVAL($AG$6,B300)</f>
        <v>338.03133391685481</v>
      </c>
      <c r="D300" s="15" cm="1">
        <f t="array" ref="D300">EVAL($AG$7,B300)</f>
        <v>3.8303076806328313</v>
      </c>
      <c r="F300" s="15" cm="1">
        <f t="array" ref="F300">EVAL($AG$9,B300)</f>
        <v>2.2007522264572832</v>
      </c>
      <c r="G300" s="15" cm="1">
        <f t="array" ref="G300">EVAL($AG$10,B300)</f>
        <v>2.2007522264572832</v>
      </c>
      <c r="H300" s="15" cm="1">
        <f t="array" ref="H300">EVAL($AG$11,B300)</f>
        <v>2.2007522264572832</v>
      </c>
      <c r="I300" s="15" cm="1">
        <f t="array" ref="I300">EVAL($AG$12,B300)</f>
        <v>2.1012112271614161</v>
      </c>
      <c r="J300" s="15" cm="1">
        <f t="array" ref="J300">EVAL($AG$13,B300)</f>
        <v>128.94554202842568</v>
      </c>
      <c r="K300" s="15" cm="1">
        <f t="array" ref="K300">EVAL($AG$14,B300)</f>
        <v>1.5364715246100191</v>
      </c>
      <c r="L300" s="15" cm="1">
        <f t="array" ref="L300">EVAL($AG$15,B300)</f>
        <v>72.218738703300147</v>
      </c>
      <c r="M300" s="15" cm="1">
        <f t="array" ref="M300">EVAL($AG$16,B300)</f>
        <v>0.93769354517012482</v>
      </c>
      <c r="N300" s="15" cm="1">
        <f t="array" ref="N300">EVAL($AG$17,B300)</f>
        <v>40.926680738511159</v>
      </c>
      <c r="O300" s="15" cm="1">
        <f t="array" ref="O300">EVAL($AG$18,B300)</f>
        <v>8.5840626795807701E-3</v>
      </c>
      <c r="P300" s="15" cm="1">
        <f t="array" ref="P300">EVAL($AG$19,B300)</f>
        <v>8.5840626795807701E-3</v>
      </c>
      <c r="Q300" s="15" cm="1">
        <f t="array" ref="Q300">EVAL($AH$6,B300)</f>
        <v>1.2027565230867796</v>
      </c>
      <c r="R300" s="15" cm="1">
        <f t="array" ref="R300">EVAL($AH$7,B300)</f>
        <v>1.2027565230867796</v>
      </c>
      <c r="T300" s="15" cm="1">
        <f t="array" ref="T300">EVAL($AH$9,B300)</f>
        <v>0.79294131229178699</v>
      </c>
      <c r="U300" s="15" cm="1">
        <f t="array" ref="U300">EVAL($AH$10,B300)</f>
        <v>0.79294131229178699</v>
      </c>
      <c r="V300" s="15" cm="1">
        <f t="array" ref="V300">EVAL($AH$11,B300)</f>
        <v>0.79294131229178699</v>
      </c>
      <c r="W300" s="15" cm="1">
        <f t="array" ref="W300">EVAL($AH$12,B300)</f>
        <v>36.695994113702696</v>
      </c>
      <c r="X300" s="15" cm="1">
        <f t="array" ref="X300">EVAL($AH$13,B300)</f>
        <v>0.36642367593226916</v>
      </c>
      <c r="Y300" s="15" cm="1">
        <f t="array" ref="Y300">EVAL($AH$14,B300)</f>
        <v>0.36642367593226916</v>
      </c>
    </row>
    <row r="301" spans="1:25" x14ac:dyDescent="0.25">
      <c r="A301" s="20">
        <v>30.8000000000002</v>
      </c>
      <c r="B301" s="41">
        <f t="shared" si="4"/>
        <v>96.76105373056626</v>
      </c>
      <c r="C301" s="15" cm="1">
        <f t="array" ref="C301">EVAL($AG$6,B301)</f>
        <v>338.79234821186708</v>
      </c>
      <c r="D301" s="15" cm="1">
        <f t="array" ref="D301">EVAL($AG$7,B301)</f>
        <v>3.8338144866947599</v>
      </c>
      <c r="F301" s="15" cm="1">
        <f t="array" ref="F301">EVAL($AG$9,B301)</f>
        <v>2.2080364053200454</v>
      </c>
      <c r="G301" s="15" cm="1">
        <f t="array" ref="G301">EVAL($AG$10,B301)</f>
        <v>2.2080364053200454</v>
      </c>
      <c r="H301" s="15" cm="1">
        <f t="array" ref="H301">EVAL($AG$11,B301)</f>
        <v>2.2080364053200454</v>
      </c>
      <c r="I301" s="15" cm="1">
        <f t="array" ref="I301">EVAL($AG$12,B301)</f>
        <v>2.1076737482371994</v>
      </c>
      <c r="J301" s="15" cm="1">
        <f t="array" ref="J301">EVAL($AG$13,B301)</f>
        <v>129.26034340663458</v>
      </c>
      <c r="K301" s="15" cm="1">
        <f t="array" ref="K301">EVAL($AG$14,B301)</f>
        <v>1.5407856900905885</v>
      </c>
      <c r="L301" s="15" cm="1">
        <f t="array" ref="L301">EVAL($AG$15,B301)</f>
        <v>72.361650031993946</v>
      </c>
      <c r="M301" s="15" cm="1">
        <f t="array" ref="M301">EVAL($AG$16,B301)</f>
        <v>0.93924942508941778</v>
      </c>
      <c r="N301" s="15" cm="1">
        <f t="array" ref="N301">EVAL($AG$17,B301)</f>
        <v>40.981072854171288</v>
      </c>
      <c r="O301" s="15" cm="1">
        <f t="array" ref="O301">EVAL($AG$18,B301)</f>
        <v>8.5686391837537738E-3</v>
      </c>
      <c r="P301" s="15" cm="1">
        <f t="array" ref="P301">EVAL($AG$19,B301)</f>
        <v>8.5686391837537738E-3</v>
      </c>
      <c r="Q301" s="15" cm="1">
        <f t="array" ref="Q301">EVAL($AH$6,B301)</f>
        <v>1.204374194391741</v>
      </c>
      <c r="R301" s="15" cm="1">
        <f t="array" ref="R301">EVAL($AH$7,B301)</f>
        <v>1.204374194391741</v>
      </c>
      <c r="T301" s="15" cm="1">
        <f t="array" ref="T301">EVAL($AH$9,B301)</f>
        <v>0.79394918203164133</v>
      </c>
      <c r="U301" s="15" cm="1">
        <f t="array" ref="U301">EVAL($AH$10,B301)</f>
        <v>0.79394918203164133</v>
      </c>
      <c r="V301" s="15" cm="1">
        <f t="array" ref="V301">EVAL($AH$11,B301)</f>
        <v>0.79394918203164133</v>
      </c>
      <c r="W301" s="15" cm="1">
        <f t="array" ref="W301">EVAL($AH$12,B301)</f>
        <v>36.872822261321865</v>
      </c>
      <c r="X301" s="15" cm="1">
        <f t="array" ref="X301">EVAL($AH$13,B301)</f>
        <v>0.36673410592127814</v>
      </c>
      <c r="Y301" s="15" cm="1">
        <f t="array" ref="Y301">EVAL($AH$14,B301)</f>
        <v>0.36673410592127814</v>
      </c>
    </row>
    <row r="302" spans="1:25" x14ac:dyDescent="0.25">
      <c r="A302" s="20">
        <v>30.900000000000201</v>
      </c>
      <c r="B302" s="41">
        <f t="shared" si="4"/>
        <v>97.075212995925241</v>
      </c>
      <c r="C302" s="15" cm="1">
        <f t="array" ref="C302">EVAL($AG$6,B302)</f>
        <v>339.55260063724319</v>
      </c>
      <c r="D302" s="15" cm="1">
        <f t="array" ref="D302">EVAL($AG$7,B302)</f>
        <v>3.8373131204858799</v>
      </c>
      <c r="F302" s="15" cm="1">
        <f t="array" ref="F302">EVAL($AG$9,B302)</f>
        <v>2.2153209649573133</v>
      </c>
      <c r="G302" s="15" cm="1">
        <f t="array" ref="G302">EVAL($AG$10,B302)</f>
        <v>2.2153209649573133</v>
      </c>
      <c r="H302" s="15" cm="1">
        <f t="array" ref="H302">EVAL($AG$11,B302)</f>
        <v>2.2153209649573133</v>
      </c>
      <c r="I302" s="15" cm="1">
        <f t="array" ref="I302">EVAL($AG$12,B302)</f>
        <v>2.1141351007073705</v>
      </c>
      <c r="J302" s="15" cm="1">
        <f t="array" ref="J302">EVAL($AG$13,B302)</f>
        <v>129.57488916316203</v>
      </c>
      <c r="K302" s="15" cm="1">
        <f t="array" ref="K302">EVAL($AG$14,B302)</f>
        <v>1.5450979258304076</v>
      </c>
      <c r="L302" s="15" cm="1">
        <f t="array" ref="L302">EVAL($AG$15,B302)</f>
        <v>72.504379542516702</v>
      </c>
      <c r="M302" s="15" cm="1">
        <f t="array" ref="M302">EVAL($AG$16,B302)</f>
        <v>0.94080283069900406</v>
      </c>
      <c r="N302" s="15" cm="1">
        <f t="array" ref="N302">EVAL($AG$17,B302)</f>
        <v>41.035360594621181</v>
      </c>
      <c r="O302" s="15" cm="1">
        <f t="array" ref="O302">EVAL($AG$18,B302)</f>
        <v>8.5532932609058542E-3</v>
      </c>
      <c r="P302" s="15" cm="1">
        <f t="array" ref="P302">EVAL($AG$19,B302)</f>
        <v>8.5532932609058542E-3</v>
      </c>
      <c r="Q302" s="15" cm="1">
        <f t="array" ref="Q302">EVAL($AH$6,B302)</f>
        <v>1.2059887871689861</v>
      </c>
      <c r="R302" s="15" cm="1">
        <f t="array" ref="R302">EVAL($AH$7,B302)</f>
        <v>1.2059887871689861</v>
      </c>
      <c r="T302" s="15" cm="1">
        <f t="array" ref="T302">EVAL($AH$9,B302)</f>
        <v>0.79495505959613799</v>
      </c>
      <c r="U302" s="15" cm="1">
        <f t="array" ref="U302">EVAL($AH$10,B302)</f>
        <v>0.79495505959613799</v>
      </c>
      <c r="V302" s="15" cm="1">
        <f t="array" ref="V302">EVAL($AH$11,B302)</f>
        <v>0.79495505959613799</v>
      </c>
      <c r="W302" s="15" cm="1">
        <f t="array" ref="W302">EVAL($AH$12,B302)</f>
        <v>37.049925165468892</v>
      </c>
      <c r="X302" s="15" cm="1">
        <f t="array" ref="X302">EVAL($AH$13,B302)</f>
        <v>0.36704379136765808</v>
      </c>
      <c r="Y302" s="15" cm="1">
        <f t="array" ref="Y302">EVAL($AH$14,B302)</f>
        <v>0.36704379136765808</v>
      </c>
    </row>
    <row r="303" spans="1:25" x14ac:dyDescent="0.25">
      <c r="A303" s="20">
        <v>31.000000000000199</v>
      </c>
      <c r="B303" s="41">
        <f t="shared" si="4"/>
        <v>97.389372261284208</v>
      </c>
      <c r="C303" s="15" cm="1">
        <f t="array" ref="C303">EVAL($AG$6,B303)</f>
        <v>340.31209441761899</v>
      </c>
      <c r="D303" s="15" cm="1">
        <f t="array" ref="D303">EVAL($AG$7,B303)</f>
        <v>3.8408036274061779</v>
      </c>
      <c r="F303" s="15" cm="1">
        <f t="array" ref="F303">EVAL($AG$9,B303)</f>
        <v>2.2226059041566195</v>
      </c>
      <c r="G303" s="15" cm="1">
        <f t="array" ref="G303">EVAL($AG$10,B303)</f>
        <v>2.2226059041566195</v>
      </c>
      <c r="H303" s="15" cm="1">
        <f t="array" ref="H303">EVAL($AG$11,B303)</f>
        <v>2.2226059041566195</v>
      </c>
      <c r="I303" s="15" cm="1">
        <f t="array" ref="I303">EVAL($AG$12,B303)</f>
        <v>2.1205952885641342</v>
      </c>
      <c r="J303" s="15" cm="1">
        <f t="array" ref="J303">EVAL($AG$13,B303)</f>
        <v>129.88918033182694</v>
      </c>
      <c r="K303" s="15" cm="1">
        <f t="array" ref="K303">EVAL($AG$14,B303)</f>
        <v>1.5494082389336128</v>
      </c>
      <c r="L303" s="15" cm="1">
        <f t="array" ref="L303">EVAL($AG$15,B303)</f>
        <v>72.646928053475236</v>
      </c>
      <c r="M303" s="15" cm="1">
        <f t="array" ref="M303">EVAL($AG$16,B303)</f>
        <v>0.94235377392220598</v>
      </c>
      <c r="N303" s="15" cm="1">
        <f t="array" ref="N303">EVAL($AG$17,B303)</f>
        <v>41.089544496965225</v>
      </c>
      <c r="O303" s="15" cm="1">
        <f t="array" ref="O303">EVAL($AG$18,B303)</f>
        <v>8.5380242717241761E-3</v>
      </c>
      <c r="P303" s="15" cm="1">
        <f t="array" ref="P303">EVAL($AG$19,B303)</f>
        <v>8.5380242717241761E-3</v>
      </c>
      <c r="Q303" s="15" cm="1">
        <f t="array" ref="Q303">EVAL($AH$6,B303)</f>
        <v>1.2076003172116634</v>
      </c>
      <c r="R303" s="15" cm="1">
        <f t="array" ref="R303">EVAL($AH$7,B303)</f>
        <v>1.2076003172116634</v>
      </c>
      <c r="T303" s="15" cm="1">
        <f t="array" ref="T303">EVAL($AH$9,B303)</f>
        <v>0.79595895535116379</v>
      </c>
      <c r="U303" s="15" cm="1">
        <f t="array" ref="U303">EVAL($AH$10,B303)</f>
        <v>0.79595895535116379</v>
      </c>
      <c r="V303" s="15" cm="1">
        <f t="array" ref="V303">EVAL($AH$11,B303)</f>
        <v>0.79595895535116379</v>
      </c>
      <c r="W303" s="15" cm="1">
        <f t="array" ref="W303">EVAL($AH$12,B303)</f>
        <v>37.22730236180913</v>
      </c>
      <c r="X303" s="15" cm="1">
        <f t="array" ref="X303">EVAL($AH$13,B303)</f>
        <v>0.3673527364580178</v>
      </c>
      <c r="Y303" s="15" cm="1">
        <f t="array" ref="Y303">EVAL($AH$14,B303)</f>
        <v>0.3673527364580178</v>
      </c>
    </row>
    <row r="304" spans="1:25" x14ac:dyDescent="0.25">
      <c r="A304" s="20">
        <v>31.1000000000002</v>
      </c>
      <c r="B304" s="41">
        <f t="shared" si="4"/>
        <v>97.703531526643189</v>
      </c>
      <c r="C304" s="15" cm="1">
        <f t="array" ref="C304">EVAL($AG$6,B304)</f>
        <v>341.07083275362919</v>
      </c>
      <c r="D304" s="15" cm="1">
        <f t="array" ref="D304">EVAL($AG$7,B304)</f>
        <v>3.8442860524579543</v>
      </c>
      <c r="F304" s="15" cm="1">
        <f t="array" ref="F304">EVAL($AG$9,B304)</f>
        <v>2.2298912217132445</v>
      </c>
      <c r="G304" s="15" cm="1">
        <f t="array" ref="G304">EVAL($AG$10,B304)</f>
        <v>2.2298912217132445</v>
      </c>
      <c r="H304" s="15" cm="1">
        <f t="array" ref="H304">EVAL($AG$11,B304)</f>
        <v>2.2298912217132445</v>
      </c>
      <c r="I304" s="15" cm="1">
        <f t="array" ref="I304">EVAL($AG$12,B304)</f>
        <v>2.1270543157732256</v>
      </c>
      <c r="J304" s="15" cm="1">
        <f t="array" ref="J304">EVAL($AG$13,B304)</f>
        <v>130.20321793894689</v>
      </c>
      <c r="K304" s="15" cm="1">
        <f t="array" ref="K304">EVAL($AG$14,B304)</f>
        <v>1.553716636455357</v>
      </c>
      <c r="L304" s="15" cm="1">
        <f t="array" ref="L304">EVAL($AG$15,B304)</f>
        <v>72.789296377163254</v>
      </c>
      <c r="M304" s="15" cm="1">
        <f t="array" ref="M304">EVAL($AG$16,B304)</f>
        <v>0.94390226658663978</v>
      </c>
      <c r="N304" s="15" cm="1">
        <f t="array" ref="N304">EVAL($AG$17,B304)</f>
        <v>41.143625093821811</v>
      </c>
      <c r="O304" s="15" cm="1">
        <f t="array" ref="O304">EVAL($AG$18,B304)</f>
        <v>8.5228315842049603E-3</v>
      </c>
      <c r="P304" s="15" cm="1">
        <f t="array" ref="P304">EVAL($AG$19,B304)</f>
        <v>8.5228315842049603E-3</v>
      </c>
      <c r="Q304" s="15" cm="1">
        <f t="array" ref="Q304">EVAL($AH$6,B304)</f>
        <v>1.209208800181264</v>
      </c>
      <c r="R304" s="15" cm="1">
        <f t="array" ref="R304">EVAL($AH$7,B304)</f>
        <v>1.209208800181264</v>
      </c>
      <c r="T304" s="15" cm="1">
        <f t="array" ref="T304">EVAL($AH$9,B304)</f>
        <v>0.79696087957543538</v>
      </c>
      <c r="U304" s="15" cm="1">
        <f t="array" ref="U304">EVAL($AH$10,B304)</f>
        <v>0.79696087957543538</v>
      </c>
      <c r="V304" s="15" cm="1">
        <f t="array" ref="V304">EVAL($AH$11,B304)</f>
        <v>0.79696087957543538</v>
      </c>
      <c r="W304" s="15" cm="1">
        <f t="array" ref="W304">EVAL($AH$12,B304)</f>
        <v>37.404953388288909</v>
      </c>
      <c r="X304" s="15" cm="1">
        <f t="array" ref="X304">EVAL($AH$13,B304)</f>
        <v>0.36766094534201088</v>
      </c>
      <c r="Y304" s="15" cm="1">
        <f t="array" ref="Y304">EVAL($AH$14,B304)</f>
        <v>0.36766094534201088</v>
      </c>
    </row>
    <row r="305" spans="1:25" x14ac:dyDescent="0.25">
      <c r="A305" s="20">
        <v>31.200000000000198</v>
      </c>
      <c r="B305" s="41">
        <f t="shared" si="4"/>
        <v>98.01769079200217</v>
      </c>
      <c r="C305" s="15" cm="1">
        <f t="array" ref="C305">EVAL($AG$6,B305)</f>
        <v>341.82881882216174</v>
      </c>
      <c r="D305" s="15" cm="1">
        <f t="array" ref="D305">EVAL($AG$7,B305)</f>
        <v>3.8477604402505734</v>
      </c>
      <c r="F305" s="15" cm="1">
        <f t="array" ref="F305">EVAL($AG$9,B305)</f>
        <v>2.2371769164301565</v>
      </c>
      <c r="G305" s="15" cm="1">
        <f t="array" ref="G305">EVAL($AG$10,B305)</f>
        <v>2.2371769164301565</v>
      </c>
      <c r="H305" s="15" cm="1">
        <f t="array" ref="H305">EVAL($AG$11,B305)</f>
        <v>2.2371769164301565</v>
      </c>
      <c r="I305" s="15" cm="1">
        <f t="array" ref="I305">EVAL($AG$12,B305)</f>
        <v>2.133512186274154</v>
      </c>
      <c r="J305" s="15" cm="1">
        <f t="array" ref="J305">EVAL($AG$13,B305)</f>
        <v>130.51700300341653</v>
      </c>
      <c r="K305" s="15" cm="1">
        <f t="array" ref="K305">EVAL($AG$14,B305)</f>
        <v>1.558023125402306</v>
      </c>
      <c r="L305" s="15" cm="1">
        <f t="array" ref="L305">EVAL($AG$15,B305)</f>
        <v>72.931485319630681</v>
      </c>
      <c r="M305" s="15" cm="1">
        <f t="array" ref="M305">EVAL($AG$16,B305)</f>
        <v>0.94544832042529103</v>
      </c>
      <c r="N305" s="15" cm="1">
        <f t="array" ref="N305">EVAL($AG$17,B305)</f>
        <v>41.197602913375164</v>
      </c>
      <c r="O305" s="15" cm="1">
        <f t="array" ref="O305">EVAL($AG$18,B305)</f>
        <v>8.50771457354676E-3</v>
      </c>
      <c r="P305" s="15" cm="1">
        <f t="array" ref="P305">EVAL($AG$19,B305)</f>
        <v>8.50771457354676E-3</v>
      </c>
      <c r="Q305" s="15" cm="1">
        <f t="array" ref="Q305">EVAL($AH$6,B305)</f>
        <v>1.2108142516091374</v>
      </c>
      <c r="R305" s="15" cm="1">
        <f t="array" ref="R305">EVAL($AH$7,B305)</f>
        <v>1.2108142516091374</v>
      </c>
      <c r="T305" s="15" cm="1">
        <f t="array" ref="T305">EVAL($AH$9,B305)</f>
        <v>0.797960842461512</v>
      </c>
      <c r="U305" s="15" cm="1">
        <f t="array" ref="U305">EVAL($AH$10,B305)</f>
        <v>0.797960842461512</v>
      </c>
      <c r="V305" s="15" cm="1">
        <f t="array" ref="V305">EVAL($AH$11,B305)</f>
        <v>0.797960842461512</v>
      </c>
      <c r="W305" s="15" cm="1">
        <f t="array" ref="W305">EVAL($AH$12,B305)</f>
        <v>37.58287778511739</v>
      </c>
      <c r="X305" s="15" cm="1">
        <f t="array" ref="X305">EVAL($AH$13,B305)</f>
        <v>0.36796842213278014</v>
      </c>
      <c r="Y305" s="15" cm="1">
        <f t="array" ref="Y305">EVAL($AH$14,B305)</f>
        <v>0.36796842213278014</v>
      </c>
    </row>
    <row r="306" spans="1:25" x14ac:dyDescent="0.25">
      <c r="A306" s="20">
        <v>31.3000000000002</v>
      </c>
      <c r="B306" s="41">
        <f t="shared" si="4"/>
        <v>98.331850057361152</v>
      </c>
      <c r="C306" s="15" cm="1">
        <f t="array" ref="C306">EVAL($AG$6,B306)</f>
        <v>342.58605577661024</v>
      </c>
      <c r="D306" s="15" cm="1">
        <f t="array" ref="D306">EVAL($AG$7,B306)</f>
        <v>3.8512268350051442</v>
      </c>
      <c r="F306" s="15" cm="1">
        <f t="array" ref="F306">EVAL($AG$9,B306)</f>
        <v>2.2444629871179336</v>
      </c>
      <c r="G306" s="15" cm="1">
        <f t="array" ref="G306">EVAL($AG$10,B306)</f>
        <v>2.2444629871179336</v>
      </c>
      <c r="H306" s="15" cm="1">
        <f t="array" ref="H306">EVAL($AG$11,B306)</f>
        <v>2.2444629871179336</v>
      </c>
      <c r="I306" s="15" cm="1">
        <f t="array" ref="I306">EVAL($AG$12,B306)</f>
        <v>2.1399689039804874</v>
      </c>
      <c r="J306" s="15" cm="1">
        <f t="array" ref="J306">EVAL($AG$13,B306)</f>
        <v>130.8305365367849</v>
      </c>
      <c r="K306" s="15" cm="1">
        <f t="array" ref="K306">EVAL($AG$14,B306)</f>
        <v>1.5623277127331272</v>
      </c>
      <c r="L306" s="15" cm="1">
        <f t="array" ref="L306">EVAL($AG$15,B306)</f>
        <v>73.073495680751137</v>
      </c>
      <c r="M306" s="15" cm="1">
        <f t="array" ref="M306">EVAL($AG$16,B306)</f>
        <v>0.94699194707757417</v>
      </c>
      <c r="N306" s="15" cm="1">
        <f t="array" ref="N306">EVAL($AG$17,B306)</f>
        <v>41.251478479426311</v>
      </c>
      <c r="O306" s="15" cm="1">
        <f t="array" ref="O306">EVAL($AG$18,B306)</f>
        <v>8.4926726220456005E-3</v>
      </c>
      <c r="P306" s="15" cm="1">
        <f t="array" ref="P306">EVAL($AG$19,B306)</f>
        <v>8.4926726220456005E-3</v>
      </c>
      <c r="Q306" s="15" cm="1">
        <f t="array" ref="Q306">EVAL($AH$6,B306)</f>
        <v>1.2124166868979884</v>
      </c>
      <c r="R306" s="15" cm="1">
        <f t="array" ref="R306">EVAL($AH$7,B306)</f>
        <v>1.2124166868979884</v>
      </c>
      <c r="T306" s="15" cm="1">
        <f t="array" ref="T306">EVAL($AH$9,B306)</f>
        <v>0.79895885411678969</v>
      </c>
      <c r="U306" s="15" cm="1">
        <f t="array" ref="U306">EVAL($AH$10,B306)</f>
        <v>0.79895885411678969</v>
      </c>
      <c r="V306" s="15" cm="1">
        <f t="array" ref="V306">EVAL($AH$11,B306)</f>
        <v>0.79895885411678969</v>
      </c>
      <c r="W306" s="15" cm="1">
        <f t="array" ref="W306">EVAL($AH$12,B306)</f>
        <v>37.761075094747959</v>
      </c>
      <c r="X306" s="15" cm="1">
        <f t="array" ref="X306">EVAL($AH$13,B306)</f>
        <v>0.36827517090739414</v>
      </c>
      <c r="Y306" s="15" cm="1">
        <f t="array" ref="Y306">EVAL($AH$14,B306)</f>
        <v>0.36827517090739414</v>
      </c>
    </row>
    <row r="307" spans="1:25" x14ac:dyDescent="0.25">
      <c r="A307" s="20">
        <v>31.400000000000201</v>
      </c>
      <c r="B307" s="41">
        <f t="shared" si="4"/>
        <v>98.646009322720133</v>
      </c>
      <c r="C307" s="15" cm="1">
        <f t="array" ref="C307">EVAL($AG$6,B307)</f>
        <v>343.3425467471227</v>
      </c>
      <c r="D307" s="15" cm="1">
        <f t="array" ref="D307">EVAL($AG$7,B307)</f>
        <v>3.8546852805591296</v>
      </c>
      <c r="F307" s="15" cm="1">
        <f t="array" ref="F307">EVAL($AG$9,B307)</f>
        <v>2.2517494325947012</v>
      </c>
      <c r="G307" s="15" cm="1">
        <f t="array" ref="G307">EVAL($AG$10,B307)</f>
        <v>2.2517494325947012</v>
      </c>
      <c r="H307" s="15" cm="1">
        <f t="array" ref="H307">EVAL($AG$11,B307)</f>
        <v>2.2517494325947012</v>
      </c>
      <c r="I307" s="15" cm="1">
        <f t="array" ref="I307">EVAL($AG$12,B307)</f>
        <v>2.1464244727800903</v>
      </c>
      <c r="J307" s="15" cm="1">
        <f t="array" ref="J307">EVAL($AG$13,B307)</f>
        <v>131.14381954333203</v>
      </c>
      <c r="K307" s="15" cm="1">
        <f t="array" ref="K307">EVAL($AG$14,B307)</f>
        <v>1.5666304053589719</v>
      </c>
      <c r="L307" s="15" cm="1">
        <f t="array" ref="L307">EVAL($AG$15,B307)</f>
        <v>73.215328254289204</v>
      </c>
      <c r="M307" s="15" cm="1">
        <f t="array" ref="M307">EVAL($AG$16,B307)</f>
        <v>0.9485331580903722</v>
      </c>
      <c r="N307" s="15" cm="1">
        <f t="array" ref="N307">EVAL($AG$17,B307)</f>
        <v>41.305252311443397</v>
      </c>
      <c r="O307" s="15" cm="1">
        <f t="array" ref="O307">EVAL($AG$18,B307)</f>
        <v>8.4777051189919832E-3</v>
      </c>
      <c r="P307" s="15" cm="1">
        <f t="array" ref="P307">EVAL($AG$19,B307)</f>
        <v>8.4777051189919832E-3</v>
      </c>
      <c r="Q307" s="15" cm="1">
        <f t="array" ref="Q307">EVAL($AH$6,B307)</f>
        <v>1.2140161213233498</v>
      </c>
      <c r="R307" s="15" cm="1">
        <f t="array" ref="R307">EVAL($AH$7,B307)</f>
        <v>1.2140161213233498</v>
      </c>
      <c r="T307" s="15" cm="1">
        <f t="array" ref="T307">EVAL($AH$9,B307)</f>
        <v>0.79995492456448458</v>
      </c>
      <c r="U307" s="15" cm="1">
        <f t="array" ref="U307">EVAL($AH$10,B307)</f>
        <v>0.79995492456448458</v>
      </c>
      <c r="V307" s="15" cm="1">
        <f t="array" ref="V307">EVAL($AH$11,B307)</f>
        <v>0.79995492456448458</v>
      </c>
      <c r="W307" s="15" cm="1">
        <f t="array" ref="W307">EVAL($AH$12,B307)</f>
        <v>37.939544861860533</v>
      </c>
      <c r="X307" s="15" cm="1">
        <f t="array" ref="X307">EVAL($AH$13,B307)</f>
        <v>0.36858119570727815</v>
      </c>
      <c r="Y307" s="15" cm="1">
        <f t="array" ref="Y307">EVAL($AH$14,B307)</f>
        <v>0.36858119570727815</v>
      </c>
    </row>
    <row r="308" spans="1:25" x14ac:dyDescent="0.25">
      <c r="A308" s="20">
        <v>31.500000000000199</v>
      </c>
      <c r="B308" s="41">
        <f t="shared" si="4"/>
        <v>98.960168588079114</v>
      </c>
      <c r="C308" s="15" cm="1">
        <f t="array" ref="C308">EVAL($AG$6,B308)</f>
        <v>344.09829484084514</v>
      </c>
      <c r="D308" s="15" cm="1">
        <f t="array" ref="D308">EVAL($AG$7,B308)</f>
        <v>3.8581358203708773</v>
      </c>
      <c r="F308" s="15" cm="1">
        <f t="array" ref="F308">EVAL($AG$9,B308)</f>
        <v>2.2590362516860409</v>
      </c>
      <c r="G308" s="15" cm="1">
        <f t="array" ref="G308">EVAL($AG$10,B308)</f>
        <v>2.2590362516860409</v>
      </c>
      <c r="H308" s="15" cm="1">
        <f t="array" ref="H308">EVAL($AG$11,B308)</f>
        <v>2.2590362516860409</v>
      </c>
      <c r="I308" s="15" cm="1">
        <f t="array" ref="I308">EVAL($AG$12,B308)</f>
        <v>2.1528788965353725</v>
      </c>
      <c r="J308" s="15" cm="1">
        <f t="array" ref="J308">EVAL($AG$13,B308)</f>
        <v>131.45685302014371</v>
      </c>
      <c r="K308" s="15" cm="1">
        <f t="array" ref="K308">EVAL($AG$14,B308)</f>
        <v>1.5709312101439454</v>
      </c>
      <c r="L308" s="15" cm="1">
        <f t="array" ref="L308">EVAL($AG$15,B308)</f>
        <v>73.356983827966104</v>
      </c>
      <c r="M308" s="15" cm="1">
        <f t="array" ref="M308">EVAL($AG$16,B308)</f>
        <v>0.95007196491906665</v>
      </c>
      <c r="N308" s="15" cm="1">
        <f t="array" ref="N308">EVAL($AG$17,B308)</f>
        <v>41.358924924611102</v>
      </c>
      <c r="O308" s="15" cm="1">
        <f t="array" ref="O308">EVAL($AG$18,B308)</f>
        <v>8.4628114605697444E-3</v>
      </c>
      <c r="P308" s="15" cm="1">
        <f t="array" ref="P308">EVAL($AG$19,B308)</f>
        <v>8.4628114605697444E-3</v>
      </c>
      <c r="Q308" s="15" cm="1">
        <f t="array" ref="Q308">EVAL($AH$6,B308)</f>
        <v>1.215612570035032</v>
      </c>
      <c r="R308" s="15" cm="1">
        <f t="array" ref="R308">EVAL($AH$7,B308)</f>
        <v>1.215612570035032</v>
      </c>
      <c r="T308" s="15" cm="1">
        <f t="array" ref="T308">EVAL($AH$9,B308)</f>
        <v>0.80094906374459751</v>
      </c>
      <c r="U308" s="15" cm="1">
        <f t="array" ref="U308">EVAL($AH$10,B308)</f>
        <v>0.80094906374459751</v>
      </c>
      <c r="V308" s="15" cm="1">
        <f t="array" ref="V308">EVAL($AH$11,B308)</f>
        <v>0.80094906374459751</v>
      </c>
      <c r="W308" s="15" cm="1">
        <f t="array" ref="W308">EVAL($AH$12,B308)</f>
        <v>38.118286633343217</v>
      </c>
      <c r="X308" s="15" cm="1">
        <f t="array" ref="X308">EVAL($AH$13,B308)</f>
        <v>0.36888650053863792</v>
      </c>
      <c r="Y308" s="15" cm="1">
        <f t="array" ref="Y308">EVAL($AH$14,B308)</f>
        <v>0.36888650053863792</v>
      </c>
    </row>
    <row r="309" spans="1:25" x14ac:dyDescent="0.25">
      <c r="A309" s="20">
        <v>31.6000000000002</v>
      </c>
      <c r="B309" s="41">
        <f t="shared" si="4"/>
        <v>99.274327853438095</v>
      </c>
      <c r="C309" s="15" cm="1">
        <f t="array" ref="C309">EVAL($AG$6,B309)</f>
        <v>344.85330314216418</v>
      </c>
      <c r="D309" s="15" cm="1">
        <f t="array" ref="D309">EVAL($AG$7,B309)</f>
        <v>3.8615784975240977</v>
      </c>
      <c r="F309" s="15" cm="1">
        <f t="array" ref="F309">EVAL($AG$9,B309)</f>
        <v>2.2663234432249411</v>
      </c>
      <c r="G309" s="15" cm="1">
        <f t="array" ref="G309">EVAL($AG$10,B309)</f>
        <v>2.2663234432249411</v>
      </c>
      <c r="H309" s="15" cm="1">
        <f t="array" ref="H309">EVAL($AG$11,B309)</f>
        <v>2.2663234432249411</v>
      </c>
      <c r="I309" s="15" cm="1">
        <f t="array" ref="I309">EVAL($AG$12,B309)</f>
        <v>2.159332179083544</v>
      </c>
      <c r="J309" s="15" cm="1">
        <f t="array" ref="J309">EVAL($AG$13,B309)</f>
        <v>131.76963795718586</v>
      </c>
      <c r="K309" s="15" cm="1">
        <f t="array" ref="K309">EVAL($AG$14,B309)</f>
        <v>1.5752301339055828</v>
      </c>
      <c r="L309" s="15" cm="1">
        <f t="array" ref="L309">EVAL($AG$15,B309)</f>
        <v>73.498463183524819</v>
      </c>
      <c r="M309" s="15" cm="1">
        <f t="array" ref="M309">EVAL($AG$16,B309)</f>
        <v>0.95160837892854999</v>
      </c>
      <c r="N309" s="15" cm="1">
        <f t="array" ref="N309">EVAL($AG$17,B309)</f>
        <v>41.412496829879537</v>
      </c>
      <c r="O309" s="15" cm="1">
        <f t="array" ref="O309">EVAL($AG$18,B309)</f>
        <v>8.4479910497566226E-3</v>
      </c>
      <c r="P309" s="15" cm="1">
        <f t="array" ref="P309">EVAL($AG$19,B309)</f>
        <v>8.4479910497566226E-3</v>
      </c>
      <c r="Q309" s="15" cm="1">
        <f t="array" ref="Q309">EVAL($AH$6,B309)</f>
        <v>1.2172060480585556</v>
      </c>
      <c r="R309" s="15" cm="1">
        <f t="array" ref="R309">EVAL($AH$7,B309)</f>
        <v>1.2172060480585556</v>
      </c>
      <c r="T309" s="15" cm="1">
        <f t="array" ref="T309">EVAL($AH$9,B309)</f>
        <v>0.80194128151486821</v>
      </c>
      <c r="U309" s="15" cm="1">
        <f t="array" ref="U309">EVAL($AH$10,B309)</f>
        <v>0.80194128151486821</v>
      </c>
      <c r="V309" s="15" cm="1">
        <f t="array" ref="V309">EVAL($AH$11,B309)</f>
        <v>0.80194128151486821</v>
      </c>
      <c r="W309" s="15" cm="1">
        <f t="array" ref="W309">EVAL($AH$12,B309)</f>
        <v>38.297299958274991</v>
      </c>
      <c r="X309" s="15" cm="1">
        <f t="array" ref="X309">EVAL($AH$13,B309)</f>
        <v>0.3691910893728777</v>
      </c>
      <c r="Y309" s="15" cm="1">
        <f t="array" ref="Y309">EVAL($AH$14,B309)</f>
        <v>0.3691910893728777</v>
      </c>
    </row>
    <row r="310" spans="1:25" x14ac:dyDescent="0.25">
      <c r="A310" s="20">
        <v>31.700000000000198</v>
      </c>
      <c r="B310" s="41">
        <f t="shared" si="4"/>
        <v>99.588487118797062</v>
      </c>
      <c r="C310" s="15" cm="1">
        <f t="array" ref="C310">EVAL($AG$6,B310)</f>
        <v>345.60757471294443</v>
      </c>
      <c r="D310" s="15" cm="1">
        <f t="array" ref="D310">EVAL($AG$7,B310)</f>
        <v>3.865013354732262</v>
      </c>
      <c r="F310" s="15" cm="1">
        <f t="array" ref="F310">EVAL($AG$9,B310)</f>
        <v>2.273611006051711</v>
      </c>
      <c r="G310" s="15" cm="1">
        <f t="array" ref="G310">EVAL($AG$10,B310)</f>
        <v>2.273611006051711</v>
      </c>
      <c r="H310" s="15" cm="1">
        <f t="array" ref="H310">EVAL($AG$11,B310)</f>
        <v>2.273611006051711</v>
      </c>
      <c r="I310" s="15" cm="1">
        <f t="array" ref="I310">EVAL($AG$12,B310)</f>
        <v>2.1657843242368515</v>
      </c>
      <c r="J310" s="15" cm="1">
        <f t="array" ref="J310">EVAL($AG$13,B310)</f>
        <v>132.08217533737769</v>
      </c>
      <c r="K310" s="15" cm="1">
        <f t="array" ref="K310">EVAL($AG$14,B310)</f>
        <v>1.5795271834153042</v>
      </c>
      <c r="L310" s="15" cm="1">
        <f t="array" ref="L310">EVAL($AG$15,B310)</f>
        <v>73.639767096794273</v>
      </c>
      <c r="M310" s="15" cm="1">
        <f t="array" ref="M310">EVAL($AG$16,B310)</f>
        <v>0.95314241139422273</v>
      </c>
      <c r="N310" s="15" cm="1">
        <f t="array" ref="N310">EVAL($AG$17,B310)</f>
        <v>41.465968534012227</v>
      </c>
      <c r="O310" s="15" cm="1">
        <f t="array" ref="O310">EVAL($AG$18,B310)</f>
        <v>8.4332432962266664E-3</v>
      </c>
      <c r="P310" s="15" cm="1">
        <f t="array" ref="P310">EVAL($AG$19,B310)</f>
        <v>8.4332432962266664E-3</v>
      </c>
      <c r="Q310" s="15" cm="1">
        <f t="array" ref="Q310">EVAL($AH$6,B310)</f>
        <v>1.218796570296558</v>
      </c>
      <c r="R310" s="15" cm="1">
        <f t="array" ref="R310">EVAL($AH$7,B310)</f>
        <v>1.218796570296558</v>
      </c>
      <c r="T310" s="15" cm="1">
        <f t="array" ref="T310">EVAL($AH$9,B310)</f>
        <v>0.80293158765171246</v>
      </c>
      <c r="U310" s="15" cm="1">
        <f t="array" ref="U310">EVAL($AH$10,B310)</f>
        <v>0.80293158765171246</v>
      </c>
      <c r="V310" s="15" cm="1">
        <f t="array" ref="V310">EVAL($AH$11,B310)</f>
        <v>0.80293158765171246</v>
      </c>
      <c r="W310" s="15" cm="1">
        <f t="array" ref="W310">EVAL($AH$12,B310)</f>
        <v>38.476584387907955</v>
      </c>
      <c r="X310" s="15" cm="1">
        <f t="array" ref="X310">EVAL($AH$13,B310)</f>
        <v>0.36949496614701072</v>
      </c>
      <c r="Y310" s="15" cm="1">
        <f t="array" ref="Y310">EVAL($AH$14,B310)</f>
        <v>0.36949496614701072</v>
      </c>
    </row>
    <row r="311" spans="1:25" x14ac:dyDescent="0.25">
      <c r="A311" s="20">
        <v>31.8000000000002</v>
      </c>
      <c r="B311" s="41">
        <f t="shared" si="4"/>
        <v>99.902646384156043</v>
      </c>
      <c r="C311" s="15" cm="1">
        <f t="array" ref="C311">EVAL($AG$6,B311)</f>
        <v>346.36111259276333</v>
      </c>
      <c r="D311" s="15" cm="1">
        <f t="array" ref="D311">EVAL($AG$7,B311)</f>
        <v>3.8684404343429457</v>
      </c>
      <c r="F311" s="15" cm="1">
        <f t="array" ref="F311">EVAL($AG$9,B311)</f>
        <v>2.2808989390139187</v>
      </c>
      <c r="G311" s="15" cm="1">
        <f t="array" ref="G311">EVAL($AG$10,B311)</f>
        <v>2.2808989390139187</v>
      </c>
      <c r="H311" s="15" cm="1">
        <f t="array" ref="H311">EVAL($AG$11,B311)</f>
        <v>2.2808989390139187</v>
      </c>
      <c r="I311" s="15" cm="1">
        <f t="array" ref="I311">EVAL($AG$12,B311)</f>
        <v>2.1722353357828204</v>
      </c>
      <c r="J311" s="15" cm="1">
        <f t="array" ref="J311">EVAL($AG$13,B311)</f>
        <v>132.39446613666385</v>
      </c>
      <c r="K311" s="15" cm="1">
        <f t="array" ref="K311">EVAL($AG$14,B311)</f>
        <v>1.5838223653988719</v>
      </c>
      <c r="L311" s="15" cm="1">
        <f t="array" ref="L311">EVAL($AG$15,B311)</f>
        <v>73.780896337752452</v>
      </c>
      <c r="M311" s="15" cm="1">
        <f t="array" ref="M311">EVAL($AG$16,B311)</f>
        <v>0.95467407350297984</v>
      </c>
      <c r="N311" s="15" cm="1">
        <f t="array" ref="N311">EVAL($AG$17,B311)</f>
        <v>41.519340539633568</v>
      </c>
      <c r="O311" s="15" cm="1">
        <f t="array" ref="O311">EVAL($AG$18,B311)</f>
        <v>8.4185676162542404E-3</v>
      </c>
      <c r="P311" s="15" cm="1">
        <f t="array" ref="P311">EVAL($AG$19,B311)</f>
        <v>8.4185676162542404E-3</v>
      </c>
      <c r="Q311" s="15" cm="1">
        <f t="array" ref="Q311">EVAL($AH$6,B311)</f>
        <v>1.2203841515301839</v>
      </c>
      <c r="R311" s="15" cm="1">
        <f t="array" ref="R311">EVAL($AH$7,B311)</f>
        <v>1.2203841515301839</v>
      </c>
      <c r="T311" s="15" cm="1">
        <f t="array" ref="T311">EVAL($AH$9,B311)</f>
        <v>0.80391999185114804</v>
      </c>
      <c r="U311" s="15" cm="1">
        <f t="array" ref="U311">EVAL($AH$10,B311)</f>
        <v>0.80391999185114804</v>
      </c>
      <c r="V311" s="15" cm="1">
        <f t="array" ref="V311">EVAL($AH$11,B311)</f>
        <v>0.80391999185114804</v>
      </c>
      <c r="W311" s="15" cm="1">
        <f t="array" ref="W311">EVAL($AH$12,B311)</f>
        <v>38.656139475650015</v>
      </c>
      <c r="X311" s="15" cm="1">
        <f t="array" ref="X311">EVAL($AH$13,B311)</f>
        <v>0.36979813476406537</v>
      </c>
      <c r="Y311" s="15" cm="1">
        <f t="array" ref="Y311">EVAL($AH$14,B311)</f>
        <v>0.36979813476406537</v>
      </c>
    </row>
    <row r="312" spans="1:25" x14ac:dyDescent="0.25">
      <c r="A312" s="20">
        <v>31.900000000000201</v>
      </c>
      <c r="B312" s="41">
        <f t="shared" si="4"/>
        <v>100.21680564951504</v>
      </c>
      <c r="C312" s="15" cm="1">
        <f t="array" ref="C312">EVAL($AG$6,B312)</f>
        <v>347.11391979914424</v>
      </c>
      <c r="D312" s="15" cm="1">
        <f t="array" ref="D312">EVAL($AG$7,B312)</f>
        <v>3.8718597783420958</v>
      </c>
      <c r="F312" s="15" cm="1">
        <f t="array" ref="F312">EVAL($AG$9,B312)</f>
        <v>2.2881872409663235</v>
      </c>
      <c r="G312" s="15" cm="1">
        <f t="array" ref="G312">EVAL($AG$10,B312)</f>
        <v>2.2881872409663235</v>
      </c>
      <c r="H312" s="15" cm="1">
        <f t="array" ref="H312">EVAL($AG$11,B312)</f>
        <v>2.2881872409663235</v>
      </c>
      <c r="I312" s="15" cm="1">
        <f t="array" ref="I312">EVAL($AG$12,B312)</f>
        <v>2.1786852174844977</v>
      </c>
      <c r="J312" s="15" cm="1">
        <f t="array" ref="J312">EVAL($AG$13,B312)</f>
        <v>132.70651132408619</v>
      </c>
      <c r="K312" s="15" cm="1">
        <f t="array" ref="K312">EVAL($AG$14,B312)</f>
        <v>1.5881156865368484</v>
      </c>
      <c r="L312" s="15" cm="1">
        <f t="array" ref="L312">EVAL($AG$15,B312)</f>
        <v>73.92185167058895</v>
      </c>
      <c r="M312" s="15" cm="1">
        <f t="array" ref="M312">EVAL($AG$16,B312)</f>
        <v>0.9562033763541814</v>
      </c>
      <c r="N312" s="15" cm="1">
        <f t="array" ref="N312">EVAL($AG$17,B312)</f>
        <v>41.572613345275521</v>
      </c>
      <c r="O312" s="15" cm="1">
        <f t="array" ref="O312">EVAL($AG$18,B312)</f>
        <v>8.4039634326197737E-3</v>
      </c>
      <c r="P312" s="15" cm="1">
        <f t="array" ref="P312">EVAL($AG$19,B312)</f>
        <v>8.4039634326197737E-3</v>
      </c>
      <c r="Q312" s="15" cm="1">
        <f t="array" ref="Q312">EVAL($AH$6,B312)</f>
        <v>1.2219688064204559</v>
      </c>
      <c r="R312" s="15" cm="1">
        <f t="array" ref="R312">EVAL($AH$7,B312)</f>
        <v>1.2219688064204559</v>
      </c>
      <c r="T312" s="15" cm="1">
        <f t="array" ref="T312">EVAL($AH$9,B312)</f>
        <v>0.80490650372970729</v>
      </c>
      <c r="U312" s="15" cm="1">
        <f t="array" ref="U312">EVAL($AH$10,B312)</f>
        <v>0.80490650372970729</v>
      </c>
      <c r="V312" s="15" cm="1">
        <f t="array" ref="V312">EVAL($AH$11,B312)</f>
        <v>0.80490650372970729</v>
      </c>
      <c r="W312" s="15" cm="1">
        <f t="array" ref="W312">EVAL($AH$12,B312)</f>
        <v>38.835964777048119</v>
      </c>
      <c r="X312" s="15" cm="1">
        <f t="array" ref="X312">EVAL($AH$13,B312)</f>
        <v>0.37010059909348397</v>
      </c>
      <c r="Y312" s="15" cm="1">
        <f t="array" ref="Y312">EVAL($AH$14,B312)</f>
        <v>0.37010059909348397</v>
      </c>
    </row>
    <row r="313" spans="1:25" x14ac:dyDescent="0.25">
      <c r="A313" s="20">
        <v>32.000000000000199</v>
      </c>
      <c r="B313" s="41">
        <f t="shared" si="4"/>
        <v>100.530964914874</v>
      </c>
      <c r="C313" s="15" cm="1">
        <f t="array" ref="C313">EVAL($AG$6,B313)</f>
        <v>347.86599932778358</v>
      </c>
      <c r="D313" s="15" cm="1">
        <f t="array" ref="D313">EVAL($AG$7,B313)</f>
        <v>3.8752714283582512</v>
      </c>
      <c r="F313" s="15" cm="1">
        <f t="array" ref="F313">EVAL($AG$9,B313)</f>
        <v>2.2954759107708118</v>
      </c>
      <c r="G313" s="15" cm="1">
        <f t="array" ref="G313">EVAL($AG$10,B313)</f>
        <v>2.2954759107708118</v>
      </c>
      <c r="H313" s="15" cm="1">
        <f t="array" ref="H313">EVAL($AG$11,B313)</f>
        <v>2.2954759107708118</v>
      </c>
      <c r="I313" s="15" cm="1">
        <f t="array" ref="I313">EVAL($AG$12,B313)</f>
        <v>2.1851339730806836</v>
      </c>
      <c r="J313" s="15" cm="1">
        <f t="array" ref="J313">EVAL($AG$13,B313)</f>
        <v>133.01831186185331</v>
      </c>
      <c r="K313" s="15" cm="1">
        <f t="array" ref="K313">EVAL($AG$14,B313)</f>
        <v>1.5924071534650326</v>
      </c>
      <c r="L313" s="15" cm="1">
        <f t="array" ref="L313">EVAL($AG$15,B313)</f>
        <v>74.062633853766329</v>
      </c>
      <c r="M313" s="15" cm="1">
        <f t="array" ref="M313">EVAL($AG$16,B313)</f>
        <v>0.957730330960609</v>
      </c>
      <c r="N313" s="15" cm="1">
        <f t="array" ref="N313">EVAL($AG$17,B313)</f>
        <v>41.625787445423661</v>
      </c>
      <c r="O313" s="15" cm="1">
        <f t="array" ref="O313">EVAL($AG$18,B313)</f>
        <v>8.3894301745171297E-3</v>
      </c>
      <c r="P313" s="15" cm="1">
        <f t="array" ref="P313">EVAL($AG$19,B313)</f>
        <v>8.3894301745171297E-3</v>
      </c>
      <c r="Q313" s="15" cm="1">
        <f t="array" ref="Q313">EVAL($AH$6,B313)</f>
        <v>1.2235505495096217</v>
      </c>
      <c r="R313" s="15" cm="1">
        <f t="array" ref="R313">EVAL($AH$7,B313)</f>
        <v>1.2235505495096217</v>
      </c>
      <c r="T313" s="15" cm="1">
        <f t="array" ref="T313">EVAL($AH$9,B313)</f>
        <v>0.80589113282533387</v>
      </c>
      <c r="U313" s="15" cm="1">
        <f t="array" ref="U313">EVAL($AH$10,B313)</f>
        <v>0.80589113282533387</v>
      </c>
      <c r="V313" s="15" cm="1">
        <f t="array" ref="V313">EVAL($AH$11,B313)</f>
        <v>0.80589113282533387</v>
      </c>
      <c r="W313" s="15" cm="1">
        <f t="array" ref="W313">EVAL($AH$12,B313)</f>
        <v>39.016059849770983</v>
      </c>
      <c r="X313" s="15" cm="1">
        <f t="array" ref="X313">EVAL($AH$13,B313)</f>
        <v>0.37040236297151613</v>
      </c>
      <c r="Y313" s="15" cm="1">
        <f t="array" ref="Y313">EVAL($AH$14,B313)</f>
        <v>0.37040236297151613</v>
      </c>
    </row>
    <row r="314" spans="1:25" x14ac:dyDescent="0.25">
      <c r="A314" s="20">
        <v>32.1000000000002</v>
      </c>
      <c r="B314" s="41">
        <f t="shared" si="4"/>
        <v>100.84512418023299</v>
      </c>
      <c r="C314" s="15" cm="1">
        <f t="array" ref="C314">EVAL($AG$6,B314)</f>
        <v>348.61735415277667</v>
      </c>
      <c r="D314" s="15" cm="1">
        <f t="array" ref="D314">EVAL($AG$7,B314)</f>
        <v>3.8786754256666791</v>
      </c>
      <c r="F314" s="15" cm="1">
        <f t="array" ref="F314">EVAL($AG$9,B314)</f>
        <v>2.3027649472963141</v>
      </c>
      <c r="G314" s="15" cm="1">
        <f t="array" ref="G314">EVAL($AG$10,B314)</f>
        <v>2.3027649472963141</v>
      </c>
      <c r="H314" s="15" cm="1">
        <f t="array" ref="H314">EVAL($AG$11,B314)</f>
        <v>2.3027649472963141</v>
      </c>
      <c r="I314" s="15" cm="1">
        <f t="array" ref="I314">EVAL($AG$12,B314)</f>
        <v>2.1915816062861557</v>
      </c>
      <c r="J314" s="15" cm="1">
        <f t="array" ref="J314">EVAL($AG$13,B314)</f>
        <v>133.32986870541023</v>
      </c>
      <c r="K314" s="15" cm="1">
        <f t="array" ref="K314">EVAL($AG$14,B314)</f>
        <v>1.5966967727749</v>
      </c>
      <c r="L314" s="15" cm="1">
        <f t="array" ref="L314">EVAL($AG$15,B314)</f>
        <v>74.203243640080856</v>
      </c>
      <c r="M314" s="15" cm="1">
        <f t="array" ref="M314">EVAL($AG$16,B314)</f>
        <v>0.9592549482494086</v>
      </c>
      <c r="N314" s="15" cm="1">
        <f t="array" ref="N314">EVAL($AG$17,B314)</f>
        <v>41.678863330562478</v>
      </c>
      <c r="O314" s="15" cm="1">
        <f t="array" ref="O314">EVAL($AG$18,B314)</f>
        <v>8.3749672774625829E-3</v>
      </c>
      <c r="P314" s="15" cm="1">
        <f t="array" ref="P314">EVAL($AG$19,B314)</f>
        <v>8.3749672774625829E-3</v>
      </c>
      <c r="Q314" s="15" cm="1">
        <f t="array" ref="Q314">EVAL($AH$6,B314)</f>
        <v>1.2251293952224842</v>
      </c>
      <c r="R314" s="15" cm="1">
        <f t="array" ref="R314">EVAL($AH$7,B314)</f>
        <v>1.2251293952224842</v>
      </c>
      <c r="T314" s="15" cm="1">
        <f t="array" ref="T314">EVAL($AH$9,B314)</f>
        <v>0.80687388859826858</v>
      </c>
      <c r="U314" s="15" cm="1">
        <f t="array" ref="U314">EVAL($AH$10,B314)</f>
        <v>0.80687388859826858</v>
      </c>
      <c r="V314" s="15" cm="1">
        <f t="array" ref="V314">EVAL($AH$11,B314)</f>
        <v>0.80687388859826858</v>
      </c>
      <c r="W314" s="15" cm="1">
        <f t="array" ref="W314">EVAL($AH$12,B314)</f>
        <v>39.19642425359239</v>
      </c>
      <c r="X314" s="15" cm="1">
        <f t="array" ref="X314">EVAL($AH$13,B314)</f>
        <v>0.37070343020160579</v>
      </c>
      <c r="Y314" s="15" cm="1">
        <f t="array" ref="Y314">EVAL($AH$14,B314)</f>
        <v>0.37070343020160579</v>
      </c>
    </row>
    <row r="315" spans="1:25" x14ac:dyDescent="0.25">
      <c r="A315" s="20">
        <v>32.200000000000202</v>
      </c>
      <c r="B315" s="41">
        <f t="shared" si="4"/>
        <v>101.15928344559197</v>
      </c>
      <c r="C315" s="15" cm="1">
        <f t="array" ref="C315">EVAL($AG$6,B315)</f>
        <v>349.36798722684097</v>
      </c>
      <c r="D315" s="15" cm="1">
        <f t="array" ref="D315">EVAL($AG$7,B315)</f>
        <v>3.8820718111934736</v>
      </c>
      <c r="F315" s="15" cm="1">
        <f t="array" ref="F315">EVAL($AG$9,B315)</f>
        <v>2.3100543494187615</v>
      </c>
      <c r="G315" s="15" cm="1">
        <f t="array" ref="G315">EVAL($AG$10,B315)</f>
        <v>2.3100543494187615</v>
      </c>
      <c r="H315" s="15" cm="1">
        <f t="array" ref="H315">EVAL($AG$11,B315)</f>
        <v>2.3100543494187615</v>
      </c>
      <c r="I315" s="15" cm="1">
        <f t="array" ref="I315">EVAL($AG$12,B315)</f>
        <v>2.1980281207919106</v>
      </c>
      <c r="J315" s="15" cm="1">
        <f t="array" ref="J315">EVAL($AG$13,B315)</f>
        <v>133.64118280350715</v>
      </c>
      <c r="K315" s="15" cm="1">
        <f t="array" ref="K315">EVAL($AG$14,B315)</f>
        <v>1.6009845510140384</v>
      </c>
      <c r="L315" s="15" cm="1">
        <f t="array" ref="L315">EVAL($AG$15,B315)</f>
        <v>74.343681776722377</v>
      </c>
      <c r="M315" s="15" cm="1">
        <f t="array" ref="M315">EVAL($AG$16,B315)</f>
        <v>0.96077723906302137</v>
      </c>
      <c r="N315" s="15" cm="1">
        <f t="array" ref="N315">EVAL($AG$17,B315)</f>
        <v>41.731841487220194</v>
      </c>
      <c r="O315" s="15" cm="1">
        <f t="array" ref="O315">EVAL($AG$18,B315)</f>
        <v>8.3605741832053371E-3</v>
      </c>
      <c r="P315" s="15" cm="1">
        <f t="array" ref="P315">EVAL($AG$19,B315)</f>
        <v>8.3605741832053371E-3</v>
      </c>
      <c r="Q315" s="15" cm="1">
        <f t="array" ref="Q315">EVAL($AH$6,B315)</f>
        <v>1.2267053578677132</v>
      </c>
      <c r="R315" s="15" cm="1">
        <f t="array" ref="R315">EVAL($AH$7,B315)</f>
        <v>1.2267053578677132</v>
      </c>
      <c r="T315" s="15" cm="1">
        <f t="array" ref="T315">EVAL($AH$9,B315)</f>
        <v>0.80785478043192394</v>
      </c>
      <c r="U315" s="15" cm="1">
        <f t="array" ref="U315">EVAL($AH$10,B315)</f>
        <v>0.80785478043192394</v>
      </c>
      <c r="V315" s="15" cm="1">
        <f t="array" ref="V315">EVAL($AH$11,B315)</f>
        <v>0.80785478043192394</v>
      </c>
      <c r="W315" s="15" cm="1">
        <f t="array" ref="W315">EVAL($AH$12,B315)</f>
        <v>39.377057550374801</v>
      </c>
      <c r="X315" s="15" cm="1">
        <f t="array" ref="X315">EVAL($AH$13,B315)</f>
        <v>0.37100380455477378</v>
      </c>
      <c r="Y315" s="15" cm="1">
        <f t="array" ref="Y315">EVAL($AH$14,B315)</f>
        <v>0.37100380455477378</v>
      </c>
    </row>
    <row r="316" spans="1:25" x14ac:dyDescent="0.25">
      <c r="A316" s="20">
        <v>32.300000000000203</v>
      </c>
      <c r="B316" s="41">
        <f t="shared" si="4"/>
        <v>101.47344271095096</v>
      </c>
      <c r="C316" s="15" cm="1">
        <f t="array" ref="C316">EVAL($AG$6,B316)</f>
        <v>350.11790148153489</v>
      </c>
      <c r="D316" s="15" cm="1">
        <f t="array" ref="D316">EVAL($AG$7,B316)</f>
        <v>3.8854606255195767</v>
      </c>
      <c r="F316" s="15" cm="1">
        <f t="array" ref="F316">EVAL($AG$9,B316)</f>
        <v>2.3173441160210069</v>
      </c>
      <c r="G316" s="15" cm="1">
        <f t="array" ref="G316">EVAL($AG$10,B316)</f>
        <v>2.3173441160210069</v>
      </c>
      <c r="H316" s="15" cm="1">
        <f t="array" ref="H316">EVAL($AG$11,B316)</f>
        <v>2.3173441160210069</v>
      </c>
      <c r="I316" s="15" cm="1">
        <f t="array" ref="I316">EVAL($AG$12,B316)</f>
        <v>2.204473520265374</v>
      </c>
      <c r="J316" s="15" cm="1">
        <f t="array" ref="J316">EVAL($AG$13,B316)</f>
        <v>133.95225509826665</v>
      </c>
      <c r="K316" s="15" cm="1">
        <f t="array" ref="K316">EVAL($AG$14,B316)</f>
        <v>1.605270494686575</v>
      </c>
      <c r="L316" s="15" cm="1">
        <f t="array" ref="L316">EVAL($AG$15,B316)</f>
        <v>74.48394900533323</v>
      </c>
      <c r="M316" s="15" cm="1">
        <f t="array" ref="M316">EVAL($AG$16,B316)</f>
        <v>0.96229721416010283</v>
      </c>
      <c r="N316" s="15" cm="1">
        <f t="array" ref="N316">EVAL($AG$17,B316)</f>
        <v>41.784722398012775</v>
      </c>
      <c r="O316" s="15" cm="1">
        <f t="array" ref="O316">EVAL($AG$18,B316)</f>
        <v>8.3462503396396232E-3</v>
      </c>
      <c r="P316" s="15" cm="1">
        <f t="array" ref="P316">EVAL($AG$19,B316)</f>
        <v>8.3462503396396232E-3</v>
      </c>
      <c r="Q316" s="15" cm="1">
        <f t="array" ref="Q316">EVAL($AH$6,B316)</f>
        <v>1.2282784516391378</v>
      </c>
      <c r="R316" s="15" cm="1">
        <f t="array" ref="R316">EVAL($AH$7,B316)</f>
        <v>1.2282784516391378</v>
      </c>
      <c r="T316" s="15" cm="1">
        <f t="array" ref="T316">EVAL($AH$9,B316)</f>
        <v>0.80883381763374285</v>
      </c>
      <c r="U316" s="15" cm="1">
        <f t="array" ref="U316">EVAL($AH$10,B316)</f>
        <v>0.80883381763374285</v>
      </c>
      <c r="V316" s="15" cm="1">
        <f t="array" ref="V316">EVAL($AH$11,B316)</f>
        <v>0.80883381763374285</v>
      </c>
      <c r="W316" s="15" cm="1">
        <f t="array" ref="W316">EVAL($AH$12,B316)</f>
        <v>39.557959304052865</v>
      </c>
      <c r="X316" s="15" cm="1">
        <f t="array" ref="X316">EVAL($AH$13,B316)</f>
        <v>0.371303489769993</v>
      </c>
      <c r="Y316" s="15" cm="1">
        <f t="array" ref="Y316">EVAL($AH$14,B316)</f>
        <v>0.371303489769993</v>
      </c>
    </row>
    <row r="317" spans="1:25" x14ac:dyDescent="0.25">
      <c r="A317" s="20">
        <v>32.400000000000198</v>
      </c>
      <c r="B317" s="41">
        <f t="shared" si="4"/>
        <v>101.78760197630992</v>
      </c>
      <c r="C317" s="15" cm="1">
        <f t="array" ref="C317">EVAL($AG$6,B317)</f>
        <v>350.86709982747527</v>
      </c>
      <c r="D317" s="15" cm="1">
        <f t="array" ref="D317">EVAL($AG$7,B317)</f>
        <v>3.8888419088847543</v>
      </c>
      <c r="F317" s="15" cm="1">
        <f t="array" ref="F317">EVAL($AG$9,B317)</f>
        <v>2.3246342459927716</v>
      </c>
      <c r="G317" s="15" cm="1">
        <f t="array" ref="G317">EVAL($AG$10,B317)</f>
        <v>2.3246342459927716</v>
      </c>
      <c r="H317" s="15" cm="1">
        <f t="array" ref="H317">EVAL($AG$11,B317)</f>
        <v>2.3246342459927716</v>
      </c>
      <c r="I317" s="15" cm="1">
        <f t="array" ref="I317">EVAL($AG$12,B317)</f>
        <v>2.2109178083506449</v>
      </c>
      <c r="J317" s="15" cm="1">
        <f t="array" ref="J317">EVAL($AG$13,B317)</f>
        <v>134.26308652525066</v>
      </c>
      <c r="K317" s="15" cm="1">
        <f t="array" ref="K317">EVAL($AG$14,B317)</f>
        <v>1.6095546102535985</v>
      </c>
      <c r="L317" s="15" cm="1">
        <f t="array" ref="L317">EVAL($AG$15,B317)</f>
        <v>74.624046062066682</v>
      </c>
      <c r="M317" s="15" cm="1">
        <f t="array" ref="M317">EVAL($AG$16,B317)</f>
        <v>0.96381488421642592</v>
      </c>
      <c r="N317" s="15" cm="1">
        <f t="array" ref="N317">EVAL($AG$17,B317)</f>
        <v>41.837506541687496</v>
      </c>
      <c r="O317" s="15" cm="1">
        <f t="array" ref="O317">EVAL($AG$18,B317)</f>
        <v>8.3319952007182702E-3</v>
      </c>
      <c r="P317" s="15" cm="1">
        <f t="array" ref="P317">EVAL($AG$19,B317)</f>
        <v>8.3319952007182702E-3</v>
      </c>
      <c r="Q317" s="15" cm="1">
        <f t="array" ref="Q317">EVAL($AH$6,B317)</f>
        <v>1.2298486906170225</v>
      </c>
      <c r="R317" s="15" cm="1">
        <f t="array" ref="R317">EVAL($AH$7,B317)</f>
        <v>1.2298486906170225</v>
      </c>
      <c r="T317" s="15" cm="1">
        <f t="array" ref="T317">EVAL($AH$9,B317)</f>
        <v>0.80981100943604778</v>
      </c>
      <c r="U317" s="15" cm="1">
        <f t="array" ref="U317">EVAL($AH$10,B317)</f>
        <v>0.80981100943604778</v>
      </c>
      <c r="V317" s="15" cm="1">
        <f t="array" ref="V317">EVAL($AH$11,B317)</f>
        <v>0.80981100943604778</v>
      </c>
      <c r="W317" s="15" cm="1">
        <f t="array" ref="W317">EVAL($AH$12,B317)</f>
        <v>39.739129080617339</v>
      </c>
      <c r="X317" s="15" cm="1">
        <f t="array" ref="X317">EVAL($AH$13,B317)</f>
        <v>0.37160248955456027</v>
      </c>
      <c r="Y317" s="15" cm="1">
        <f t="array" ref="Y317">EVAL($AH$14,B317)</f>
        <v>0.37160248955456027</v>
      </c>
    </row>
    <row r="318" spans="1:25" x14ac:dyDescent="0.25">
      <c r="A318" s="20">
        <v>32.500000000000199</v>
      </c>
      <c r="B318" s="41">
        <f t="shared" si="4"/>
        <v>102.1017612416689</v>
      </c>
      <c r="C318" s="15" cm="1">
        <f t="array" ref="C318">EVAL($AG$6,B318)</f>
        <v>351.61558515454999</v>
      </c>
      <c r="D318" s="15" cm="1">
        <f t="array" ref="D318">EVAL($AG$7,B318)</f>
        <v>3.8922157011914993</v>
      </c>
      <c r="F318" s="15" cm="1">
        <f t="array" ref="F318">EVAL($AG$9,B318)</f>
        <v>2.3319247382305632</v>
      </c>
      <c r="G318" s="15" cm="1">
        <f t="array" ref="G318">EVAL($AG$10,B318)</f>
        <v>2.3319247382305632</v>
      </c>
      <c r="H318" s="15" cm="1">
        <f t="array" ref="H318">EVAL($AG$11,B318)</f>
        <v>2.3319247382305632</v>
      </c>
      <c r="I318" s="15" cm="1">
        <f t="array" ref="I318">EVAL($AG$12,B318)</f>
        <v>2.217360988668692</v>
      </c>
      <c r="J318" s="15" cm="1">
        <f t="array" ref="J318">EVAL($AG$13,B318)</f>
        <v>134.57367801352558</v>
      </c>
      <c r="K318" s="15" cm="1">
        <f t="array" ref="K318">EVAL($AG$14,B318)</f>
        <v>1.6138369041335741</v>
      </c>
      <c r="L318" s="15" cm="1">
        <f t="array" ref="L318">EVAL($AG$15,B318)</f>
        <v>74.763973677644046</v>
      </c>
      <c r="M318" s="15" cm="1">
        <f t="array" ref="M318">EVAL($AG$16,B318)</f>
        <v>0.96533025982577225</v>
      </c>
      <c r="N318" s="15" cm="1">
        <f t="array" ref="N318">EVAL($AG$17,B318)</f>
        <v>41.89019439316565</v>
      </c>
      <c r="O318" s="15" cm="1">
        <f t="array" ref="O318">EVAL($AG$18,B318)</f>
        <v>8.3178082263677903E-3</v>
      </c>
      <c r="P318" s="15" cm="1">
        <f t="array" ref="P318">EVAL($AG$19,B318)</f>
        <v>8.3178082263677903E-3</v>
      </c>
      <c r="Q318" s="15" cm="1">
        <f t="array" ref="Q318">EVAL($AH$6,B318)</f>
        <v>1.2314160887693189</v>
      </c>
      <c r="R318" s="15" cm="1">
        <f t="array" ref="R318">EVAL($AH$7,B318)</f>
        <v>1.2314160887693189</v>
      </c>
      <c r="T318" s="15" cm="1">
        <f t="array" ref="T318">EVAL($AH$9,B318)</f>
        <v>0.81078636499687562</v>
      </c>
      <c r="U318" s="15" cm="1">
        <f t="array" ref="U318">EVAL($AH$10,B318)</f>
        <v>0.81078636499687562</v>
      </c>
      <c r="V318" s="15" cm="1">
        <f t="array" ref="V318">EVAL($AH$11,B318)</f>
        <v>0.81078636499687562</v>
      </c>
      <c r="W318" s="15" cm="1">
        <f t="array" ref="W318">EVAL($AH$12,B318)</f>
        <v>39.920566448098896</v>
      </c>
      <c r="X318" s="15" cm="1">
        <f t="array" ref="X318">EVAL($AH$13,B318)</f>
        <v>0.37190080758445998</v>
      </c>
      <c r="Y318" s="15" cm="1">
        <f t="array" ref="Y318">EVAL($AH$14,B318)</f>
        <v>0.37190080758445998</v>
      </c>
    </row>
    <row r="319" spans="1:25" x14ac:dyDescent="0.25">
      <c r="A319" s="20">
        <v>32.6000000000002</v>
      </c>
      <c r="B319" s="41">
        <f t="shared" si="4"/>
        <v>102.41592050702789</v>
      </c>
      <c r="C319" s="15" cm="1">
        <f t="array" ref="C319">EVAL($AG$6,B319)</f>
        <v>352.36336033212979</v>
      </c>
      <c r="D319" s="15" cm="1">
        <f t="array" ref="D319">EVAL($AG$7,B319)</f>
        <v>3.8955820420088942</v>
      </c>
      <c r="F319" s="15" cm="1">
        <f t="array" ref="F319">EVAL($AG$9,B319)</f>
        <v>2.3392155916376351</v>
      </c>
      <c r="G319" s="15" cm="1">
        <f t="array" ref="G319">EVAL($AG$10,B319)</f>
        <v>2.3392155916376351</v>
      </c>
      <c r="H319" s="15" cm="1">
        <f t="array" ref="H319">EVAL($AG$11,B319)</f>
        <v>2.3392155916376351</v>
      </c>
      <c r="I319" s="15" cm="1">
        <f t="array" ref="I319">EVAL($AG$12,B319)</f>
        <v>2.2238030648175915</v>
      </c>
      <c r="J319" s="15" cm="1">
        <f t="array" ref="J319">EVAL($AG$13,B319)</f>
        <v>134.88403048572809</v>
      </c>
      <c r="K319" s="15" cm="1">
        <f t="array" ref="K319">EVAL($AG$14,B319)</f>
        <v>1.618117382702756</v>
      </c>
      <c r="L319" s="15" cm="1">
        <f t="array" ref="L319">EVAL($AG$15,B319)</f>
        <v>74.903732577411716</v>
      </c>
      <c r="M319" s="15" cm="1">
        <f t="array" ref="M319">EVAL($AG$16,B319)</f>
        <v>0.96684335150081402</v>
      </c>
      <c r="N319" s="15" cm="1">
        <f t="array" ref="N319">EVAL($AG$17,B319)</f>
        <v>41.94278642358492</v>
      </c>
      <c r="O319" s="15" cm="1">
        <f t="array" ref="O319">EVAL($AG$18,B319)</f>
        <v>8.3036888824048766E-3</v>
      </c>
      <c r="P319" s="15" cm="1">
        <f t="array" ref="P319">EVAL($AG$19,B319)</f>
        <v>8.3036888824048766E-3</v>
      </c>
      <c r="Q319" s="15" cm="1">
        <f t="array" ref="Q319">EVAL($AH$6,B319)</f>
        <v>1.2329806599529065</v>
      </c>
      <c r="R319" s="15" cm="1">
        <f t="array" ref="R319">EVAL($AH$7,B319)</f>
        <v>1.2329806599529065</v>
      </c>
      <c r="T319" s="15" cm="1">
        <f t="array" ref="T319">EVAL($AH$9,B319)</f>
        <v>0.81175989340080312</v>
      </c>
      <c r="U319" s="15" cm="1">
        <f t="array" ref="U319">EVAL($AH$10,B319)</f>
        <v>0.81175989340080312</v>
      </c>
      <c r="V319" s="15" cm="1">
        <f t="array" ref="V319">EVAL($AH$11,B319)</f>
        <v>0.81175989340080312</v>
      </c>
      <c r="W319" s="15" cm="1">
        <f t="array" ref="W319">EVAL($AH$12,B319)</f>
        <v>40.102270976552468</v>
      </c>
      <c r="X319" s="15" cm="1">
        <f t="array" ref="X319">EVAL($AH$13,B319)</f>
        <v>0.37219844750472519</v>
      </c>
      <c r="Y319" s="15" cm="1">
        <f t="array" ref="Y319">EVAL($AH$14,B319)</f>
        <v>0.37219844750472519</v>
      </c>
    </row>
    <row r="320" spans="1:25" x14ac:dyDescent="0.25">
      <c r="A320" s="20">
        <v>32.700000000000202</v>
      </c>
      <c r="B320" s="41">
        <f t="shared" si="4"/>
        <v>102.73007977238687</v>
      </c>
      <c r="C320" s="15" cm="1">
        <f t="array" ref="C320">EVAL($AG$6,B320)</f>
        <v>353.11042820927588</v>
      </c>
      <c r="D320" s="15" cm="1">
        <f t="array" ref="D320">EVAL($AG$7,B320)</f>
        <v>3.898940970576402</v>
      </c>
      <c r="F320" s="15" cm="1">
        <f t="array" ref="F320">EVAL($AG$9,B320)</f>
        <v>2.3465068051239131</v>
      </c>
      <c r="G320" s="15" cm="1">
        <f t="array" ref="G320">EVAL($AG$10,B320)</f>
        <v>2.3465068051239131</v>
      </c>
      <c r="H320" s="15" cm="1">
        <f t="array" ref="H320">EVAL($AG$11,B320)</f>
        <v>2.3465068051239131</v>
      </c>
      <c r="I320" s="15" cm="1">
        <f t="array" ref="I320">EVAL($AG$12,B320)</f>
        <v>2.2302440403727233</v>
      </c>
      <c r="J320" s="15" cm="1">
        <f t="array" ref="J320">EVAL($AG$13,B320)</f>
        <v>135.19414485812874</v>
      </c>
      <c r="K320" s="15" cm="1">
        <f t="array" ref="K320">EVAL($AG$14,B320)</f>
        <v>1.6223960522955923</v>
      </c>
      <c r="L320" s="15" cm="1">
        <f t="array" ref="L320">EVAL($AG$15,B320)</f>
        <v>75.043323481396712</v>
      </c>
      <c r="M320" s="15" cm="1">
        <f t="array" ref="M320">EVAL($AG$16,B320)</f>
        <v>0.96835416967397991</v>
      </c>
      <c r="N320" s="15" cm="1">
        <f t="array" ref="N320">EVAL($AG$17,B320)</f>
        <v>41.995283100340934</v>
      </c>
      <c r="O320" s="15" cm="1">
        <f t="array" ref="O320">EVAL($AG$18,B320)</f>
        <v>8.2896366404543488E-3</v>
      </c>
      <c r="P320" s="15" cm="1">
        <f t="array" ref="P320">EVAL($AG$19,B320)</f>
        <v>8.2896366404543488E-3</v>
      </c>
      <c r="Q320" s="15" cm="1">
        <f t="array" ref="Q320">EVAL($AH$6,B320)</f>
        <v>1.234542417914815</v>
      </c>
      <c r="R320" s="15" cm="1">
        <f t="array" ref="R320">EVAL($AH$7,B320)</f>
        <v>1.234542417914815</v>
      </c>
      <c r="T320" s="15" cm="1">
        <f t="array" ref="T320">EVAL($AH$9,B320)</f>
        <v>0.81273160365975905</v>
      </c>
      <c r="U320" s="15" cm="1">
        <f t="array" ref="U320">EVAL($AH$10,B320)</f>
        <v>0.81273160365975905</v>
      </c>
      <c r="V320" s="15" cm="1">
        <f t="array" ref="V320">EVAL($AH$11,B320)</f>
        <v>0.81273160365975905</v>
      </c>
      <c r="W320" s="15" cm="1">
        <f t="array" ref="W320">EVAL($AH$12,B320)</f>
        <v>40.284242238041401</v>
      </c>
      <c r="X320" s="15" cm="1">
        <f t="array" ref="X320">EVAL($AH$13,B320)</f>
        <v>0.37249541292979171</v>
      </c>
      <c r="Y320" s="15" cm="1">
        <f t="array" ref="Y320">EVAL($AH$14,B320)</f>
        <v>0.37249541292979171</v>
      </c>
    </row>
    <row r="321" spans="1:25" x14ac:dyDescent="0.25">
      <c r="A321" s="20">
        <v>32.800000000000203</v>
      </c>
      <c r="B321" s="41">
        <f t="shared" si="4"/>
        <v>103.04423903774585</v>
      </c>
      <c r="C321" s="15" cm="1">
        <f t="array" ref="C321">EVAL($AG$6,B321)</f>
        <v>353.85679161494568</v>
      </c>
      <c r="D321" s="15" cm="1">
        <f t="array" ref="D321">EVAL($AG$7,B321)</f>
        <v>3.9022925258076202</v>
      </c>
      <c r="F321" s="15" cm="1">
        <f t="array" ref="F321">EVAL($AG$9,B321)</f>
        <v>2.3537983776059366</v>
      </c>
      <c r="G321" s="15" cm="1">
        <f t="array" ref="G321">EVAL($AG$10,B321)</f>
        <v>2.3537983776059366</v>
      </c>
      <c r="H321" s="15" cm="1">
        <f t="array" ref="H321">EVAL($AG$11,B321)</f>
        <v>2.3537983776059366</v>
      </c>
      <c r="I321" s="15" cm="1">
        <f t="array" ref="I321">EVAL($AG$12,B321)</f>
        <v>2.2366839188870027</v>
      </c>
      <c r="J321" s="15" cm="1">
        <f t="array" ref="J321">EVAL($AG$13,B321)</f>
        <v>135.50402204069539</v>
      </c>
      <c r="K321" s="15" cm="1">
        <f t="array" ref="K321">EVAL($AG$14,B321)</f>
        <v>1.6266729192051321</v>
      </c>
      <c r="L321" s="15" cm="1">
        <f t="array" ref="L321">EVAL($AG$15,B321)</f>
        <v>75.182747104362022</v>
      </c>
      <c r="M321" s="15" cm="1">
        <f t="array" ref="M321">EVAL($AG$16,B321)</f>
        <v>0.96986272469831347</v>
      </c>
      <c r="N321" s="15" cm="1">
        <f t="array" ref="N321">EVAL($AG$17,B321)</f>
        <v>42.047684887128369</v>
      </c>
      <c r="O321" s="15" cm="1">
        <f t="array" ref="O321">EVAL($AG$18,B321)</f>
        <v>8.2756509778684553E-3</v>
      </c>
      <c r="P321" s="15" cm="1">
        <f t="array" ref="P321">EVAL($AG$19,B321)</f>
        <v>8.2756509778684553E-3</v>
      </c>
      <c r="Q321" s="15" cm="1">
        <f t="array" ref="Q321">EVAL($AH$6,B321)</f>
        <v>1.2361013762934256</v>
      </c>
      <c r="R321" s="15" cm="1">
        <f t="array" ref="R321">EVAL($AH$7,B321)</f>
        <v>1.2361013762934256</v>
      </c>
      <c r="T321" s="15" cm="1">
        <f t="array" ref="T321">EVAL($AH$9,B321)</f>
        <v>0.8137015047138253</v>
      </c>
      <c r="U321" s="15" cm="1">
        <f t="array" ref="U321">EVAL($AH$10,B321)</f>
        <v>0.8137015047138253</v>
      </c>
      <c r="V321" s="15" cm="1">
        <f t="array" ref="V321">EVAL($AH$11,B321)</f>
        <v>0.8137015047138253</v>
      </c>
      <c r="W321" s="15" cm="1">
        <f t="array" ref="W321">EVAL($AH$12,B321)</f>
        <v>40.466479806622239</v>
      </c>
      <c r="X321" s="15" cm="1">
        <f t="array" ref="X321">EVAL($AH$13,B321)</f>
        <v>0.3727917074438481</v>
      </c>
      <c r="Y321" s="15" cm="1">
        <f t="array" ref="Y321">EVAL($AH$14,B321)</f>
        <v>0.3727917074438481</v>
      </c>
    </row>
    <row r="322" spans="1:25" x14ac:dyDescent="0.25">
      <c r="A322" s="20">
        <v>32.900000000000198</v>
      </c>
      <c r="B322" s="41">
        <f t="shared" si="4"/>
        <v>103.35839830310482</v>
      </c>
      <c r="C322" s="15" cm="1">
        <f t="array" ref="C322">EVAL($AG$6,B322)</f>
        <v>354.60245335819536</v>
      </c>
      <c r="D322" s="15" cm="1">
        <f t="array" ref="D322">EVAL($AG$7,B322)</f>
        <v>3.9056367462939625</v>
      </c>
      <c r="F322" s="15" cm="1">
        <f t="array" ref="F322">EVAL($AG$9,B322)</f>
        <v>2.3610903080067942</v>
      </c>
      <c r="G322" s="15" cm="1">
        <f t="array" ref="G322">EVAL($AG$10,B322)</f>
        <v>2.3610903080067942</v>
      </c>
      <c r="H322" s="15" cm="1">
        <f t="array" ref="H322">EVAL($AG$11,B322)</f>
        <v>2.3610903080067942</v>
      </c>
      <c r="I322" s="15" cm="1">
        <f t="array" ref="I322">EVAL($AG$12,B322)</f>
        <v>2.2431227038910673</v>
      </c>
      <c r="J322" s="15" cm="1">
        <f t="array" ref="J322">EVAL($AG$13,B322)</f>
        <v>135.8136629371551</v>
      </c>
      <c r="K322" s="15" cm="1">
        <f t="array" ref="K322">EVAL($AG$14,B322)</f>
        <v>1.6309479896834114</v>
      </c>
      <c r="L322" s="15" cm="1">
        <f t="array" ref="L322">EVAL($AG$15,B322)</f>
        <v>75.322004155860967</v>
      </c>
      <c r="M322" s="15" cm="1">
        <f t="array" ref="M322">EVAL($AG$16,B322)</f>
        <v>0.97136902684831394</v>
      </c>
      <c r="N322" s="15" cm="1">
        <f t="array" ref="N322">EVAL($AG$17,B322)</f>
        <v>42.099992243981454</v>
      </c>
      <c r="O322" s="15" cm="1">
        <f t="array" ref="O322">EVAL($AG$18,B322)</f>
        <v>8.2617313776475725E-3</v>
      </c>
      <c r="P322" s="15" cm="1">
        <f t="array" ref="P322">EVAL($AG$19,B322)</f>
        <v>8.2617313776475725E-3</v>
      </c>
      <c r="Q322" s="15" cm="1">
        <f t="array" ref="Q322">EVAL($AH$6,B322)</f>
        <v>1.237657548619659</v>
      </c>
      <c r="R322" s="15" cm="1">
        <f t="array" ref="R322">EVAL($AH$7,B322)</f>
        <v>1.237657548619659</v>
      </c>
      <c r="T322" s="15" cm="1">
        <f t="array" ref="T322">EVAL($AH$9,B322)</f>
        <v>0.81466960543202649</v>
      </c>
      <c r="U322" s="15" cm="1">
        <f t="array" ref="U322">EVAL($AH$10,B322)</f>
        <v>0.81466960543202649</v>
      </c>
      <c r="V322" s="15" cm="1">
        <f t="array" ref="V322">EVAL($AH$11,B322)</f>
        <v>0.81466960543202649</v>
      </c>
      <c r="W322" s="15" cm="1">
        <f t="array" ref="W322">EVAL($AH$12,B322)</f>
        <v>40.648983258328933</v>
      </c>
      <c r="X322" s="15" cm="1">
        <f t="array" ref="X322">EVAL($AH$13,B322)</f>
        <v>0.37308733460117921</v>
      </c>
      <c r="Y322" s="15" cm="1">
        <f t="array" ref="Y322">EVAL($AH$14,B322)</f>
        <v>0.37308733460117921</v>
      </c>
    </row>
    <row r="323" spans="1:25" x14ac:dyDescent="0.25">
      <c r="A323" s="20">
        <v>33.000000000000199</v>
      </c>
      <c r="B323" s="41">
        <f t="shared" si="4"/>
        <v>103.6725575684638</v>
      </c>
      <c r="C323" s="15" cm="1">
        <f t="array" ref="C323">EVAL($AG$6,B323)</f>
        <v>355.34741622838004</v>
      </c>
      <c r="D323" s="15" cm="1">
        <f t="array" ref="D323">EVAL($AG$7,B323)</f>
        <v>3.9089736703083027</v>
      </c>
      <c r="F323" s="15" cm="1">
        <f t="array" ref="F323">EVAL($AG$9,B323)</f>
        <v>2.3683825952560782</v>
      </c>
      <c r="G323" s="15" cm="1">
        <f t="array" ref="G323">EVAL($AG$10,B323)</f>
        <v>2.3683825952560782</v>
      </c>
      <c r="H323" s="15" cm="1">
        <f t="array" ref="H323">EVAL($AG$11,B323)</f>
        <v>2.3683825952560782</v>
      </c>
      <c r="I323" s="15" cm="1">
        <f t="array" ref="I323">EVAL($AG$12,B323)</f>
        <v>2.2495603988935096</v>
      </c>
      <c r="J323" s="15" cm="1">
        <f t="array" ref="J323">EVAL($AG$13,B323)</f>
        <v>136.1230684450569</v>
      </c>
      <c r="K323" s="15" cm="1">
        <f t="array" ref="K323">EVAL($AG$14,B323)</f>
        <v>1.6352212699418545</v>
      </c>
      <c r="L323" s="15" cm="1">
        <f t="array" ref="L323">EVAL($AG$15,B323)</f>
        <v>75.46109534029101</v>
      </c>
      <c r="M323" s="15" cm="1">
        <f t="array" ref="M323">EVAL($AG$16,B323)</f>
        <v>0.97287308632077096</v>
      </c>
      <c r="N323" s="15" cm="1">
        <f t="array" ref="N323">EVAL($AG$17,B323)</f>
        <v>42.152205627313862</v>
      </c>
      <c r="O323" s="15" cm="1">
        <f t="array" ref="O323">EVAL($AG$18,B323)</f>
        <v>8.2478773283622166E-3</v>
      </c>
      <c r="P323" s="15" cm="1">
        <f t="array" ref="P323">EVAL($AG$19,B323)</f>
        <v>8.2478773283622166E-3</v>
      </c>
      <c r="Q323" s="15" cm="1">
        <f t="array" ref="Q323">EVAL($AH$6,B323)</f>
        <v>1.2392109483181475</v>
      </c>
      <c r="R323" s="15" cm="1">
        <f t="array" ref="R323">EVAL($AH$7,B323)</f>
        <v>1.2392109483181475</v>
      </c>
      <c r="T323" s="15" cm="1">
        <f t="array" ref="T323">EVAL($AH$9,B323)</f>
        <v>0.81563591461310969</v>
      </c>
      <c r="U323" s="15" cm="1">
        <f t="array" ref="U323">EVAL($AH$10,B323)</f>
        <v>0.81563591461310969</v>
      </c>
      <c r="V323" s="15" cm="1">
        <f t="array" ref="V323">EVAL($AH$11,B323)</f>
        <v>0.81563591461310969</v>
      </c>
      <c r="W323" s="15" cm="1">
        <f t="array" ref="W323">EVAL($AH$12,B323)</f>
        <v>40.831752171158222</v>
      </c>
      <c r="X323" s="15" cm="1">
        <f t="array" ref="X323">EVAL($AH$13,B323)</f>
        <v>0.37338229792650701</v>
      </c>
      <c r="Y323" s="15" cm="1">
        <f t="array" ref="Y323">EVAL($AH$14,B323)</f>
        <v>0.37338229792650701</v>
      </c>
    </row>
    <row r="324" spans="1:25" x14ac:dyDescent="0.25">
      <c r="A324" s="20">
        <v>33.1000000000002</v>
      </c>
      <c r="B324" s="41">
        <f t="shared" ref="B324:B387" si="5">A324*PI()</f>
        <v>103.98671683382278</v>
      </c>
      <c r="C324" s="15" cm="1">
        <f t="array" ref="C324">EVAL($AG$6,B324)</f>
        <v>356.09168299535071</v>
      </c>
      <c r="D324" s="15" cm="1">
        <f t="array" ref="D324">EVAL($AG$7,B324)</f>
        <v>3.9123033358085539</v>
      </c>
      <c r="F324" s="15" cm="1">
        <f t="array" ref="F324">EVAL($AG$9,B324)</f>
        <v>2.3756752382898081</v>
      </c>
      <c r="G324" s="15" cm="1">
        <f t="array" ref="G324">EVAL($AG$10,B324)</f>
        <v>2.3756752382898081</v>
      </c>
      <c r="H324" s="15" cm="1">
        <f t="array" ref="H324">EVAL($AG$11,B324)</f>
        <v>2.3756752382898081</v>
      </c>
      <c r="I324" s="15" cm="1">
        <f t="array" ref="I324">EVAL($AG$12,B324)</f>
        <v>2.2559970073810556</v>
      </c>
      <c r="J324" s="15" cm="1">
        <f t="array" ref="J324">EVAL($AG$13,B324)</f>
        <v>136.43223945583125</v>
      </c>
      <c r="K324" s="15" cm="1">
        <f t="array" ref="K324">EVAL($AG$14,B324)</f>
        <v>1.6394927661516507</v>
      </c>
      <c r="L324" s="15" cm="1">
        <f t="array" ref="L324">EVAL($AG$15,B324)</f>
        <v>75.600021356946385</v>
      </c>
      <c r="M324" s="15" cm="1">
        <f t="array" ref="M324">EVAL($AG$16,B324)</f>
        <v>0.97437491323558589</v>
      </c>
      <c r="N324" s="15" cm="1">
        <f t="array" ref="N324">EVAL($AG$17,B324)</f>
        <v>42.204325489958102</v>
      </c>
      <c r="O324" s="15" cm="1">
        <f t="array" ref="O324">EVAL($AG$18,B324)</f>
        <v>8.2340883240763878E-3</v>
      </c>
      <c r="P324" s="15" cm="1">
        <f t="array" ref="P324">EVAL($AG$19,B324)</f>
        <v>8.2340883240763878E-3</v>
      </c>
      <c r="Q324" s="15" cm="1">
        <f t="array" ref="Q324">EVAL($AH$6,B324)</f>
        <v>1.2407615887083854</v>
      </c>
      <c r="R324" s="15" cm="1">
        <f t="array" ref="R324">EVAL($AH$7,B324)</f>
        <v>1.2407615887083854</v>
      </c>
      <c r="T324" s="15" cm="1">
        <f t="array" ref="T324">EVAL($AH$9,B324)</f>
        <v>0.81660044098631102</v>
      </c>
      <c r="U324" s="15" cm="1">
        <f t="array" ref="U324">EVAL($AH$10,B324)</f>
        <v>0.81660044098631102</v>
      </c>
      <c r="V324" s="15" cm="1">
        <f t="array" ref="V324">EVAL($AH$11,B324)</f>
        <v>0.81660044098631102</v>
      </c>
      <c r="W324" s="15" cm="1">
        <f t="array" ref="W324">EVAL($AH$12,B324)</f>
        <v>41.014786125054066</v>
      </c>
      <c r="X324" s="15" cm="1">
        <f t="array" ref="X324">EVAL($AH$13,B324)</f>
        <v>0.37367660091532373</v>
      </c>
      <c r="Y324" s="15" cm="1">
        <f t="array" ref="Y324">EVAL($AH$14,B324)</f>
        <v>0.37367660091532373</v>
      </c>
    </row>
    <row r="325" spans="1:25" x14ac:dyDescent="0.25">
      <c r="A325" s="20">
        <v>33.200000000000202</v>
      </c>
      <c r="B325" s="41">
        <f t="shared" si="5"/>
        <v>104.30087609918176</v>
      </c>
      <c r="C325" s="15" cm="1">
        <f t="array" ref="C325">EVAL($AG$6,B325)</f>
        <v>356.83525640964962</v>
      </c>
      <c r="D325" s="15" cm="1">
        <f t="array" ref="D325">EVAL($AG$7,B325)</f>
        <v>3.9156257804412076</v>
      </c>
      <c r="F325" s="15" cm="1">
        <f t="array" ref="F325">EVAL($AG$9,B325)</f>
        <v>2.3829682360503806</v>
      </c>
      <c r="G325" s="15" cm="1">
        <f t="array" ref="G325">EVAL($AG$10,B325)</f>
        <v>2.3829682360503806</v>
      </c>
      <c r="H325" s="15" cm="1">
        <f t="array" ref="H325">EVAL($AG$11,B325)</f>
        <v>2.3829682360503806</v>
      </c>
      <c r="I325" s="15" cm="1">
        <f t="array" ref="I325">EVAL($AG$12,B325)</f>
        <v>2.2624325328187824</v>
      </c>
      <c r="J325" s="15" cm="1">
        <f t="array" ref="J325">EVAL($AG$13,B325)</f>
        <v>136.74117685485112</v>
      </c>
      <c r="K325" s="15" cm="1">
        <f t="array" ref="K325">EVAL($AG$14,B325)</f>
        <v>1.6437624844441439</v>
      </c>
      <c r="L325" s="15" cm="1">
        <f t="array" ref="L325">EVAL($AG$15,B325)</f>
        <v>75.73878290007066</v>
      </c>
      <c r="M325" s="15" cm="1">
        <f t="array" ref="M325">EVAL($AG$16,B325)</f>
        <v>0.97587451763658084</v>
      </c>
      <c r="N325" s="15" cm="1">
        <f t="array" ref="N325">EVAL($AG$17,B325)</f>
        <v>42.256352281204286</v>
      </c>
      <c r="O325" s="15" cm="1">
        <f t="array" ref="O325">EVAL($AG$18,B325)</f>
        <v>8.2203638642721587E-3</v>
      </c>
      <c r="P325" s="15" cm="1">
        <f t="array" ref="P325">EVAL($AG$19,B325)</f>
        <v>8.2203638642721587E-3</v>
      </c>
      <c r="Q325" s="15" cm="1">
        <f t="array" ref="Q325">EVAL($AH$6,B325)</f>
        <v>1.2423094830058707</v>
      </c>
      <c r="R325" s="15" cm="1">
        <f t="array" ref="R325">EVAL($AH$7,B325)</f>
        <v>1.2423094830058707</v>
      </c>
      <c r="T325" s="15" cm="1">
        <f t="array" ref="T325">EVAL($AH$9,B325)</f>
        <v>0.81756319321211413</v>
      </c>
      <c r="U325" s="15" cm="1">
        <f t="array" ref="U325">EVAL($AH$10,B325)</f>
        <v>0.81756319321211413</v>
      </c>
      <c r="V325" s="15" cm="1">
        <f t="array" ref="V325">EVAL($AH$11,B325)</f>
        <v>0.81756319321211413</v>
      </c>
      <c r="W325" s="15" cm="1">
        <f t="array" ref="W325">EVAL($AH$12,B325)</f>
        <v>41.198084701893286</v>
      </c>
      <c r="X325" s="15" cm="1">
        <f t="array" ref="X325">EVAL($AH$13,B325)</f>
        <v>0.37397024703422316</v>
      </c>
      <c r="Y325" s="15" cm="1">
        <f t="array" ref="Y325">EVAL($AH$14,B325)</f>
        <v>0.37397024703422316</v>
      </c>
    </row>
    <row r="326" spans="1:25" x14ac:dyDescent="0.25">
      <c r="A326" s="20">
        <v>33.300000000000203</v>
      </c>
      <c r="B326" s="41">
        <f t="shared" si="5"/>
        <v>104.61503536454074</v>
      </c>
      <c r="C326" s="15" cm="1">
        <f t="array" ref="C326">EVAL($AG$6,B326)</f>
        <v>357.57813920270286</v>
      </c>
      <c r="D326" s="15" cm="1">
        <f t="array" ref="D326">EVAL($AG$7,B326)</f>
        <v>3.918941041544822</v>
      </c>
      <c r="F326" s="15" cm="1">
        <f t="array" ref="F326">EVAL($AG$9,B326)</f>
        <v>2.3902615874865178</v>
      </c>
      <c r="G326" s="15" cm="1">
        <f t="array" ref="G326">EVAL($AG$10,B326)</f>
        <v>2.3902615874865178</v>
      </c>
      <c r="H326" s="15" cm="1">
        <f t="array" ref="H326">EVAL($AG$11,B326)</f>
        <v>2.3902615874865178</v>
      </c>
      <c r="I326" s="15" cm="1">
        <f t="array" ref="I326">EVAL($AG$12,B326)</f>
        <v>2.2688669786503191</v>
      </c>
      <c r="J326" s="15" cm="1">
        <f t="array" ref="J326">EVAL($AG$13,B326)</f>
        <v>137.0498815214909</v>
      </c>
      <c r="K326" s="15" cm="1">
        <f t="array" ref="K326">EVAL($AG$14,B326)</f>
        <v>1.6480304309112013</v>
      </c>
      <c r="L326" s="15" cm="1">
        <f t="array" ref="L326">EVAL($AG$15,B326)</f>
        <v>75.877380658908322</v>
      </c>
      <c r="M326" s="15" cm="1">
        <f t="array" ref="M326">EVAL($AG$16,B326)</f>
        <v>0.97737190949229846</v>
      </c>
      <c r="N326" s="15" cm="1">
        <f t="array" ref="N326">EVAL($AG$17,B326)</f>
        <v>42.308286446838572</v>
      </c>
      <c r="O326" s="15" cm="1">
        <f t="array" ref="O326">EVAL($AG$18,B326)</f>
        <v>8.206703453775565E-3</v>
      </c>
      <c r="P326" s="15" cm="1">
        <f t="array" ref="P326">EVAL($AG$19,B326)</f>
        <v>8.206703453775565E-3</v>
      </c>
      <c r="Q326" s="15" cm="1">
        <f t="array" ref="Q326">EVAL($AH$6,B326)</f>
        <v>1.2438546443232272</v>
      </c>
      <c r="R326" s="15" cm="1">
        <f t="array" ref="R326">EVAL($AH$7,B326)</f>
        <v>1.2438546443232272</v>
      </c>
      <c r="T326" s="15" cm="1">
        <f t="array" ref="T326">EVAL($AH$9,B326)</f>
        <v>0.81852417988299697</v>
      </c>
      <c r="U326" s="15" cm="1">
        <f t="array" ref="U326">EVAL($AH$10,B326)</f>
        <v>0.81852417988299697</v>
      </c>
      <c r="V326" s="15" cm="1">
        <f t="array" ref="V326">EVAL($AH$11,B326)</f>
        <v>0.81852417988299697</v>
      </c>
      <c r="W326" s="15" cm="1">
        <f t="array" ref="W326">EVAL($AH$12,B326)</f>
        <v>41.381647485470552</v>
      </c>
      <c r="X326" s="15" cm="1">
        <f t="array" ref="X326">EVAL($AH$13,B326)</f>
        <v>0.37426323972122494</v>
      </c>
      <c r="Y326" s="15" cm="1">
        <f t="array" ref="Y326">EVAL($AH$14,B326)</f>
        <v>0.37426323972122494</v>
      </c>
    </row>
    <row r="327" spans="1:25" x14ac:dyDescent="0.25">
      <c r="A327" s="20">
        <v>33.400000000000198</v>
      </c>
      <c r="B327" s="41">
        <f t="shared" si="5"/>
        <v>104.92919462989971</v>
      </c>
      <c r="C327" s="15" cm="1">
        <f t="array" ref="C327">EVAL($AG$6,B327)</f>
        <v>358.32033408700897</v>
      </c>
      <c r="D327" s="15" cm="1">
        <f t="array" ref="D327">EVAL($AG$7,B327)</f>
        <v>3.9222491561534447</v>
      </c>
      <c r="F327" s="15" cm="1">
        <f t="array" ref="F327">EVAL($AG$9,B327)</f>
        <v>2.3975552915532017</v>
      </c>
      <c r="G327" s="15" cm="1">
        <f t="array" ref="G327">EVAL($AG$10,B327)</f>
        <v>2.3975552915532017</v>
      </c>
      <c r="H327" s="15" cm="1">
        <f t="array" ref="H327">EVAL($AG$11,B327)</f>
        <v>2.3975552915532017</v>
      </c>
      <c r="I327" s="15" cm="1">
        <f t="array" ref="I327">EVAL($AG$12,B327)</f>
        <v>2.2753003482980283</v>
      </c>
      <c r="J327" s="15" cm="1">
        <f t="array" ref="J327">EVAL($AG$13,B327)</f>
        <v>137.35835432918483</v>
      </c>
      <c r="K327" s="15" cm="1">
        <f t="array" ref="K327">EVAL($AG$14,B327)</f>
        <v>1.6522966116055942</v>
      </c>
      <c r="L327" s="15" cm="1">
        <f t="array" ref="L327">EVAL($AG$15,B327)</f>
        <v>76.015815317755454</v>
      </c>
      <c r="M327" s="15" cm="1">
        <f t="array" ref="M327">EVAL($AG$16,B327)</f>
        <v>0.97886709869679112</v>
      </c>
      <c r="N327" s="15" cm="1">
        <f t="array" ref="N327">EVAL($AG$17,B327)</f>
        <v>42.360128429180705</v>
      </c>
      <c r="O327" s="15" cm="1">
        <f t="array" ref="O327">EVAL($AG$18,B327)</f>
        <v>8.1931066026837019E-3</v>
      </c>
      <c r="P327" s="15" cm="1">
        <f t="array" ref="P327">EVAL($AG$19,B327)</f>
        <v>8.1931066026837019E-3</v>
      </c>
      <c r="Q327" s="15" cm="1">
        <f t="array" ref="Q327">EVAL($AH$6,B327)</f>
        <v>1.2453970856713095</v>
      </c>
      <c r="R327" s="15" cm="1">
        <f t="array" ref="R327">EVAL($AH$7,B327)</f>
        <v>1.2453970856713095</v>
      </c>
      <c r="T327" s="15" cm="1">
        <f t="array" ref="T327">EVAL($AH$9,B327)</f>
        <v>0.81948340952416698</v>
      </c>
      <c r="U327" s="15" cm="1">
        <f t="array" ref="U327">EVAL($AH$10,B327)</f>
        <v>0.81948340952416698</v>
      </c>
      <c r="V327" s="15" cm="1">
        <f t="array" ref="V327">EVAL($AH$11,B327)</f>
        <v>0.81948340952416698</v>
      </c>
      <c r="W327" s="15" cm="1">
        <f t="array" ref="W327">EVAL($AH$12,B327)</f>
        <v>41.565474061483997</v>
      </c>
      <c r="X327" s="15" cm="1">
        <f t="array" ref="X327">EVAL($AH$13,B327)</f>
        <v>0.37455558238609526</v>
      </c>
      <c r="Y327" s="15" cm="1">
        <f t="array" ref="Y327">EVAL($AH$14,B327)</f>
        <v>0.37455558238609526</v>
      </c>
    </row>
    <row r="328" spans="1:25" x14ac:dyDescent="0.25">
      <c r="A328" s="20">
        <v>33.500000000000199</v>
      </c>
      <c r="B328" s="41">
        <f t="shared" si="5"/>
        <v>105.24335389525869</v>
      </c>
      <c r="C328" s="15" cm="1">
        <f t="array" ref="C328">EVAL($AG$6,B328)</f>
        <v>359.06184375632756</v>
      </c>
      <c r="D328" s="15" cm="1">
        <f t="array" ref="D328">EVAL($AG$7,B328)</f>
        <v>3.9255501610000119</v>
      </c>
      <c r="F328" s="15" cm="1">
        <f t="array" ref="F328">EVAL($AG$9,B328)</f>
        <v>2.4048493472116208</v>
      </c>
      <c r="G328" s="15" cm="1">
        <f t="array" ref="G328">EVAL($AG$10,B328)</f>
        <v>2.4048493472116208</v>
      </c>
      <c r="H328" s="15" cm="1">
        <f t="array" ref="H328">EVAL($AG$11,B328)</f>
        <v>2.4048493472116208</v>
      </c>
      <c r="I328" s="15" cm="1">
        <f t="array" ref="I328">EVAL($AG$12,B328)</f>
        <v>2.2817326451632178</v>
      </c>
      <c r="J328" s="15" cm="1">
        <f t="array" ref="J328">EVAL($AG$13,B328)</f>
        <v>137.66659614548485</v>
      </c>
      <c r="K328" s="15" cm="1">
        <f t="array" ref="K328">EVAL($AG$14,B328)</f>
        <v>1.656561032541356</v>
      </c>
      <c r="L328" s="15" cm="1">
        <f t="array" ref="L328">EVAL($AG$15,B328)</f>
        <v>76.154087556010111</v>
      </c>
      <c r="M328" s="15" cm="1">
        <f t="array" ref="M328">EVAL($AG$16,B328)</f>
        <v>0.98036009507039679</v>
      </c>
      <c r="N328" s="15" cm="1">
        <f t="array" ref="N328">EVAL($AG$17,B328)</f>
        <v>42.411878667121435</v>
      </c>
      <c r="O328" s="15" cm="1">
        <f t="array" ref="O328">EVAL($AG$18,B328)</f>
        <v>8.1795728262930353E-3</v>
      </c>
      <c r="P328" s="15" cm="1">
        <f t="array" ref="P328">EVAL($AG$19,B328)</f>
        <v>8.1795728262930353E-3</v>
      </c>
      <c r="Q328" s="15" cm="1">
        <f t="array" ref="Q328">EVAL($AH$6,B328)</f>
        <v>1.2469368199602964</v>
      </c>
      <c r="R328" s="15" cm="1">
        <f t="array" ref="R328">EVAL($AH$7,B328)</f>
        <v>1.2469368199602964</v>
      </c>
      <c r="T328" s="15" cm="1">
        <f t="array" ref="T328">EVAL($AH$9,B328)</f>
        <v>0.8204408905942886</v>
      </c>
      <c r="U328" s="15" cm="1">
        <f t="array" ref="U328">EVAL($AH$10,B328)</f>
        <v>0.8204408905942886</v>
      </c>
      <c r="V328" s="15" cm="1">
        <f t="array" ref="V328">EVAL($AH$11,B328)</f>
        <v>0.8204408905942886</v>
      </c>
      <c r="W328" s="15" cm="1">
        <f t="array" ref="W328">EVAL($AH$12,B328)</f>
        <v>41.749564017520761</v>
      </c>
      <c r="X328" s="15" cm="1">
        <f t="array" ref="X328">EVAL($AH$13,B328)</f>
        <v>0.37484727841066284</v>
      </c>
      <c r="Y328" s="15" cm="1">
        <f t="array" ref="Y328">EVAL($AH$14,B328)</f>
        <v>0.37484727841066284</v>
      </c>
    </row>
    <row r="329" spans="1:25" x14ac:dyDescent="0.25">
      <c r="A329" s="20">
        <v>33.6000000000002</v>
      </c>
      <c r="B329" s="41">
        <f t="shared" si="5"/>
        <v>105.55751316061767</v>
      </c>
      <c r="C329" s="15" cm="1">
        <f t="array" ref="C329">EVAL($AG$6,B329)</f>
        <v>359.80267088586413</v>
      </c>
      <c r="D329" s="15" cm="1">
        <f t="array" ref="D329">EVAL($AG$7,B329)</f>
        <v>3.9288440925196788</v>
      </c>
      <c r="F329" s="15" cm="1">
        <f t="array" ref="F329">EVAL($AG$9,B329)</f>
        <v>2.4121437534291168</v>
      </c>
      <c r="G329" s="15" cm="1">
        <f t="array" ref="G329">EVAL($AG$10,B329)</f>
        <v>2.4121437534291168</v>
      </c>
      <c r="H329" s="15" cm="1">
        <f t="array" ref="H329">EVAL($AG$11,B329)</f>
        <v>2.4121437534291168</v>
      </c>
      <c r="I329" s="15" cm="1">
        <f t="array" ref="I329">EVAL($AG$12,B329)</f>
        <v>2.2881638726263236</v>
      </c>
      <c r="J329" s="15" cm="1">
        <f t="array" ref="J329">EVAL($AG$13,B329)</f>
        <v>137.97460783211793</v>
      </c>
      <c r="K329" s="15" cm="1">
        <f t="array" ref="K329">EVAL($AG$14,B329)</f>
        <v>1.6608236996941514</v>
      </c>
      <c r="L329" s="15" cm="1">
        <f t="array" ref="L329">EVAL($AG$15,B329)</f>
        <v>76.29219804822182</v>
      </c>
      <c r="M329" s="15" cm="1">
        <f t="array" ref="M329">EVAL($AG$16,B329)</f>
        <v>0.98185090836050848</v>
      </c>
      <c r="N329" s="15" cm="1">
        <f t="array" ref="N329">EVAL($AG$17,B329)</f>
        <v>42.463537596159149</v>
      </c>
      <c r="O329" s="15" cm="1">
        <f t="array" ref="O329">EVAL($AG$18,B329)</f>
        <v>8.1661016450289038E-3</v>
      </c>
      <c r="P329" s="15" cm="1">
        <f t="array" ref="P329">EVAL($AG$19,B329)</f>
        <v>8.1661016450289038E-3</v>
      </c>
      <c r="Q329" s="15" cm="1">
        <f t="array" ref="Q329">EVAL($AH$6,B329)</f>
        <v>1.2484738600007688</v>
      </c>
      <c r="R329" s="15" cm="1">
        <f t="array" ref="R329">EVAL($AH$7,B329)</f>
        <v>1.2484738600007688</v>
      </c>
      <c r="T329" s="15" cm="1">
        <f t="array" ref="T329">EVAL($AH$9,B329)</f>
        <v>0.82139663148619957</v>
      </c>
      <c r="U329" s="15" cm="1">
        <f t="array" ref="U329">EVAL($AH$10,B329)</f>
        <v>0.82139663148619957</v>
      </c>
      <c r="V329" s="15" cm="1">
        <f t="array" ref="V329">EVAL($AH$11,B329)</f>
        <v>0.82139663148619957</v>
      </c>
      <c r="W329" s="15" cm="1">
        <f t="array" ref="W329">EVAL($AH$12,B329)</f>
        <v>41.933916943042789</v>
      </c>
      <c r="X329" s="15" cm="1">
        <f t="array" ref="X329">EVAL($AH$13,B329)</f>
        <v>0.37513833114913059</v>
      </c>
      <c r="Y329" s="15" cm="1">
        <f t="array" ref="Y329">EVAL($AH$14,B329)</f>
        <v>0.37513833114913059</v>
      </c>
    </row>
    <row r="330" spans="1:25" x14ac:dyDescent="0.25">
      <c r="A330" s="20">
        <v>33.700000000000202</v>
      </c>
      <c r="B330" s="41">
        <f t="shared" si="5"/>
        <v>105.87167242597666</v>
      </c>
      <c r="C330" s="15" cm="1">
        <f t="array" ref="C330">EVAL($AG$6,B330)</f>
        <v>360.54281813245188</v>
      </c>
      <c r="D330" s="15" cm="1">
        <f t="array" ref="D330">EVAL($AG$7,B330)</f>
        <v>3.9321309868531169</v>
      </c>
      <c r="F330" s="15" cm="1">
        <f t="array" ref="F330">EVAL($AG$9,B330)</f>
        <v>2.4194385091791317</v>
      </c>
      <c r="G330" s="15" cm="1">
        <f t="array" ref="G330">EVAL($AG$10,B330)</f>
        <v>2.4194385091791317</v>
      </c>
      <c r="H330" s="15" cm="1">
        <f t="array" ref="H330">EVAL($AG$11,B330)</f>
        <v>2.4194385091791317</v>
      </c>
      <c r="I330" s="15" cm="1">
        <f t="array" ref="I330">EVAL($AG$12,B330)</f>
        <v>2.2945940340470967</v>
      </c>
      <c r="J330" s="15" cm="1">
        <f t="array" ref="J330">EVAL($AG$13,B330)</f>
        <v>138.28239024504185</v>
      </c>
      <c r="K330" s="15" cm="1">
        <f t="array" ref="K330">EVAL($AG$14,B330)</f>
        <v>1.6650846190016322</v>
      </c>
      <c r="L330" s="15" cm="1">
        <f t="array" ref="L330">EVAL($AG$15,B330)</f>
        <v>76.430147464140674</v>
      </c>
      <c r="M330" s="15" cm="1">
        <f t="array" ref="M330">EVAL($AG$16,B330)</f>
        <v>0.98333954824233072</v>
      </c>
      <c r="N330" s="15" cm="1">
        <f t="array" ref="N330">EVAL($AG$17,B330)</f>
        <v>42.515105648436148</v>
      </c>
      <c r="O330" s="15" cm="1">
        <f t="array" ref="O330">EVAL($AG$18,B330)</f>
        <v>8.1526925843761703E-3</v>
      </c>
      <c r="P330" s="15" cm="1">
        <f t="array" ref="P330">EVAL($AG$19,B330)</f>
        <v>8.1526925843761703E-3</v>
      </c>
      <c r="Q330" s="15" cm="1">
        <f t="array" ref="Q330">EVAL($AH$6,B330)</f>
        <v>1.2500082185047692</v>
      </c>
      <c r="R330" s="15" cm="1">
        <f t="array" ref="R330">EVAL($AH$7,B330)</f>
        <v>1.2500082185047692</v>
      </c>
      <c r="T330" s="15" cm="1">
        <f t="array" ref="T330">EVAL($AH$9,B330)</f>
        <v>0.82235064052761631</v>
      </c>
      <c r="U330" s="15" cm="1">
        <f t="array" ref="U330">EVAL($AH$10,B330)</f>
        <v>0.82235064052761631</v>
      </c>
      <c r="V330" s="15" cm="1">
        <f t="array" ref="V330">EVAL($AH$11,B330)</f>
        <v>0.82235064052761631</v>
      </c>
      <c r="W330" s="15" cm="1">
        <f t="array" ref="W330">EVAL($AH$12,B330)</f>
        <v>42.118532429372792</v>
      </c>
      <c r="X330" s="15" cm="1">
        <f t="array" ref="X330">EVAL($AH$13,B330)</f>
        <v>0.3754287439283826</v>
      </c>
      <c r="Y330" s="15" cm="1">
        <f t="array" ref="Y330">EVAL($AH$14,B330)</f>
        <v>0.3754287439283826</v>
      </c>
    </row>
    <row r="331" spans="1:25" x14ac:dyDescent="0.25">
      <c r="A331" s="20">
        <v>33.800000000000203</v>
      </c>
      <c r="B331" s="41">
        <f t="shared" si="5"/>
        <v>106.18583169133565</v>
      </c>
      <c r="C331" s="15" cm="1">
        <f t="array" ref="C331">EVAL($AG$6,B331)</f>
        <v>361.28228813473322</v>
      </c>
      <c r="D331" s="15" cm="1">
        <f t="array" ref="D331">EVAL($AG$7,B331)</f>
        <v>3.9354108798497602</v>
      </c>
      <c r="F331" s="15" cm="1">
        <f t="array" ref="F331">EVAL($AG$9,B331)</f>
        <v>2.4267336134411468</v>
      </c>
      <c r="G331" s="15" cm="1">
        <f t="array" ref="G331">EVAL($AG$10,B331)</f>
        <v>2.4267336134411468</v>
      </c>
      <c r="H331" s="15" cm="1">
        <f t="array" ref="H331">EVAL($AG$11,B331)</f>
        <v>2.4267336134411468</v>
      </c>
      <c r="I331" s="15" cm="1">
        <f t="array" ref="I331">EVAL($AG$12,B331)</f>
        <v>2.3010231327648003</v>
      </c>
      <c r="J331" s="15" cm="1">
        <f t="array" ref="J331">EVAL($AG$13,B331)</f>
        <v>138.58994423450144</v>
      </c>
      <c r="K331" s="15" cm="1">
        <f t="array" ref="K331">EVAL($AG$14,B331)</f>
        <v>1.669343796363792</v>
      </c>
      <c r="L331" s="15" cm="1">
        <f t="array" ref="L331">EVAL($AG$15,B331)</f>
        <v>76.567936468765396</v>
      </c>
      <c r="M331" s="15" cm="1">
        <f t="array" ref="M331">EVAL($AG$16,B331)</f>
        <v>0.98482602431962685</v>
      </c>
      <c r="N331" s="15" cm="1">
        <f t="array" ref="N331">EVAL($AG$17,B331)</f>
        <v>42.566583252774393</v>
      </c>
      <c r="O331" s="15" cm="1">
        <f t="array" ref="O331">EVAL($AG$18,B331)</f>
        <v>8.1393451748110399E-3</v>
      </c>
      <c r="P331" s="15" cm="1">
        <f t="array" ref="P331">EVAL($AG$19,B331)</f>
        <v>8.1393451748110399E-3</v>
      </c>
      <c r="Q331" s="15" cm="1">
        <f t="array" ref="Q331">EVAL($AH$6,B331)</f>
        <v>1.251539908086853</v>
      </c>
      <c r="R331" s="15" cm="1">
        <f t="array" ref="R331">EVAL($AH$7,B331)</f>
        <v>1.251539908086853</v>
      </c>
      <c r="T331" s="15" cm="1">
        <f t="array" ref="T331">EVAL($AH$9,B331)</f>
        <v>0.82330292598183241</v>
      </c>
      <c r="U331" s="15" cm="1">
        <f t="array" ref="U331">EVAL($AH$10,B331)</f>
        <v>0.82330292598183241</v>
      </c>
      <c r="V331" s="15" cm="1">
        <f t="array" ref="V331">EVAL($AH$11,B331)</f>
        <v>0.82330292598183241</v>
      </c>
      <c r="W331" s="15" cm="1">
        <f t="array" ref="W331">EVAL($AH$12,B331)</f>
        <v>42.303410069680297</v>
      </c>
      <c r="X331" s="15" cm="1">
        <f t="array" ref="X331">EVAL($AH$13,B331)</f>
        <v>0.37571852004828726</v>
      </c>
      <c r="Y331" s="15" cm="1">
        <f t="array" ref="Y331">EVAL($AH$14,B331)</f>
        <v>0.37571852004828726</v>
      </c>
    </row>
    <row r="332" spans="1:25" x14ac:dyDescent="0.25">
      <c r="A332" s="20">
        <v>33.900000000000198</v>
      </c>
      <c r="B332" s="41">
        <f t="shared" si="5"/>
        <v>106.4999909566946</v>
      </c>
      <c r="C332" s="15" cm="1">
        <f t="array" ref="C332">EVAL($AG$6,B332)</f>
        <v>362.02108351333675</v>
      </c>
      <c r="D332" s="15" cm="1">
        <f t="array" ref="D332">EVAL($AG$7,B332)</f>
        <v>3.9386838070709995</v>
      </c>
      <c r="F332" s="15" cm="1">
        <f t="array" ref="F332">EVAL($AG$9,B332)</f>
        <v>2.4340290652006336</v>
      </c>
      <c r="G332" s="15" cm="1">
        <f t="array" ref="G332">EVAL($AG$10,B332)</f>
        <v>2.4340290652006336</v>
      </c>
      <c r="H332" s="15" cm="1">
        <f t="array" ref="H332">EVAL($AG$11,B332)</f>
        <v>2.4340290652006336</v>
      </c>
      <c r="I332" s="15" cm="1">
        <f t="array" ref="I332">EVAL($AG$12,B332)</f>
        <v>2.307451172098391</v>
      </c>
      <c r="J332" s="15" cm="1">
        <f t="array" ref="J332">EVAL($AG$13,B332)</f>
        <v>138.89727064508298</v>
      </c>
      <c r="K332" s="15" cm="1">
        <f t="array" ref="K332">EVAL($AG$14,B332)</f>
        <v>1.6736012376433163</v>
      </c>
      <c r="L332" s="15" cm="1">
        <f t="array" ref="L332">EVAL($AG$15,B332)</f>
        <v>76.705565722391029</v>
      </c>
      <c r="M332" s="15" cm="1">
        <f t="array" ref="M332">EVAL($AG$16,B332)</f>
        <v>0.9863103461254551</v>
      </c>
      <c r="N332" s="15" cm="1">
        <f t="array" ref="N332">EVAL($AG$17,B332)</f>
        <v>42.617970834710718</v>
      </c>
      <c r="O332" s="15" cm="1">
        <f t="array" ref="O332">EVAL($AG$18,B332)</f>
        <v>8.1260589517339575E-3</v>
      </c>
      <c r="P332" s="15" cm="1">
        <f t="array" ref="P332">EVAL($AG$19,B332)</f>
        <v>8.1260589517339575E-3</v>
      </c>
      <c r="Q332" s="15" cm="1">
        <f t="array" ref="Q332">EVAL($AH$6,B332)</f>
        <v>1.2530689412651188</v>
      </c>
      <c r="R332" s="15" cm="1">
        <f t="array" ref="R332">EVAL($AH$7,B332)</f>
        <v>1.2530689412651188</v>
      </c>
      <c r="T332" s="15" cm="1">
        <f t="array" ref="T332">EVAL($AH$9,B332)</f>
        <v>0.82425349604840448</v>
      </c>
      <c r="U332" s="15" cm="1">
        <f t="array" ref="U332">EVAL($AH$10,B332)</f>
        <v>0.82425349604840448</v>
      </c>
      <c r="V332" s="15" cm="1">
        <f t="array" ref="V332">EVAL($AH$11,B332)</f>
        <v>0.82425349604840448</v>
      </c>
      <c r="W332" s="15" cm="1">
        <f t="array" ref="W332">EVAL($AH$12,B332)</f>
        <v>42.488549458967739</v>
      </c>
      <c r="X332" s="15" cm="1">
        <f t="array" ref="X332">EVAL($AH$13,B332)</f>
        <v>0.37600766278199532</v>
      </c>
      <c r="Y332" s="15" cm="1">
        <f t="array" ref="Y332">EVAL($AH$14,B332)</f>
        <v>0.37600766278199532</v>
      </c>
    </row>
    <row r="333" spans="1:25" x14ac:dyDescent="0.25">
      <c r="A333" s="20">
        <v>34.000000000000199</v>
      </c>
      <c r="B333" s="41">
        <f t="shared" si="5"/>
        <v>106.81415022205358</v>
      </c>
      <c r="C333" s="15" cm="1">
        <f t="array" ref="C333">EVAL($AG$6,B333)</f>
        <v>362.7592068710531</v>
      </c>
      <c r="D333" s="15" cm="1">
        <f t="array" ref="D333">EVAL($AG$7,B333)</f>
        <v>3.9419498037933454</v>
      </c>
      <c r="F333" s="15" cm="1">
        <f t="array" ref="F333">EVAL($AG$9,B333)</f>
        <v>2.4413248634490037</v>
      </c>
      <c r="G333" s="15" cm="1">
        <f t="array" ref="G333">EVAL($AG$10,B333)</f>
        <v>2.4413248634490037</v>
      </c>
      <c r="H333" s="15" cm="1">
        <f t="array" ref="H333">EVAL($AG$11,B333)</f>
        <v>2.4413248634490037</v>
      </c>
      <c r="I333" s="15" cm="1">
        <f t="array" ref="I333">EVAL($AG$12,B333)</f>
        <v>2.3138781553466954</v>
      </c>
      <c r="J333" s="15" cm="1">
        <f t="array" ref="J333">EVAL($AG$13,B333)</f>
        <v>139.20437031576859</v>
      </c>
      <c r="K333" s="15" cm="1">
        <f t="array" ref="K333">EVAL($AG$14,B333)</f>
        <v>1.6778569486659218</v>
      </c>
      <c r="L333" s="15" cm="1">
        <f t="array" ref="L333">EVAL($AG$15,B333)</f>
        <v>76.843035880656004</v>
      </c>
      <c r="M333" s="15" cm="1">
        <f t="array" ref="M333">EVAL($AG$16,B333)</f>
        <v>0.98779252312289711</v>
      </c>
      <c r="N333" s="15" cm="1">
        <f t="array" ref="N333">EVAL($AG$17,B333)</f>
        <v>42.669268816531599</v>
      </c>
      <c r="O333" s="15" cm="1">
        <f t="array" ref="O333">EVAL($AG$18,B333)</f>
        <v>8.1128334554036504E-3</v>
      </c>
      <c r="P333" s="15" cm="1">
        <f t="array" ref="P333">EVAL($AG$19,B333)</f>
        <v>8.1128334554036504E-3</v>
      </c>
      <c r="Q333" s="15" cm="1">
        <f t="array" ref="Q333">EVAL($AH$6,B333)</f>
        <v>1.2545953304622304</v>
      </c>
      <c r="R333" s="15" cm="1">
        <f t="array" ref="R333">EVAL($AH$7,B333)</f>
        <v>1.2545953304622304</v>
      </c>
      <c r="T333" s="15" cm="1">
        <f t="array" ref="T333">EVAL($AH$9,B333)</f>
        <v>0.82520235886383042</v>
      </c>
      <c r="U333" s="15" cm="1">
        <f t="array" ref="U333">EVAL($AH$10,B333)</f>
        <v>0.82520235886383042</v>
      </c>
      <c r="V333" s="15" cm="1">
        <f t="array" ref="V333">EVAL($AH$11,B333)</f>
        <v>0.82520235886383042</v>
      </c>
      <c r="W333" s="15" cm="1">
        <f t="array" ref="W333">EVAL($AH$12,B333)</f>
        <v>42.673950194056985</v>
      </c>
      <c r="X333" s="15" cm="1">
        <f t="array" ref="X333">EVAL($AH$13,B333)</f>
        <v>0.37629617537623455</v>
      </c>
      <c r="Y333" s="15" cm="1">
        <f t="array" ref="Y333">EVAL($AH$14,B333)</f>
        <v>0.37629617537623455</v>
      </c>
    </row>
    <row r="334" spans="1:25" x14ac:dyDescent="0.25">
      <c r="A334" s="20">
        <v>34.1000000000002</v>
      </c>
      <c r="B334" s="41">
        <f t="shared" si="5"/>
        <v>107.12830948741258</v>
      </c>
      <c r="C334" s="15" cm="1">
        <f t="array" ref="C334">EVAL($AG$6,B334)</f>
        <v>363.49666079300897</v>
      </c>
      <c r="D334" s="15" cm="1">
        <f t="array" ref="D334">EVAL($AG$7,B334)</f>
        <v>3.9452089050115382</v>
      </c>
      <c r="F334" s="15" cm="1">
        <f t="array" ref="F334">EVAL($AG$9,B334)</f>
        <v>2.4486210071835539</v>
      </c>
      <c r="G334" s="15" cm="1">
        <f t="array" ref="G334">EVAL($AG$10,B334)</f>
        <v>2.4486210071835539</v>
      </c>
      <c r="H334" s="15" cm="1">
        <f t="array" ref="H334">EVAL($AG$11,B334)</f>
        <v>2.4486210071835539</v>
      </c>
      <c r="I334" s="15" cm="1">
        <f t="array" ref="I334">EVAL($AG$12,B334)</f>
        <v>2.320304085788599</v>
      </c>
      <c r="J334" s="15" cm="1">
        <f t="array" ref="J334">EVAL($AG$13,B334)</f>
        <v>139.51124407999001</v>
      </c>
      <c r="K334" s="15" cm="1">
        <f t="array" ref="K334">EVAL($AG$14,B334)</f>
        <v>1.6821109352207075</v>
      </c>
      <c r="L334" s="15" cm="1">
        <f t="array" ref="L334">EVAL($AG$15,B334)</f>
        <v>76.98034759458875</v>
      </c>
      <c r="M334" s="15" cm="1">
        <f t="array" ref="M334">EVAL($AG$16,B334)</f>
        <v>0.98927256470577551</v>
      </c>
      <c r="N334" s="15" cm="1">
        <f t="array" ref="N334">EVAL($AG$17,B334)</f>
        <v>42.720477617307502</v>
      </c>
      <c r="O334" s="15" cm="1">
        <f t="array" ref="O334">EVAL($AG$18,B334)</f>
        <v>8.099668230872192E-3</v>
      </c>
      <c r="P334" s="15" cm="1">
        <f t="array" ref="P334">EVAL($AG$19,B334)</f>
        <v>8.099668230872192E-3</v>
      </c>
      <c r="Q334" s="15" cm="1">
        <f t="array" ref="Q334">EVAL($AH$6,B334)</f>
        <v>1.256119088006421</v>
      </c>
      <c r="R334" s="15" cm="1">
        <f t="array" ref="R334">EVAL($AH$7,B334)</f>
        <v>1.256119088006421</v>
      </c>
      <c r="T334" s="15" cm="1">
        <f t="array" ref="T334">EVAL($AH$9,B334)</f>
        <v>0.82614952250221951</v>
      </c>
      <c r="U334" s="15" cm="1">
        <f t="array" ref="U334">EVAL($AH$10,B334)</f>
        <v>0.82614952250221951</v>
      </c>
      <c r="V334" s="15" cm="1">
        <f t="array" ref="V334">EVAL($AH$11,B334)</f>
        <v>0.82614952250221951</v>
      </c>
      <c r="W334" s="15" cm="1">
        <f t="array" ref="W334">EVAL($AH$12,B334)</f>
        <v>42.859611873575737</v>
      </c>
      <c r="X334" s="15" cm="1">
        <f t="array" ref="X334">EVAL($AH$13,B334)</f>
        <v>0.37658406105160014</v>
      </c>
      <c r="Y334" s="15" cm="1">
        <f t="array" ref="Y334">EVAL($AH$14,B334)</f>
        <v>0.37658406105160014</v>
      </c>
    </row>
    <row r="335" spans="1:25" x14ac:dyDescent="0.25">
      <c r="A335" s="20">
        <v>34.200000000000202</v>
      </c>
      <c r="B335" s="41">
        <f t="shared" si="5"/>
        <v>107.44246875277156</v>
      </c>
      <c r="C335" s="15" cm="1">
        <f t="array" ref="C335">EVAL($AG$6,B335)</f>
        <v>364.23344784683809</v>
      </c>
      <c r="D335" s="15" cm="1">
        <f t="array" ref="D335">EVAL($AG$7,B335)</f>
        <v>3.9484611454416196</v>
      </c>
      <c r="F335" s="15" cm="1">
        <f t="array" ref="F335">EVAL($AG$9,B335)</f>
        <v>2.4559174954074132</v>
      </c>
      <c r="G335" s="15" cm="1">
        <f t="array" ref="G335">EVAL($AG$10,B335)</f>
        <v>2.4559174954074132</v>
      </c>
      <c r="H335" s="15" cm="1">
        <f t="array" ref="H335">EVAL($AG$11,B335)</f>
        <v>2.4559174954074132</v>
      </c>
      <c r="I335" s="15" cm="1">
        <f t="array" ref="I335">EVAL($AG$12,B335)</f>
        <v>2.3267289666832238</v>
      </c>
      <c r="J335" s="15" cm="1">
        <f t="array" ref="J335">EVAL($AG$13,B335)</f>
        <v>139.81789276568117</v>
      </c>
      <c r="K335" s="15" cm="1">
        <f t="array" ref="K335">EVAL($AG$14,B335)</f>
        <v>1.6863632030604863</v>
      </c>
      <c r="L335" s="15" cm="1">
        <f t="array" ref="L335">EVAL($AG$15,B335)</f>
        <v>77.117501510653241</v>
      </c>
      <c r="M335" s="15" cm="1">
        <f t="array" ref="M335">EVAL($AG$16,B335)</f>
        <v>0.99075048019936196</v>
      </c>
      <c r="N335" s="15" cm="1">
        <f t="array" ref="N335">EVAL($AG$17,B335)</f>
        <v>42.771597652926737</v>
      </c>
      <c r="O335" s="15" cm="1">
        <f t="array" ref="O335">EVAL($AG$18,B335)</f>
        <v>8.0865628279211503E-3</v>
      </c>
      <c r="P335" s="15" cm="1">
        <f t="array" ref="P335">EVAL($AG$19,B335)</f>
        <v>8.0865628279211503E-3</v>
      </c>
      <c r="Q335" s="15" cm="1">
        <f t="array" ref="Q335">EVAL($AH$6,B335)</f>
        <v>1.2576402261324879</v>
      </c>
      <c r="R335" s="15" cm="1">
        <f t="array" ref="R335">EVAL($AH$7,B335)</f>
        <v>1.2576402261324879</v>
      </c>
      <c r="T335" s="15" cm="1">
        <f t="array" ref="T335">EVAL($AH$9,B335)</f>
        <v>0.82709499497595118</v>
      </c>
      <c r="U335" s="15" cm="1">
        <f t="array" ref="U335">EVAL($AH$10,B335)</f>
        <v>0.82709499497595118</v>
      </c>
      <c r="V335" s="15" cm="1">
        <f t="array" ref="V335">EVAL($AH$11,B335)</f>
        <v>0.82709499497595118</v>
      </c>
      <c r="W335" s="15" cm="1">
        <f t="array" ref="W335">EVAL($AH$12,B335)</f>
        <v>43.045534097944241</v>
      </c>
      <c r="X335" s="15" cm="1">
        <f t="array" ref="X335">EVAL($AH$13,B335)</f>
        <v>0.37687132300284115</v>
      </c>
      <c r="Y335" s="15" cm="1">
        <f t="array" ref="Y335">EVAL($AH$14,B335)</f>
        <v>0.37687132300284115</v>
      </c>
    </row>
    <row r="336" spans="1:25" x14ac:dyDescent="0.25">
      <c r="A336" s="20">
        <v>34.300000000000203</v>
      </c>
      <c r="B336" s="41">
        <f t="shared" si="5"/>
        <v>107.75662801813054</v>
      </c>
      <c r="C336" s="15" cm="1">
        <f t="array" ref="C336">EVAL($AG$6,B336)</f>
        <v>364.96957058285045</v>
      </c>
      <c r="D336" s="15" cm="1">
        <f t="array" ref="D336">EVAL($AG$7,B336)</f>
        <v>3.9517065595239531</v>
      </c>
      <c r="F336" s="15" cm="1">
        <f t="array" ref="F336">EVAL($AG$9,B336)</f>
        <v>2.4632143271294926</v>
      </c>
      <c r="G336" s="15" cm="1">
        <f t="array" ref="G336">EVAL($AG$10,B336)</f>
        <v>2.4632143271294926</v>
      </c>
      <c r="H336" s="15" cm="1">
        <f t="array" ref="H336">EVAL($AG$11,B336)</f>
        <v>2.4632143271294926</v>
      </c>
      <c r="I336" s="15" cm="1">
        <f t="array" ref="I336">EVAL($AG$12,B336)</f>
        <v>2.3331528012701033</v>
      </c>
      <c r="J336" s="15" cm="1">
        <f t="array" ref="J336">EVAL($AG$13,B336)</f>
        <v>140.12431719533063</v>
      </c>
      <c r="K336" s="15" cm="1">
        <f t="array" ref="K336">EVAL($AG$14,B336)</f>
        <v>1.6906137579021165</v>
      </c>
      <c r="L336" s="15" cm="1">
        <f t="array" ref="L336">EVAL($AG$15,B336)</f>
        <v>77.254498270794372</v>
      </c>
      <c r="M336" s="15" cm="1">
        <f t="array" ref="M336">EVAL($AG$16,B336)</f>
        <v>0.9922262788610775</v>
      </c>
      <c r="N336" s="15" cm="1">
        <f t="array" ref="N336">EVAL($AG$17,B336)</f>
        <v>42.822629336128749</v>
      </c>
      <c r="O336" s="15" cm="1">
        <f t="array" ref="O336">EVAL($AG$18,B336)</f>
        <v>8.0735168009987875E-3</v>
      </c>
      <c r="P336" s="15" cm="1">
        <f t="array" ref="P336">EVAL($AG$19,B336)</f>
        <v>8.0735168009987875E-3</v>
      </c>
      <c r="Q336" s="15" cm="1">
        <f t="array" ref="Q336">EVAL($AH$6,B336)</f>
        <v>1.2591587569827682</v>
      </c>
      <c r="R336" s="15" cm="1">
        <f t="array" ref="R336">EVAL($AH$7,B336)</f>
        <v>1.2591587569827682</v>
      </c>
      <c r="T336" s="15" cm="1">
        <f t="array" ref="T336">EVAL($AH$9,B336)</f>
        <v>0.82803878423632482</v>
      </c>
      <c r="U336" s="15" cm="1">
        <f t="array" ref="U336">EVAL($AH$10,B336)</f>
        <v>0.82803878423632482</v>
      </c>
      <c r="V336" s="15" cm="1">
        <f t="array" ref="V336">EVAL($AH$11,B336)</f>
        <v>0.82803878423632482</v>
      </c>
      <c r="W336" s="15" cm="1">
        <f t="array" ref="W336">EVAL($AH$12,B336)</f>
        <v>43.23171646936192</v>
      </c>
      <c r="X336" s="15" cm="1">
        <f t="array" ref="X336">EVAL($AH$13,B336)</f>
        <v>0.37715796439914218</v>
      </c>
      <c r="Y336" s="15" cm="1">
        <f t="array" ref="Y336">EVAL($AH$14,B336)</f>
        <v>0.37715796439914218</v>
      </c>
    </row>
    <row r="337" spans="1:25" x14ac:dyDescent="0.25">
      <c r="A337" s="20">
        <v>34.400000000000198</v>
      </c>
      <c r="B337" s="41">
        <f t="shared" si="5"/>
        <v>108.07078728348951</v>
      </c>
      <c r="C337" s="15" cm="1">
        <f t="array" ref="C337">EVAL($AG$6,B337)</f>
        <v>365.70503153419929</v>
      </c>
      <c r="D337" s="15" cm="1">
        <f t="array" ref="D337">EVAL($AG$7,B337)</f>
        <v>3.9549451814262189</v>
      </c>
      <c r="F337" s="15" cm="1">
        <f t="array" ref="F337">EVAL($AG$9,B337)</f>
        <v>2.4705115013644385</v>
      </c>
      <c r="G337" s="15" cm="1">
        <f t="array" ref="G337">EVAL($AG$10,B337)</f>
        <v>2.4705115013644385</v>
      </c>
      <c r="H337" s="15" cm="1">
        <f t="array" ref="H337">EVAL($AG$11,B337)</f>
        <v>2.4705115013644385</v>
      </c>
      <c r="I337" s="15" cm="1">
        <f t="array" ref="I337">EVAL($AG$12,B337)</f>
        <v>2.3395755927693527</v>
      </c>
      <c r="J337" s="15" cm="1">
        <f t="array" ref="J337">EVAL($AG$13,B337)</f>
        <v>140.43051818603303</v>
      </c>
      <c r="K337" s="15" cm="1">
        <f t="array" ref="K337">EVAL($AG$14,B337)</f>
        <v>1.6948626054268301</v>
      </c>
      <c r="L337" s="15" cm="1">
        <f t="array" ref="L337">EVAL($AG$15,B337)</f>
        <v>77.391338512482662</v>
      </c>
      <c r="M337" s="15" cm="1">
        <f t="array" ref="M337">EVAL($AG$16,B337)</f>
        <v>0.99369996988118059</v>
      </c>
      <c r="N337" s="15" cm="1">
        <f t="array" ref="N337">EVAL($AG$17,B337)</f>
        <v>42.873573076537184</v>
      </c>
      <c r="O337" s="15" cm="1">
        <f t="array" ref="O337">EVAL($AG$18,B337)</f>
        <v>8.060529709158229E-3</v>
      </c>
      <c r="P337" s="15" cm="1">
        <f t="array" ref="P337">EVAL($AG$19,B337)</f>
        <v>8.060529709158229E-3</v>
      </c>
      <c r="Q337" s="15" cm="1">
        <f t="array" ref="Q337">EVAL($AH$6,B337)</f>
        <v>1.2606746926081085</v>
      </c>
      <c r="R337" s="15" cm="1">
        <f t="array" ref="R337">EVAL($AH$7,B337)</f>
        <v>1.2606746926081085</v>
      </c>
      <c r="T337" s="15" cm="1">
        <f t="array" ref="T337">EVAL($AH$9,B337)</f>
        <v>0.82898089817420484</v>
      </c>
      <c r="U337" s="15" cm="1">
        <f t="array" ref="U337">EVAL($AH$10,B337)</f>
        <v>0.82898089817420484</v>
      </c>
      <c r="V337" s="15" cm="1">
        <f t="array" ref="V337">EVAL($AH$11,B337)</f>
        <v>0.82898089817420484</v>
      </c>
      <c r="W337" s="15" cm="1">
        <f t="array" ref="W337">EVAL($AH$12,B337)</f>
        <v>43.418158591794459</v>
      </c>
      <c r="X337" s="15" cm="1">
        <f t="array" ref="X337">EVAL($AH$13,B337)</f>
        <v>0.37744398838440235</v>
      </c>
      <c r="Y337" s="15" cm="1">
        <f t="array" ref="Y337">EVAL($AH$14,B337)</f>
        <v>0.37744398838440235</v>
      </c>
    </row>
    <row r="338" spans="1:25" x14ac:dyDescent="0.25">
      <c r="A338" s="20">
        <v>34.500000000000199</v>
      </c>
      <c r="B338" s="41">
        <f t="shared" si="5"/>
        <v>108.38494654884849</v>
      </c>
      <c r="C338" s="15" cm="1">
        <f t="array" ref="C338">EVAL($AG$6,B338)</f>
        <v>366.43983321704309</v>
      </c>
      <c r="D338" s="15" cm="1">
        <f t="array" ref="D338">EVAL($AG$7,B338)</f>
        <v>3.9581770450463409</v>
      </c>
      <c r="F338" s="15" cm="1">
        <f t="array" ref="F338">EVAL($AG$9,B338)</f>
        <v>2.477809017132556</v>
      </c>
      <c r="G338" s="15" cm="1">
        <f t="array" ref="G338">EVAL($AG$10,B338)</f>
        <v>2.477809017132556</v>
      </c>
      <c r="H338" s="15" cm="1">
        <f t="array" ref="H338">EVAL($AG$11,B338)</f>
        <v>2.477809017132556</v>
      </c>
      <c r="I338" s="15" cm="1">
        <f t="array" ref="I338">EVAL($AG$12,B338)</f>
        <v>2.3459973443818294</v>
      </c>
      <c r="J338" s="15" cm="1">
        <f t="array" ref="J338">EVAL($AG$13,B338)</f>
        <v>140.73649654953914</v>
      </c>
      <c r="K338" s="15" cm="1">
        <f t="array" ref="K338">EVAL($AG$14,B338)</f>
        <v>1.69910975128055</v>
      </c>
      <c r="L338" s="15" cm="1">
        <f t="array" ref="L338">EVAL($AG$15,B338)</f>
        <v>77.528022868757844</v>
      </c>
      <c r="M338" s="15" cm="1">
        <f t="array" ref="M338">EVAL($AG$16,B338)</f>
        <v>0.99517156238344417</v>
      </c>
      <c r="N338" s="15" cm="1">
        <f t="array" ref="N338">EVAL($AG$17,B338)</f>
        <v>42.924429280692145</v>
      </c>
      <c r="O338" s="15" cm="1">
        <f t="array" ref="O338">EVAL($AG$18,B338)</f>
        <v>8.0476011159967137E-3</v>
      </c>
      <c r="P338" s="15" cm="1">
        <f t="array" ref="P338">EVAL($AG$19,B338)</f>
        <v>8.0476011159967137E-3</v>
      </c>
      <c r="Q338" s="15" cm="1">
        <f t="array" ref="Q338">EVAL($AH$6,B338)</f>
        <v>1.2621880449688097</v>
      </c>
      <c r="R338" s="15" cm="1">
        <f t="array" ref="R338">EVAL($AH$7,B338)</f>
        <v>1.2621880449688097</v>
      </c>
      <c r="T338" s="15" cm="1">
        <f t="array" ref="T338">EVAL($AH$9,B338)</f>
        <v>0.82992134462064815</v>
      </c>
      <c r="U338" s="15" cm="1">
        <f t="array" ref="U338">EVAL($AH$10,B338)</f>
        <v>0.82992134462064815</v>
      </c>
      <c r="V338" s="15" cm="1">
        <f t="array" ref="V338">EVAL($AH$11,B338)</f>
        <v>0.82992134462064815</v>
      </c>
      <c r="W338" s="15" cm="1">
        <f t="array" ref="W338">EVAL($AH$12,B338)</f>
        <v>43.604860070960072</v>
      </c>
      <c r="X338" s="15" cm="1">
        <f t="array" ref="X338">EVAL($AH$13,B338)</f>
        <v>0.37772939807750899</v>
      </c>
      <c r="Y338" s="15" cm="1">
        <f t="array" ref="Y338">EVAL($AH$14,B338)</f>
        <v>0.37772939807750899</v>
      </c>
    </row>
    <row r="339" spans="1:25" x14ac:dyDescent="0.25">
      <c r="A339" s="20">
        <v>34.6000000000002</v>
      </c>
      <c r="B339" s="41">
        <f t="shared" si="5"/>
        <v>108.69910581420747</v>
      </c>
      <c r="C339" s="15" cm="1">
        <f t="array" ref="C339">EVAL($AG$6,B339)</f>
        <v>367.17397813071977</v>
      </c>
      <c r="D339" s="15" cm="1">
        <f t="array" ref="D339">EVAL($AG$7,B339)</f>
        <v>3.961402184015439</v>
      </c>
      <c r="F339" s="15" cm="1">
        <f t="array" ref="F339">EVAL($AG$9,B339)</f>
        <v>2.485106873459852</v>
      </c>
      <c r="G339" s="15" cm="1">
        <f t="array" ref="G339">EVAL($AG$10,B339)</f>
        <v>2.485106873459852</v>
      </c>
      <c r="H339" s="15" cm="1">
        <f t="array" ref="H339">EVAL($AG$11,B339)</f>
        <v>2.485106873459852</v>
      </c>
      <c r="I339" s="15" cm="1">
        <f t="array" ref="I339">EVAL($AG$12,B339)</f>
        <v>2.3524180592893811</v>
      </c>
      <c r="J339" s="15" cm="1">
        <f t="array" ref="J339">EVAL($AG$13,B339)</f>
        <v>141.04225309231009</v>
      </c>
      <c r="K339" s="15" cm="1">
        <f t="array" ref="K339">EVAL($AG$14,B339)</f>
        <v>1.7033552010742607</v>
      </c>
      <c r="L339" s="15" cm="1">
        <f t="array" ref="L339">EVAL($AG$15,B339)</f>
        <v>77.664551968274253</v>
      </c>
      <c r="M339" s="15" cm="1">
        <f t="array" ref="M339">EVAL($AG$16,B339)</f>
        <v>0.99664106542584763</v>
      </c>
      <c r="N339" s="15" cm="1">
        <f t="array" ref="N339">EVAL($AG$17,B339)</f>
        <v>42.975198352082984</v>
      </c>
      <c r="O339" s="15" cm="1">
        <f t="array" ref="O339">EVAL($AG$18,B339)</f>
        <v>8.0347305895955776E-3</v>
      </c>
      <c r="P339" s="15" cm="1">
        <f t="array" ref="P339">EVAL($AG$19,B339)</f>
        <v>8.0347305895955776E-3</v>
      </c>
      <c r="Q339" s="15" cm="1">
        <f t="array" ref="Q339">EVAL($AH$6,B339)</f>
        <v>1.2636988259355908</v>
      </c>
      <c r="R339" s="15" cm="1">
        <f t="array" ref="R339">EVAL($AH$7,B339)</f>
        <v>1.2636988259355908</v>
      </c>
      <c r="T339" s="15" cm="1">
        <f t="array" ref="T339">EVAL($AH$9,B339)</f>
        <v>0.83086013134754366</v>
      </c>
      <c r="U339" s="15" cm="1">
        <f t="array" ref="U339">EVAL($AH$10,B339)</f>
        <v>0.83086013134754366</v>
      </c>
      <c r="V339" s="15" cm="1">
        <f t="array" ref="V339">EVAL($AH$11,B339)</f>
        <v>0.83086013134754366</v>
      </c>
      <c r="W339" s="15" cm="1">
        <f t="array" ref="W339">EVAL($AH$12,B339)</f>
        <v>43.79182051431922</v>
      </c>
      <c r="X339" s="15" cm="1">
        <f t="array" ref="X339">EVAL($AH$13,B339)</f>
        <v>0.37801419657261165</v>
      </c>
      <c r="Y339" s="15" cm="1">
        <f t="array" ref="Y339">EVAL($AH$14,B339)</f>
        <v>0.37801419657261165</v>
      </c>
    </row>
    <row r="340" spans="1:25" x14ac:dyDescent="0.25">
      <c r="A340" s="20">
        <v>34.700000000000202</v>
      </c>
      <c r="B340" s="41">
        <f t="shared" si="5"/>
        <v>109.01326507956645</v>
      </c>
      <c r="C340" s="15" cm="1">
        <f t="array" ref="C340">EVAL($AG$6,B340)</f>
        <v>367.90746875789029</v>
      </c>
      <c r="D340" s="15" cm="1">
        <f t="array" ref="D340">EVAL($AG$7,B340)</f>
        <v>3.964620631700623</v>
      </c>
      <c r="F340" s="15" cm="1">
        <f t="array" ref="F340">EVAL($AG$9,B340)</f>
        <v>2.4924050693778481</v>
      </c>
      <c r="G340" s="15" cm="1">
        <f t="array" ref="G340">EVAL($AG$10,B340)</f>
        <v>2.4924050693778481</v>
      </c>
      <c r="H340" s="15" cm="1">
        <f t="array" ref="H340">EVAL($AG$11,B340)</f>
        <v>2.4924050693778481</v>
      </c>
      <c r="I340" s="15" cm="1">
        <f t="array" ref="I340">EVAL($AG$12,B340)</f>
        <v>2.3588377406548879</v>
      </c>
      <c r="J340" s="15" cm="1">
        <f t="array" ref="J340">EVAL($AG$13,B340)</f>
        <v>141.34778861556097</v>
      </c>
      <c r="K340" s="15" cm="1">
        <f t="array" ref="K340">EVAL($AG$14,B340)</f>
        <v>1.7075989603842427</v>
      </c>
      <c r="L340" s="15" cm="1">
        <f t="array" ref="L340">EVAL($AG$15,B340)</f>
        <v>77.800926435340855</v>
      </c>
      <c r="M340" s="15" cm="1">
        <f t="array" ref="M340">EVAL($AG$16,B340)</f>
        <v>0.9981084880012091</v>
      </c>
      <c r="N340" s="15" cm="1">
        <f t="array" ref="N340">EVAL($AG$17,B340)</f>
        <v>43.025880691178877</v>
      </c>
      <c r="O340" s="15" cm="1">
        <f t="array" ref="O340">EVAL($AG$18,B340)</f>
        <v>8.0219177024616495E-3</v>
      </c>
      <c r="P340" s="15" cm="1">
        <f t="array" ref="P340">EVAL($AG$19,B340)</f>
        <v>8.0219177024616495E-3</v>
      </c>
      <c r="Q340" s="15" cm="1">
        <f t="array" ref="Q340">EVAL($AH$6,B340)</f>
        <v>1.2652070472904822</v>
      </c>
      <c r="R340" s="15" cm="1">
        <f t="array" ref="R340">EVAL($AH$7,B340)</f>
        <v>1.2652070472904822</v>
      </c>
      <c r="T340" s="15" cm="1">
        <f t="array" ref="T340">EVAL($AH$9,B340)</f>
        <v>0.83179726606820859</v>
      </c>
      <c r="U340" s="15" cm="1">
        <f t="array" ref="U340">EVAL($AH$10,B340)</f>
        <v>0.83179726606820859</v>
      </c>
      <c r="V340" s="15" cm="1">
        <f t="array" ref="V340">EVAL($AH$11,B340)</f>
        <v>0.83179726606820859</v>
      </c>
      <c r="W340" s="15" cm="1">
        <f t="array" ref="W340">EVAL($AH$12,B340)</f>
        <v>43.979039531058213</v>
      </c>
      <c r="X340" s="15" cm="1">
        <f t="array" ref="X340">EVAL($AH$13,B340)</f>
        <v>0.37829838693938395</v>
      </c>
      <c r="Y340" s="15" cm="1">
        <f t="array" ref="Y340">EVAL($AH$14,B340)</f>
        <v>0.37829838693938395</v>
      </c>
    </row>
    <row r="341" spans="1:25" x14ac:dyDescent="0.25">
      <c r="A341" s="20">
        <v>34.800000000000203</v>
      </c>
      <c r="B341" s="41">
        <f t="shared" si="5"/>
        <v>109.32742434492543</v>
      </c>
      <c r="C341" s="15" cm="1">
        <f t="array" ref="C341">EVAL($AG$6,B341)</f>
        <v>368.64030756471033</v>
      </c>
      <c r="D341" s="15" cm="1">
        <f t="array" ref="D341">EVAL($AG$7,B341)</f>
        <v>3.9678324212078686</v>
      </c>
      <c r="F341" s="15" cm="1">
        <f t="array" ref="F341">EVAL($AG$9,B341)</f>
        <v>2.4997036039236296</v>
      </c>
      <c r="G341" s="15" cm="1">
        <f t="array" ref="G341">EVAL($AG$10,B341)</f>
        <v>2.4997036039236296</v>
      </c>
      <c r="H341" s="15" cm="1">
        <f t="array" ref="H341">EVAL($AG$11,B341)</f>
        <v>2.4997036039236296</v>
      </c>
      <c r="I341" s="15" cm="1">
        <f t="array" ref="I341">EVAL($AG$12,B341)</f>
        <v>2.365256391622518</v>
      </c>
      <c r="J341" s="15" cm="1">
        <f t="array" ref="J341">EVAL($AG$13,B341)</f>
        <v>141.65310391531426</v>
      </c>
      <c r="K341" s="15" cm="1">
        <f t="array" ref="K341">EVAL($AG$14,B341)</f>
        <v>1.7118410347524433</v>
      </c>
      <c r="L341" s="15" cm="1">
        <f t="array" ref="L341">EVAL($AG$15,B341)</f>
        <v>77.937146889966073</v>
      </c>
      <c r="M341" s="15" cm="1">
        <f t="array" ref="M341">EVAL($AG$16,B341)</f>
        <v>0.99957383903786334</v>
      </c>
      <c r="N341" s="15" cm="1">
        <f t="array" ref="N341">EVAL($AG$17,B341)</f>
        <v>43.076476695460791</v>
      </c>
      <c r="O341" s="15" cm="1">
        <f t="array" ref="O341">EVAL($AG$18,B341)</f>
        <v>8.0091620314691227E-3</v>
      </c>
      <c r="P341" s="15" cm="1">
        <f t="array" ref="P341">EVAL($AG$19,B341)</f>
        <v>8.0091620314691227E-3</v>
      </c>
      <c r="Q341" s="15" cm="1">
        <f t="array" ref="Q341">EVAL($AH$6,B341)</f>
        <v>1.2667127207277673</v>
      </c>
      <c r="R341" s="15" cm="1">
        <f t="array" ref="R341">EVAL($AH$7,B341)</f>
        <v>1.2667127207277673</v>
      </c>
      <c r="T341" s="15" cm="1">
        <f t="array" ref="T341">EVAL($AH$9,B341)</f>
        <v>0.83273275643801259</v>
      </c>
      <c r="U341" s="15" cm="1">
        <f t="array" ref="U341">EVAL($AH$10,B341)</f>
        <v>0.83273275643801259</v>
      </c>
      <c r="V341" s="15" cm="1">
        <f t="array" ref="V341">EVAL($AH$11,B341)</f>
        <v>0.83273275643801259</v>
      </c>
      <c r="W341" s="15" cm="1">
        <f t="array" ref="W341">EVAL($AH$12,B341)</f>
        <v>44.166516732079216</v>
      </c>
      <c r="X341" s="15" cm="1">
        <f t="array" ref="X341">EVAL($AH$13,B341)</f>
        <v>0.37858197222329099</v>
      </c>
      <c r="Y341" s="15" cm="1">
        <f t="array" ref="Y341">EVAL($AH$14,B341)</f>
        <v>0.37858197222329099</v>
      </c>
    </row>
    <row r="342" spans="1:25" x14ac:dyDescent="0.25">
      <c r="A342" s="20">
        <v>34.900000000000198</v>
      </c>
      <c r="B342" s="41">
        <f t="shared" si="5"/>
        <v>109.6415836102844</v>
      </c>
      <c r="C342" s="15" cm="1">
        <f t="array" ref="C342">EVAL($AG$6,B342)</f>
        <v>369.37249700098266</v>
      </c>
      <c r="D342" s="15" cm="1">
        <f t="array" ref="D342">EVAL($AG$7,B342)</f>
        <v>3.9710375853847908</v>
      </c>
      <c r="F342" s="15" cm="1">
        <f t="array" ref="F342">EVAL($AG$9,B342)</f>
        <v>2.5070024761397702</v>
      </c>
      <c r="G342" s="15" cm="1">
        <f t="array" ref="G342">EVAL($AG$10,B342)</f>
        <v>2.5070024761397702</v>
      </c>
      <c r="H342" s="15" cm="1">
        <f t="array" ref="H342">EVAL($AG$11,B342)</f>
        <v>2.5070024761397702</v>
      </c>
      <c r="I342" s="15" cm="1">
        <f t="array" ref="I342">EVAL($AG$12,B342)</f>
        <v>2.3716740153178648</v>
      </c>
      <c r="J342" s="15" cm="1">
        <f t="array" ref="J342">EVAL($AG$13,B342)</f>
        <v>141.95819978244717</v>
      </c>
      <c r="K342" s="15" cm="1">
        <f t="array" ref="K342">EVAL($AG$14,B342)</f>
        <v>1.7160814296867748</v>
      </c>
      <c r="L342" s="15" cm="1">
        <f t="array" ref="L342">EVAL($AG$15,B342)</f>
        <v>78.073213947898594</v>
      </c>
      <c r="M342" s="15" cm="1">
        <f t="array" ref="M342">EVAL($AG$16,B342)</f>
        <v>1.0010371274002994</v>
      </c>
      <c r="N342" s="15" cm="1">
        <f t="array" ref="N342">EVAL($AG$17,B342)</f>
        <v>43.126986759452116</v>
      </c>
      <c r="O342" s="15" cm="1">
        <f t="array" ref="O342">EVAL($AG$18,B342)</f>
        <v>7.9964631578025962E-3</v>
      </c>
      <c r="P342" s="15" cm="1">
        <f t="array" ref="P342">EVAL($AG$19,B342)</f>
        <v>7.9964631578025962E-3</v>
      </c>
      <c r="Q342" s="15" cm="1">
        <f t="array" ref="Q342">EVAL($AH$6,B342)</f>
        <v>1.2682158578548772</v>
      </c>
      <c r="R342" s="15" cm="1">
        <f t="array" ref="R342">EVAL($AH$7,B342)</f>
        <v>1.2682158578548772</v>
      </c>
      <c r="T342" s="15" cm="1">
        <f t="array" ref="T342">EVAL($AH$9,B342)</f>
        <v>0.83366661005497211</v>
      </c>
      <c r="U342" s="15" cm="1">
        <f t="array" ref="U342">EVAL($AH$10,B342)</f>
        <v>0.83366661005497211</v>
      </c>
      <c r="V342" s="15" cm="1">
        <f t="array" ref="V342">EVAL($AH$11,B342)</f>
        <v>0.83366661005497211</v>
      </c>
      <c r="W342" s="15" cm="1">
        <f t="array" ref="W342">EVAL($AH$12,B342)</f>
        <v>44.354251729987006</v>
      </c>
      <c r="X342" s="15" cm="1">
        <f t="array" ref="X342">EVAL($AH$13,B342)</f>
        <v>0.37886495544584819</v>
      </c>
      <c r="Y342" s="15" cm="1">
        <f t="array" ref="Y342">EVAL($AH$14,B342)</f>
        <v>0.37886495544584819</v>
      </c>
    </row>
    <row r="343" spans="1:25" x14ac:dyDescent="0.25">
      <c r="A343" s="20">
        <v>35.000000000000199</v>
      </c>
      <c r="B343" s="41">
        <f t="shared" si="5"/>
        <v>109.95574287564338</v>
      </c>
      <c r="C343" s="15" cm="1">
        <f t="array" ref="C343">EVAL($AG$6,B343)</f>
        <v>370.10403950031213</v>
      </c>
      <c r="D343" s="15" cm="1">
        <f t="array" ref="D343">EVAL($AG$7,B343)</f>
        <v>3.9742361568233937</v>
      </c>
      <c r="F343" s="15" cm="1">
        <f t="array" ref="F343">EVAL($AG$9,B343)</f>
        <v>2.5143016850742854</v>
      </c>
      <c r="G343" s="15" cm="1">
        <f t="array" ref="G343">EVAL($AG$10,B343)</f>
        <v>2.5143016850742854</v>
      </c>
      <c r="H343" s="15" cm="1">
        <f t="array" ref="H343">EVAL($AG$11,B343)</f>
        <v>2.5143016850742854</v>
      </c>
      <c r="I343" s="15" cm="1">
        <f t="array" ref="I343">EVAL($AG$12,B343)</f>
        <v>2.3780906148481145</v>
      </c>
      <c r="J343" s="15" cm="1">
        <f t="array" ref="J343">EVAL($AG$13,B343)</f>
        <v>142.26307700273918</v>
      </c>
      <c r="K343" s="15" cm="1">
        <f t="array" ref="K343">EVAL($AG$14,B343)</f>
        <v>1.7203201506614123</v>
      </c>
      <c r="L343" s="15" cm="1">
        <f t="array" ref="L343">EVAL($AG$15,B343)</f>
        <v>78.209128220669058</v>
      </c>
      <c r="M343" s="15" cm="1">
        <f t="array" ref="M343">EVAL($AG$16,B343)</f>
        <v>1.0024983618897989</v>
      </c>
      <c r="N343" s="15" cm="1">
        <f t="array" ref="N343">EVAL($AG$17,B343)</f>
        <v>43.177411274749041</v>
      </c>
      <c r="O343" s="15" cm="1">
        <f t="array" ref="O343">EVAL($AG$18,B343)</f>
        <v>7.9838206669009745E-3</v>
      </c>
      <c r="P343" s="15" cm="1">
        <f t="array" ref="P343">EVAL($AG$19,B343)</f>
        <v>7.9838206669009745E-3</v>
      </c>
      <c r="Q343" s="15" cm="1">
        <f t="array" ref="Q343">EVAL($AH$6,B343)</f>
        <v>1.269716470193283</v>
      </c>
      <c r="R343" s="15" cm="1">
        <f t="array" ref="R343">EVAL($AH$7,B343)</f>
        <v>1.269716470193283</v>
      </c>
      <c r="T343" s="15" cm="1">
        <f t="array" ref="T343">EVAL($AH$9,B343)</f>
        <v>0.83459883446034366</v>
      </c>
      <c r="U343" s="15" cm="1">
        <f t="array" ref="U343">EVAL($AH$10,B343)</f>
        <v>0.83459883446034366</v>
      </c>
      <c r="V343" s="15" cm="1">
        <f t="array" ref="V343">EVAL($AH$11,B343)</f>
        <v>0.83459883446034366</v>
      </c>
      <c r="W343" s="15" cm="1">
        <f t="array" ref="W343">EVAL($AH$12,B343)</f>
        <v>44.542244139076686</v>
      </c>
      <c r="X343" s="15" cm="1">
        <f t="array" ref="X343">EVAL($AH$13,B343)</f>
        <v>0.37914733960487701</v>
      </c>
      <c r="Y343" s="15" cm="1">
        <f t="array" ref="Y343">EVAL($AH$14,B343)</f>
        <v>0.37914733960487701</v>
      </c>
    </row>
    <row r="344" spans="1:25" x14ac:dyDescent="0.25">
      <c r="A344" s="20">
        <v>35.1000000000002</v>
      </c>
      <c r="B344" s="41">
        <f t="shared" si="5"/>
        <v>110.26990214100236</v>
      </c>
      <c r="C344" s="15" cm="1">
        <f t="array" ref="C344">EVAL($AG$6,B344)</f>
        <v>370.83493748026029</v>
      </c>
      <c r="D344" s="15" cm="1">
        <f t="array" ref="D344">EVAL($AG$7,B344)</f>
        <v>3.9774281678627856</v>
      </c>
      <c r="F344" s="15" cm="1">
        <f t="array" ref="F344">EVAL($AG$9,B344)</f>
        <v>2.5216012297805892</v>
      </c>
      <c r="G344" s="15" cm="1">
        <f t="array" ref="G344">EVAL($AG$10,B344)</f>
        <v>2.5216012297805892</v>
      </c>
      <c r="H344" s="15" cm="1">
        <f t="array" ref="H344">EVAL($AG$11,B344)</f>
        <v>2.5216012297805892</v>
      </c>
      <c r="I344" s="15" cm="1">
        <f t="array" ref="I344">EVAL($AG$12,B344)</f>
        <v>2.3845061933022071</v>
      </c>
      <c r="J344" s="15" cm="1">
        <f t="array" ref="J344">EVAL($AG$13,B344)</f>
        <v>142.56773635692005</v>
      </c>
      <c r="K344" s="15" cm="1">
        <f t="array" ref="K344">EVAL($AG$14,B344)</f>
        <v>1.7245572031171044</v>
      </c>
      <c r="L344" s="15" cm="1">
        <f t="array" ref="L344">EVAL($AG$15,B344)</f>
        <v>78.344890315631019</v>
      </c>
      <c r="M344" s="15" cm="1">
        <f t="array" ref="M344">EVAL($AG$16,B344)</f>
        <v>1.0039575512450714</v>
      </c>
      <c r="N344" s="15" cm="1">
        <f t="array" ref="N344">EVAL($AG$17,B344)</f>
        <v>43.227750630050636</v>
      </c>
      <c r="O344" s="15" cm="1">
        <f t="array" ref="O344">EVAL($AG$18,B344)</f>
        <v>7.9712341484022269E-3</v>
      </c>
      <c r="P344" s="15" cm="1">
        <f t="array" ref="P344">EVAL($AG$19,B344)</f>
        <v>7.9712341484022269E-3</v>
      </c>
      <c r="Q344" s="15" cm="1">
        <f t="array" ref="Q344">EVAL($AH$6,B344)</f>
        <v>1.2712145691793779</v>
      </c>
      <c r="R344" s="15" cm="1">
        <f t="array" ref="R344">EVAL($AH$7,B344)</f>
        <v>1.2712145691793779</v>
      </c>
      <c r="T344" s="15" cm="1">
        <f t="array" ref="T344">EVAL($AH$9,B344)</f>
        <v>0.8355294371392108</v>
      </c>
      <c r="U344" s="15" cm="1">
        <f t="array" ref="U344">EVAL($AH$10,B344)</f>
        <v>0.8355294371392108</v>
      </c>
      <c r="V344" s="15" cm="1">
        <f t="array" ref="V344">EVAL($AH$11,B344)</f>
        <v>0.8355294371392108</v>
      </c>
      <c r="W344" s="15" cm="1">
        <f t="array" ref="W344">EVAL($AH$12,B344)</f>
        <v>44.730493575321724</v>
      </c>
      <c r="X344" s="15" cm="1">
        <f t="array" ref="X344">EVAL($AH$13,B344)</f>
        <v>0.379429127674759</v>
      </c>
      <c r="Y344" s="15" cm="1">
        <f t="array" ref="Y344">EVAL($AH$14,B344)</f>
        <v>0.379429127674759</v>
      </c>
    </row>
    <row r="345" spans="1:25" x14ac:dyDescent="0.25">
      <c r="A345" s="20">
        <v>35.200000000000202</v>
      </c>
      <c r="B345" s="41">
        <f t="shared" si="5"/>
        <v>110.58406140636136</v>
      </c>
      <c r="C345" s="15" cm="1">
        <f t="array" ref="C345">EVAL($AG$6,B345)</f>
        <v>371.56519334249424</v>
      </c>
      <c r="D345" s="15" cm="1">
        <f t="array" ref="D345">EVAL($AG$7,B345)</f>
        <v>3.9806136505918501</v>
      </c>
      <c r="F345" s="15" cm="1">
        <f t="array" ref="F345">EVAL($AG$9,B345)</f>
        <v>2.5289011093174398</v>
      </c>
      <c r="G345" s="15" cm="1">
        <f t="array" ref="G345">EVAL($AG$10,B345)</f>
        <v>2.5289011093174398</v>
      </c>
      <c r="H345" s="15" cm="1">
        <f t="array" ref="H345">EVAL($AG$11,B345)</f>
        <v>2.5289011093174398</v>
      </c>
      <c r="I345" s="15" cm="1">
        <f t="array" ref="I345">EVAL($AG$12,B345)</f>
        <v>2.3909207537509864</v>
      </c>
      <c r="J345" s="15" cm="1">
        <f t="array" ref="J345">EVAL($AG$13,B345)</f>
        <v>142.87217862071574</v>
      </c>
      <c r="K345" s="15" cm="1">
        <f t="array" ref="K345">EVAL($AG$14,B345)</f>
        <v>1.7287925924614658</v>
      </c>
      <c r="L345" s="15" cm="1">
        <f t="array" ref="L345">EVAL($AG$15,B345)</f>
        <v>78.480500836000971</v>
      </c>
      <c r="M345" s="15" cm="1">
        <f t="array" ref="M345">EVAL($AG$16,B345)</f>
        <v>1.0054147041428676</v>
      </c>
      <c r="N345" s="15" cm="1">
        <f t="array" ref="N345">EVAL($AG$17,B345)</f>
        <v>43.278005211188344</v>
      </c>
      <c r="O345" s="15" cm="1">
        <f t="array" ref="O345">EVAL($AG$18,B345)</f>
        <v>7.9587031960890696E-3</v>
      </c>
      <c r="P345" s="15" cm="1">
        <f t="array" ref="P345">EVAL($AG$19,B345)</f>
        <v>7.9587031960890696E-3</v>
      </c>
      <c r="Q345" s="15" cm="1">
        <f t="array" ref="Q345">EVAL($AH$6,B345)</f>
        <v>1.2727101661653428</v>
      </c>
      <c r="R345" s="15" cm="1">
        <f t="array" ref="R345">EVAL($AH$7,B345)</f>
        <v>1.2727101661653428</v>
      </c>
      <c r="T345" s="15" cm="1">
        <f t="array" ref="T345">EVAL($AH$9,B345)</f>
        <v>0.83645842552105776</v>
      </c>
      <c r="U345" s="15" cm="1">
        <f t="array" ref="U345">EVAL($AH$10,B345)</f>
        <v>0.83645842552105776</v>
      </c>
      <c r="V345" s="15" cm="1">
        <f t="array" ref="V345">EVAL($AH$11,B345)</f>
        <v>0.83645842552105776</v>
      </c>
      <c r="W345" s="15" cm="1">
        <f t="array" ref="W345">EVAL($AH$12,B345)</f>
        <v>44.918999656361493</v>
      </c>
      <c r="X345" s="15" cm="1">
        <f t="array" ref="X345">EVAL($AH$13,B345)</f>
        <v>0.37971032260668414</v>
      </c>
      <c r="Y345" s="15" cm="1">
        <f t="array" ref="Y345">EVAL($AH$14,B345)</f>
        <v>0.37971032260668414</v>
      </c>
    </row>
    <row r="346" spans="1:25" x14ac:dyDescent="0.25">
      <c r="A346" s="20">
        <v>35.300000000000203</v>
      </c>
      <c r="B346" s="41">
        <f t="shared" si="5"/>
        <v>110.89822067172034</v>
      </c>
      <c r="C346" s="15" cm="1">
        <f t="array" ref="C346">EVAL($AG$6,B346)</f>
        <v>372.29480947293837</v>
      </c>
      <c r="D346" s="15" cm="1">
        <f t="array" ref="D346">EVAL($AG$7,B346)</f>
        <v>3.9837926368518963</v>
      </c>
      <c r="F346" s="15" cm="1">
        <f t="array" ref="F346">EVAL($AG$9,B346)</f>
        <v>2.5362013227489091</v>
      </c>
      <c r="G346" s="15" cm="1">
        <f t="array" ref="G346">EVAL($AG$10,B346)</f>
        <v>2.5362013227489091</v>
      </c>
      <c r="H346" s="15" cm="1">
        <f t="array" ref="H346">EVAL($AG$11,B346)</f>
        <v>2.5362013227489091</v>
      </c>
      <c r="I346" s="15" cm="1">
        <f t="array" ref="I346">EVAL($AG$12,B346)</f>
        <v>2.3973342992473676</v>
      </c>
      <c r="J346" s="15" cm="1">
        <f t="array" ref="J346">EVAL($AG$13,B346)</f>
        <v>143.17640456489536</v>
      </c>
      <c r="K346" s="15" cm="1">
        <f t="array" ref="K346">EVAL($AG$14,B346)</f>
        <v>1.7330263240692791</v>
      </c>
      <c r="L346" s="15" cm="1">
        <f t="array" ref="L346">EVAL($AG$15,B346)</f>
        <v>78.615960380898457</v>
      </c>
      <c r="M346" s="15" cm="1">
        <f t="array" ref="M346">EVAL($AG$16,B346)</f>
        <v>1.0068698291985996</v>
      </c>
      <c r="N346" s="15" cm="1">
        <f t="array" ref="N346">EVAL($AG$17,B346)</f>
        <v>43.328175401155377</v>
      </c>
      <c r="O346" s="15" cm="1">
        <f t="array" ref="O346">EVAL($AG$18,B346)</f>
        <v>7.9462274078354409E-3</v>
      </c>
      <c r="P346" s="15" cm="1">
        <f t="array" ref="P346">EVAL($AG$19,B346)</f>
        <v>7.9462274078354409E-3</v>
      </c>
      <c r="Q346" s="15" cm="1">
        <f t="array" ref="Q346">EVAL($AH$6,B346)</f>
        <v>1.2742032724200065</v>
      </c>
      <c r="R346" s="15" cm="1">
        <f t="array" ref="R346">EVAL($AH$7,B346)</f>
        <v>1.2742032724200065</v>
      </c>
      <c r="T346" s="15" cm="1">
        <f t="array" ref="T346">EVAL($AH$9,B346)</f>
        <v>0.83738580698034237</v>
      </c>
      <c r="U346" s="15" cm="1">
        <f t="array" ref="U346">EVAL($AH$10,B346)</f>
        <v>0.83738580698034237</v>
      </c>
      <c r="V346" s="15" cm="1">
        <f t="array" ref="V346">EVAL($AH$11,B346)</f>
        <v>0.83738580698034237</v>
      </c>
      <c r="W346" s="15" cm="1">
        <f t="array" ref="W346">EVAL($AH$12,B346)</f>
        <v>45.107762001489768</v>
      </c>
      <c r="X346" s="15" cm="1">
        <f t="array" ref="X346">EVAL($AH$13,B346)</f>
        <v>0.37999092732889772</v>
      </c>
      <c r="Y346" s="15" cm="1">
        <f t="array" ref="Y346">EVAL($AH$14,B346)</f>
        <v>0.37999092732889772</v>
      </c>
    </row>
    <row r="347" spans="1:25" x14ac:dyDescent="0.25">
      <c r="A347" s="20">
        <v>35.400000000000198</v>
      </c>
      <c r="B347" s="41">
        <f t="shared" si="5"/>
        <v>111.21237993707929</v>
      </c>
      <c r="C347" s="15" cm="1">
        <f t="array" ref="C347">EVAL($AG$6,B347)</f>
        <v>373.0237882419197</v>
      </c>
      <c r="D347" s="15" cm="1">
        <f t="array" ref="D347">EVAL($AG$7,B347)</f>
        <v>3.9869651582392551</v>
      </c>
      <c r="F347" s="15" cm="1">
        <f t="array" ref="F347">EVAL($AG$9,B347)</f>
        <v>2.5435018691443232</v>
      </c>
      <c r="G347" s="15" cm="1">
        <f t="array" ref="G347">EVAL($AG$10,B347)</f>
        <v>2.5435018691443232</v>
      </c>
      <c r="H347" s="15" cm="1">
        <f t="array" ref="H347">EVAL($AG$11,B347)</f>
        <v>2.5435018691443232</v>
      </c>
      <c r="I347" s="15" cm="1">
        <f t="array" ref="I347">EVAL($AG$12,B347)</f>
        <v>2.4037468328264904</v>
      </c>
      <c r="J347" s="15" cm="1">
        <f t="array" ref="J347">EVAL($AG$13,B347)</f>
        <v>143.48041495531646</v>
      </c>
      <c r="K347" s="15" cm="1">
        <f t="array" ref="K347">EVAL($AG$14,B347)</f>
        <v>1.7372584032827798</v>
      </c>
      <c r="L347" s="15" cm="1">
        <f t="array" ref="L347">EVAL($AG$15,B347)</f>
        <v>78.751269545385369</v>
      </c>
      <c r="M347" s="15" cm="1">
        <f t="array" ref="M347">EVAL($AG$16,B347)</f>
        <v>1.0083229349669449</v>
      </c>
      <c r="N347" s="15" cm="1">
        <f t="array" ref="N347">EVAL($AG$17,B347)</f>
        <v>43.378261580135479</v>
      </c>
      <c r="O347" s="15" cm="1">
        <f t="array" ref="O347">EVAL($AG$18,B347)</f>
        <v>7.9338063855538613E-3</v>
      </c>
      <c r="P347" s="15" cm="1">
        <f t="array" ref="P347">EVAL($AG$19,B347)</f>
        <v>7.9338063855538613E-3</v>
      </c>
      <c r="Q347" s="15" cm="1">
        <f t="array" ref="Q347">EVAL($AH$6,B347)</f>
        <v>1.2756938991296911</v>
      </c>
      <c r="R347" s="15" cm="1">
        <f t="array" ref="R347">EVAL($AH$7,B347)</f>
        <v>1.2756938991296911</v>
      </c>
      <c r="T347" s="15" cm="1">
        <f t="array" ref="T347">EVAL($AH$9,B347)</f>
        <v>0.83831158883705603</v>
      </c>
      <c r="U347" s="15" cm="1">
        <f t="array" ref="U347">EVAL($AH$10,B347)</f>
        <v>0.83831158883705603</v>
      </c>
      <c r="V347" s="15" cm="1">
        <f t="array" ref="V347">EVAL($AH$11,B347)</f>
        <v>0.83831158883705603</v>
      </c>
      <c r="W347" s="15" cm="1">
        <f t="array" ref="W347">EVAL($AH$12,B347)</f>
        <v>45.296780231642579</v>
      </c>
      <c r="X347" s="15" cm="1">
        <f t="array" ref="X347">EVAL($AH$13,B347)</f>
        <v>0.38027094474694279</v>
      </c>
      <c r="Y347" s="15" cm="1">
        <f t="array" ref="Y347">EVAL($AH$14,B347)</f>
        <v>0.38027094474694279</v>
      </c>
    </row>
    <row r="348" spans="1:25" x14ac:dyDescent="0.25">
      <c r="A348" s="20">
        <v>35.500000000000199</v>
      </c>
      <c r="B348" s="41">
        <f t="shared" si="5"/>
        <v>111.52653920243829</v>
      </c>
      <c r="C348" s="15" cm="1">
        <f t="array" ref="C348">EVAL($AG$6,B348)</f>
        <v>373.75213200431563</v>
      </c>
      <c r="D348" s="15" cm="1">
        <f t="array" ref="D348">EVAL($AG$7,B348)</f>
        <v>3.9901312461078544</v>
      </c>
      <c r="F348" s="15" cm="1">
        <f t="array" ref="F348">EVAL($AG$9,B348)</f>
        <v>2.5508027475782247</v>
      </c>
      <c r="G348" s="15" cm="1">
        <f t="array" ref="G348">EVAL($AG$10,B348)</f>
        <v>2.5508027475782247</v>
      </c>
      <c r="H348" s="15" cm="1">
        <f t="array" ref="H348">EVAL($AG$11,B348)</f>
        <v>2.5508027475782247</v>
      </c>
      <c r="I348" s="15" cm="1">
        <f t="array" ref="I348">EVAL($AG$12,B348)</f>
        <v>2.4101583575058672</v>
      </c>
      <c r="J348" s="15" cm="1">
        <f t="array" ref="J348">EVAL($AG$13,B348)</f>
        <v>143.78421055296997</v>
      </c>
      <c r="K348" s="15" cm="1">
        <f t="array" ref="K348">EVAL($AG$14,B348)</f>
        <v>1.7414888354119509</v>
      </c>
      <c r="L348" s="15" cm="1">
        <f t="array" ref="L348">EVAL($AG$15,B348)</f>
        <v>78.886428920504727</v>
      </c>
      <c r="M348" s="15" cm="1">
        <f t="array" ref="M348">EVAL($AG$16,B348)</f>
        <v>1.0097740299424447</v>
      </c>
      <c r="N348" s="15" cm="1">
        <f t="array" ref="N348">EVAL($AG$17,B348)</f>
        <v>43.428264125531378</v>
      </c>
      <c r="O348" s="15" cm="1">
        <f t="array" ref="O348">EVAL($AG$18,B348)</f>
        <v>7.9214397351436167E-3</v>
      </c>
      <c r="P348" s="15" cm="1">
        <f t="array" ref="P348">EVAL($AG$19,B348)</f>
        <v>7.9214397351436167E-3</v>
      </c>
      <c r="Q348" s="15" cm="1">
        <f t="array" ref="Q348">EVAL($AH$6,B348)</f>
        <v>1.2771820573990464</v>
      </c>
      <c r="R348" s="15" cm="1">
        <f t="array" ref="R348">EVAL($AH$7,B348)</f>
        <v>1.2771820573990464</v>
      </c>
      <c r="T348" s="15" cm="1">
        <f t="array" ref="T348">EVAL($AH$9,B348)</f>
        <v>0.83923577835727969</v>
      </c>
      <c r="U348" s="15" cm="1">
        <f t="array" ref="U348">EVAL($AH$10,B348)</f>
        <v>0.83923577835727969</v>
      </c>
      <c r="V348" s="15" cm="1">
        <f t="array" ref="V348">EVAL($AH$11,B348)</f>
        <v>0.83923577835727969</v>
      </c>
      <c r="W348" s="15" cm="1">
        <f t="array" ref="W348">EVAL($AH$12,B348)</f>
        <v>45.486053969386688</v>
      </c>
      <c r="X348" s="15" cm="1">
        <f t="array" ref="X348">EVAL($AH$13,B348)</f>
        <v>0.38055037774390005</v>
      </c>
      <c r="Y348" s="15" cm="1">
        <f t="array" ref="Y348">EVAL($AH$14,B348)</f>
        <v>0.38055037774390005</v>
      </c>
    </row>
    <row r="349" spans="1:25" x14ac:dyDescent="0.25">
      <c r="A349" s="20">
        <v>35.6000000000002</v>
      </c>
      <c r="B349" s="41">
        <f t="shared" si="5"/>
        <v>111.84069846779727</v>
      </c>
      <c r="C349" s="15" cm="1">
        <f t="array" ref="C349">EVAL($AG$6,B349)</f>
        <v>374.47984309969593</v>
      </c>
      <c r="D349" s="15" cm="1">
        <f t="array" ref="D349">EVAL($AG$7,B349)</f>
        <v>3.9932909315717549</v>
      </c>
      <c r="F349" s="15" cm="1">
        <f t="array" ref="F349">EVAL($AG$9,B349)</f>
        <v>2.558103957130331</v>
      </c>
      <c r="G349" s="15" cm="1">
        <f t="array" ref="G349">EVAL($AG$10,B349)</f>
        <v>2.558103957130331</v>
      </c>
      <c r="H349" s="15" cm="1">
        <f t="array" ref="H349">EVAL($AG$11,B349)</f>
        <v>2.558103957130331</v>
      </c>
      <c r="I349" s="15" cm="1">
        <f t="array" ref="I349">EVAL($AG$12,B349)</f>
        <v>2.4165688762855395</v>
      </c>
      <c r="J349" s="15" cm="1">
        <f t="array" ref="J349">EVAL($AG$13,B349)</f>
        <v>144.08779211402501</v>
      </c>
      <c r="K349" s="15" cm="1">
        <f t="array" ref="K349">EVAL($AG$14,B349)</f>
        <v>1.7457176257348015</v>
      </c>
      <c r="L349" s="15" cm="1">
        <f t="array" ref="L349">EVAL($AG$15,B349)</f>
        <v>79.021439093319074</v>
      </c>
      <c r="M349" s="15" cm="1">
        <f t="array" ref="M349">EVAL($AG$16,B349)</f>
        <v>1.0112231225600947</v>
      </c>
      <c r="N349" s="15" cm="1">
        <f t="array" ref="N349">EVAL($AG$17,B349)</f>
        <v>43.478183411992987</v>
      </c>
      <c r="O349" s="15" cm="1">
        <f t="array" ref="O349">EVAL($AG$18,B349)</f>
        <v>7.9091270664397202E-3</v>
      </c>
      <c r="P349" s="15" cm="1">
        <f t="array" ref="P349">EVAL($AG$19,B349)</f>
        <v>7.9091270664397202E-3</v>
      </c>
      <c r="Q349" s="15" cm="1">
        <f t="array" ref="Q349">EVAL($AH$6,B349)</f>
        <v>1.2786677582518742</v>
      </c>
      <c r="R349" s="15" cm="1">
        <f t="array" ref="R349">EVAL($AH$7,B349)</f>
        <v>1.2786677582518742</v>
      </c>
      <c r="T349" s="15" cm="1">
        <f t="array" ref="T349">EVAL($AH$9,B349)</f>
        <v>0.840158382753731</v>
      </c>
      <c r="U349" s="15" cm="1">
        <f t="array" ref="U349">EVAL($AH$10,B349)</f>
        <v>0.840158382753731</v>
      </c>
      <c r="V349" s="15" cm="1">
        <f t="array" ref="V349">EVAL($AH$11,B349)</f>
        <v>0.840158382753731</v>
      </c>
      <c r="W349" s="15" cm="1">
        <f t="array" ref="W349">EVAL($AH$12,B349)</f>
        <v>45.675582838907751</v>
      </c>
      <c r="X349" s="15" cm="1">
        <f t="array" ref="X349">EVAL($AH$13,B349)</f>
        <v>0.38082922918062373</v>
      </c>
      <c r="Y349" s="15" cm="1">
        <f t="array" ref="Y349">EVAL($AH$14,B349)</f>
        <v>0.38082922918062373</v>
      </c>
    </row>
    <row r="350" spans="1:25" x14ac:dyDescent="0.25">
      <c r="A350" s="20">
        <v>35.700000000000202</v>
      </c>
      <c r="B350" s="41">
        <f t="shared" si="5"/>
        <v>112.15485773315625</v>
      </c>
      <c r="C350" s="15" cm="1">
        <f t="array" ref="C350">EVAL($AG$6,B350)</f>
        <v>375.20692385246633</v>
      </c>
      <c r="D350" s="15" cm="1">
        <f t="array" ref="D350">EVAL($AG$7,B350)</f>
        <v>3.9964442455076523</v>
      </c>
      <c r="F350" s="15" cm="1">
        <f t="array" ref="F350">EVAL($AG$9,B350)</f>
        <v>2.5654054968854867</v>
      </c>
      <c r="G350" s="15" cm="1">
        <f t="array" ref="G350">EVAL($AG$10,B350)</f>
        <v>2.5654054968854867</v>
      </c>
      <c r="H350" s="15" cm="1">
        <f t="array" ref="H350">EVAL($AG$11,B350)</f>
        <v>2.5654054968854867</v>
      </c>
      <c r="I350" s="15" cm="1">
        <f t="array" ref="I350">EVAL($AG$12,B350)</f>
        <v>2.4229783921482264</v>
      </c>
      <c r="J350" s="15" cm="1">
        <f t="array" ref="J350">EVAL($AG$13,B350)</f>
        <v>144.39116038987265</v>
      </c>
      <c r="K350" s="15" cm="1">
        <f t="array" ref="K350">EVAL($AG$14,B350)</f>
        <v>1.749944779497655</v>
      </c>
      <c r="L350" s="15" cm="1">
        <f t="array" ref="L350">EVAL($AG$15,B350)</f>
        <v>79.15630064694848</v>
      </c>
      <c r="M350" s="15" cm="1">
        <f t="array" ref="M350">EVAL($AG$16,B350)</f>
        <v>1.0126702211959291</v>
      </c>
      <c r="N350" s="15" cm="1">
        <f t="array" ref="N350">EVAL($AG$17,B350)</f>
        <v>43.528019811445091</v>
      </c>
      <c r="O350" s="15" cm="1">
        <f t="array" ref="O350">EVAL($AG$18,B350)</f>
        <v>7.8968679931626894E-3</v>
      </c>
      <c r="P350" s="15" cm="1">
        <f t="array" ref="P350">EVAL($AG$19,B350)</f>
        <v>7.8968679931626894E-3</v>
      </c>
      <c r="Q350" s="15" cm="1">
        <f t="array" ref="Q350">EVAL($AH$6,B350)</f>
        <v>1.2801510126319446</v>
      </c>
      <c r="R350" s="15" cm="1">
        <f t="array" ref="R350">EVAL($AH$7,B350)</f>
        <v>1.2801510126319446</v>
      </c>
      <c r="T350" s="15" cm="1">
        <f t="array" ref="T350">EVAL($AH$9,B350)</f>
        <v>0.8410794091863053</v>
      </c>
      <c r="U350" s="15" cm="1">
        <f t="array" ref="U350">EVAL($AH$10,B350)</f>
        <v>0.8410794091863053</v>
      </c>
      <c r="V350" s="15" cm="1">
        <f t="array" ref="V350">EVAL($AH$11,B350)</f>
        <v>0.8410794091863053</v>
      </c>
      <c r="W350" s="15" cm="1">
        <f t="array" ref="W350">EVAL($AH$12,B350)</f>
        <v>45.865366465999266</v>
      </c>
      <c r="X350" s="15" cm="1">
        <f t="array" ref="X350">EVAL($AH$13,B350)</f>
        <v>0.38110750189597536</v>
      </c>
      <c r="Y350" s="15" cm="1">
        <f t="array" ref="Y350">EVAL($AH$14,B350)</f>
        <v>0.38110750189597536</v>
      </c>
    </row>
    <row r="351" spans="1:25" x14ac:dyDescent="0.25">
      <c r="A351" s="20">
        <v>35.800000000000203</v>
      </c>
      <c r="B351" s="41">
        <f t="shared" si="5"/>
        <v>112.46901699851523</v>
      </c>
      <c r="C351" s="15" cm="1">
        <f t="array" ref="C351">EVAL($AG$6,B351)</f>
        <v>375.93337657200829</v>
      </c>
      <c r="D351" s="15" cm="1">
        <f t="array" ref="D351">EVAL($AG$7,B351)</f>
        <v>3.9995912185573506</v>
      </c>
      <c r="F351" s="15" cm="1">
        <f t="array" ref="F351">EVAL($AG$9,B351)</f>
        <v>2.5727073659336188</v>
      </c>
      <c r="G351" s="15" cm="1">
        <f t="array" ref="G351">EVAL($AG$10,B351)</f>
        <v>2.5727073659336188</v>
      </c>
      <c r="H351" s="15" cm="1">
        <f t="array" ref="H351">EVAL($AG$11,B351)</f>
        <v>2.5727073659336188</v>
      </c>
      <c r="I351" s="15" cm="1">
        <f t="array" ref="I351">EVAL($AG$12,B351)</f>
        <v>2.4293869080594752</v>
      </c>
      <c r="J351" s="15" cm="1">
        <f t="array" ref="J351">EVAL($AG$13,B351)</f>
        <v>144.69431612716971</v>
      </c>
      <c r="K351" s="15" cm="1">
        <f t="array" ref="K351">EVAL($AG$14,B351)</f>
        <v>1.7541703019154229</v>
      </c>
      <c r="L351" s="15" cm="1">
        <f t="array" ref="L351">EVAL($AG$15,B351)</f>
        <v>79.291014160607943</v>
      </c>
      <c r="M351" s="15" cm="1">
        <f t="array" ref="M351">EVAL($AG$16,B351)</f>
        <v>1.0141153341675964</v>
      </c>
      <c r="N351" s="15" cm="1">
        <f t="array" ref="N351">EVAL($AG$17,B351)</f>
        <v>43.57777369311475</v>
      </c>
      <c r="O351" s="15" cm="1">
        <f t="array" ref="O351">EVAL($AG$18,B351)</f>
        <v>7.8846621328691104E-3</v>
      </c>
      <c r="P351" s="15" cm="1">
        <f t="array" ref="P351">EVAL($AG$19,B351)</f>
        <v>7.8846621328691104E-3</v>
      </c>
      <c r="Q351" s="15" cm="1">
        <f t="array" ref="Q351">EVAL($AH$6,B351)</f>
        <v>1.2816318314037962</v>
      </c>
      <c r="R351" s="15" cm="1">
        <f t="array" ref="R351">EVAL($AH$7,B351)</f>
        <v>1.2816318314037962</v>
      </c>
      <c r="T351" s="15" cm="1">
        <f t="array" ref="T351">EVAL($AH$9,B351)</f>
        <v>0.84199886476260843</v>
      </c>
      <c r="U351" s="15" cm="1">
        <f t="array" ref="U351">EVAL($AH$10,B351)</f>
        <v>0.84199886476260843</v>
      </c>
      <c r="V351" s="15" cm="1">
        <f t="array" ref="V351">EVAL($AH$11,B351)</f>
        <v>0.84199886476260843</v>
      </c>
      <c r="W351" s="15" cm="1">
        <f t="array" ref="W351">EVAL($AH$12,B351)</f>
        <v>46.055404478050718</v>
      </c>
      <c r="X351" s="15" cm="1">
        <f t="array" ref="X351">EVAL($AH$13,B351)</f>
        <v>0.38138519870705356</v>
      </c>
      <c r="Y351" s="15" cm="1">
        <f t="array" ref="Y351">EVAL($AH$14,B351)</f>
        <v>0.38138519870705356</v>
      </c>
    </row>
    <row r="352" spans="1:25" x14ac:dyDescent="0.25">
      <c r="A352" s="20">
        <v>35.900000000000198</v>
      </c>
      <c r="B352" s="41">
        <f t="shared" si="5"/>
        <v>112.7831762638742</v>
      </c>
      <c r="C352" s="15" cm="1">
        <f t="array" ref="C352">EVAL($AG$6,B352)</f>
        <v>376.65920355281764</v>
      </c>
      <c r="D352" s="15" cm="1">
        <f t="array" ref="D352">EVAL($AG$7,B352)</f>
        <v>4.0027318811301926</v>
      </c>
      <c r="F352" s="15" cm="1">
        <f t="array" ref="F352">EVAL($AG$9,B352)</f>
        <v>2.5800095633697033</v>
      </c>
      <c r="G352" s="15" cm="1">
        <f t="array" ref="G352">EVAL($AG$10,B352)</f>
        <v>2.5800095633697033</v>
      </c>
      <c r="H352" s="15" cm="1">
        <f t="array" ref="H352">EVAL($AG$11,B352)</f>
        <v>2.5800095633697033</v>
      </c>
      <c r="I352" s="15" cm="1">
        <f t="array" ref="I352">EVAL($AG$12,B352)</f>
        <v>2.4357944269677989</v>
      </c>
      <c r="J352" s="15" cm="1">
        <f t="array" ref="J352">EVAL($AG$13,B352)</f>
        <v>144.99726006788131</v>
      </c>
      <c r="K352" s="15" cm="1">
        <f t="array" ref="K352">EVAL($AG$14,B352)</f>
        <v>1.7583941981718798</v>
      </c>
      <c r="L352" s="15" cm="1">
        <f t="array" ref="L352">EVAL($AG$15,B352)</f>
        <v>79.425580209644153</v>
      </c>
      <c r="M352" s="15" cm="1">
        <f t="array" ref="M352">EVAL($AG$16,B352)</f>
        <v>1.0155584697349265</v>
      </c>
      <c r="N352" s="15" cm="1">
        <f t="array" ref="N352">EVAL($AG$17,B352)</f>
        <v>43.627445423558342</v>
      </c>
      <c r="O352" s="15" cm="1">
        <f t="array" ref="O352">EVAL($AG$18,B352)</f>
        <v>7.8725091069029567E-3</v>
      </c>
      <c r="P352" s="15" cm="1">
        <f t="array" ref="P352">EVAL($AG$19,B352)</f>
        <v>7.8725091069029567E-3</v>
      </c>
      <c r="Q352" s="15" cm="1">
        <f t="array" ref="Q352">EVAL($AH$6,B352)</f>
        <v>1.2831102253535311</v>
      </c>
      <c r="R352" s="15" cm="1">
        <f t="array" ref="R352">EVAL($AH$7,B352)</f>
        <v>1.2831102253535311</v>
      </c>
      <c r="T352" s="15" cm="1">
        <f t="array" ref="T352">EVAL($AH$9,B352)</f>
        <v>0.84291675653848441</v>
      </c>
      <c r="U352" s="15" cm="1">
        <f t="array" ref="U352">EVAL($AH$10,B352)</f>
        <v>0.84291675653848441</v>
      </c>
      <c r="V352" s="15" cm="1">
        <f t="array" ref="V352">EVAL($AH$11,B352)</f>
        <v>0.84291675653848441</v>
      </c>
      <c r="W352" s="15" cm="1">
        <f t="array" ref="W352">EVAL($AH$12,B352)</f>
        <v>46.245696504036616</v>
      </c>
      <c r="X352" s="15" cm="1">
        <f t="array" ref="X352">EVAL($AH$13,B352)</f>
        <v>0.38166232240942116</v>
      </c>
      <c r="Y352" s="15" cm="1">
        <f t="array" ref="Y352">EVAL($AH$14,B352)</f>
        <v>0.38166232240942116</v>
      </c>
    </row>
    <row r="353" spans="1:25" x14ac:dyDescent="0.25">
      <c r="A353" s="20">
        <v>36.000000000000199</v>
      </c>
      <c r="B353" s="41">
        <f t="shared" si="5"/>
        <v>113.09733552923318</v>
      </c>
      <c r="C353" s="15" cm="1">
        <f t="array" ref="C353">EVAL($AG$6,B353)</f>
        <v>377.38440707464298</v>
      </c>
      <c r="D353" s="15" cm="1">
        <f t="array" ref="D353">EVAL($AG$7,B353)</f>
        <v>4.0058662634054745</v>
      </c>
      <c r="F353" s="15" cm="1">
        <f t="array" ref="F353">EVAL($AG$9,B353)</f>
        <v>2.5873120882937175</v>
      </c>
      <c r="G353" s="15" cm="1">
        <f t="array" ref="G353">EVAL($AG$10,B353)</f>
        <v>2.5873120882937175</v>
      </c>
      <c r="H353" s="15" cm="1">
        <f t="array" ref="H353">EVAL($AG$11,B353)</f>
        <v>2.5873120882937175</v>
      </c>
      <c r="I353" s="15" cm="1">
        <f t="array" ref="I353">EVAL($AG$12,B353)</f>
        <v>2.4422009518048378</v>
      </c>
      <c r="J353" s="15" cm="1">
        <f t="array" ref="J353">EVAL($AG$13,B353)</f>
        <v>145.29999294932381</v>
      </c>
      <c r="K353" s="15" cm="1">
        <f t="array" ref="K353">EVAL($AG$14,B353)</f>
        <v>1.762616473419943</v>
      </c>
      <c r="L353" s="15" cm="1">
        <f t="array" ref="L353">EVAL($AG$15,B353)</f>
        <v>79.559999365572423</v>
      </c>
      <c r="M353" s="15" cm="1">
        <f t="array" ref="M353">EVAL($AG$16,B353)</f>
        <v>1.0169996361004956</v>
      </c>
      <c r="N353" s="15" cm="1">
        <f t="array" ref="N353">EVAL($AG$17,B353)</f>
        <v>43.677035366688294</v>
      </c>
      <c r="O353" s="15" cm="1">
        <f t="array" ref="O353">EVAL($AG$18,B353)</f>
        <v>7.8604085403476288E-3</v>
      </c>
      <c r="P353" s="15" cm="1">
        <f t="array" ref="P353">EVAL($AG$19,B353)</f>
        <v>7.8604085403476288E-3</v>
      </c>
      <c r="Q353" s="15" cm="1">
        <f t="array" ref="Q353">EVAL($AH$6,B353)</f>
        <v>1.2845862051895991</v>
      </c>
      <c r="R353" s="15" cm="1">
        <f t="array" ref="R353">EVAL($AH$7,B353)</f>
        <v>1.2845862051895991</v>
      </c>
      <c r="T353" s="15" cm="1">
        <f t="array" ref="T353">EVAL($AH$9,B353)</f>
        <v>0.84383309151853514</v>
      </c>
      <c r="U353" s="15" cm="1">
        <f t="array" ref="U353">EVAL($AH$10,B353)</f>
        <v>0.84383309151853514</v>
      </c>
      <c r="V353" s="15" cm="1">
        <f t="array" ref="V353">EVAL($AH$11,B353)</f>
        <v>0.84383309151853514</v>
      </c>
      <c r="W353" s="15" cm="1">
        <f t="array" ref="W353">EVAL($AH$12,B353)</f>
        <v>46.436242174505487</v>
      </c>
      <c r="X353" s="15" cm="1">
        <f t="array" ref="X353">EVAL($AH$13,B353)</f>
        <v>0.38193887577732949</v>
      </c>
      <c r="Y353" s="15" cm="1">
        <f t="array" ref="Y353">EVAL($AH$14,B353)</f>
        <v>0.38193887577732949</v>
      </c>
    </row>
    <row r="354" spans="1:25" x14ac:dyDescent="0.25">
      <c r="A354" s="20">
        <v>36.1000000000002</v>
      </c>
      <c r="B354" s="41">
        <f t="shared" si="5"/>
        <v>113.41149479459216</v>
      </c>
      <c r="C354" s="15" cm="1">
        <f t="array" ref="C354">EVAL($AG$6,B354)</f>
        <v>378.10898940261939</v>
      </c>
      <c r="D354" s="15" cm="1">
        <f t="array" ref="D354">EVAL($AG$7,B354)</f>
        <v>4.0089943953348115</v>
      </c>
      <c r="F354" s="15" cm="1">
        <f t="array" ref="F354">EVAL($AG$9,B354)</f>
        <v>2.5946149398105911</v>
      </c>
      <c r="G354" s="15" cm="1">
        <f t="array" ref="G354">EVAL($AG$10,B354)</f>
        <v>2.5946149398105911</v>
      </c>
      <c r="H354" s="15" cm="1">
        <f t="array" ref="H354">EVAL($AG$11,B354)</f>
        <v>2.5946149398105911</v>
      </c>
      <c r="I354" s="15" cm="1">
        <f t="array" ref="I354">EVAL($AG$12,B354)</f>
        <v>2.4486064854854854</v>
      </c>
      <c r="J354" s="15" cm="1">
        <f t="array" ref="J354">EVAL($AG$13,B354)</f>
        <v>145.60251550420637</v>
      </c>
      <c r="K354" s="15" cm="1">
        <f t="array" ref="K354">EVAL($AG$14,B354)</f>
        <v>1.7668371327819292</v>
      </c>
      <c r="L354" s="15" cm="1">
        <f t="array" ref="L354">EVAL($AG$15,B354)</f>
        <v>79.694272196112479</v>
      </c>
      <c r="M354" s="15" cm="1">
        <f t="array" ref="M354">EVAL($AG$16,B354)</f>
        <v>1.0184388414101793</v>
      </c>
      <c r="N354" s="15" cm="1">
        <f t="array" ref="N354">EVAL($AG$17,B354)</f>
        <v>43.726543883799387</v>
      </c>
      <c r="O354" s="15" cm="1">
        <f t="array" ref="O354">EVAL($AG$18,B354)</f>
        <v>7.8483600619788148E-3</v>
      </c>
      <c r="P354" s="15" cm="1">
        <f t="array" ref="P354">EVAL($AG$19,B354)</f>
        <v>7.8483600619788148E-3</v>
      </c>
      <c r="Q354" s="15" cm="1">
        <f t="array" ref="Q354">EVAL($AH$6,B354)</f>
        <v>1.2860597815435666</v>
      </c>
      <c r="R354" s="15" cm="1">
        <f t="array" ref="R354">EVAL($AH$7,B354)</f>
        <v>1.2860597815435666</v>
      </c>
      <c r="T354" s="15" cm="1">
        <f t="array" ref="T354">EVAL($AH$9,B354)</f>
        <v>0.84474787665663353</v>
      </c>
      <c r="U354" s="15" cm="1">
        <f t="array" ref="U354">EVAL($AH$10,B354)</f>
        <v>0.84474787665663353</v>
      </c>
      <c r="V354" s="15" cm="1">
        <f t="array" ref="V354">EVAL($AH$11,B354)</f>
        <v>0.84474787665663353</v>
      </c>
      <c r="W354" s="15" cm="1">
        <f t="array" ref="W354">EVAL($AH$12,B354)</f>
        <v>46.627041121568432</v>
      </c>
      <c r="X354" s="15" cm="1">
        <f t="array" ref="X354">EVAL($AH$13,B354)</f>
        <v>0.38221486156393947</v>
      </c>
      <c r="Y354" s="15" cm="1">
        <f t="array" ref="Y354">EVAL($AH$14,B354)</f>
        <v>0.38221486156393947</v>
      </c>
    </row>
    <row r="355" spans="1:25" x14ac:dyDescent="0.25">
      <c r="A355" s="20">
        <v>36.200000000000202</v>
      </c>
      <c r="B355" s="41">
        <f t="shared" si="5"/>
        <v>113.72565405995114</v>
      </c>
      <c r="C355" s="15" cm="1">
        <f t="array" ref="C355">EVAL($AG$6,B355)</f>
        <v>378.83295278740337</v>
      </c>
      <c r="D355" s="15" cm="1">
        <f t="array" ref="D355">EVAL($AG$7,B355)</f>
        <v>4.0121163066444865</v>
      </c>
      <c r="F355" s="15" cm="1">
        <f t="array" ref="F355">EVAL($AG$9,B355)</f>
        <v>2.6019181170301802</v>
      </c>
      <c r="G355" s="15" cm="1">
        <f t="array" ref="G355">EVAL($AG$10,B355)</f>
        <v>2.6019181170301802</v>
      </c>
      <c r="H355" s="15" cm="1">
        <f t="array" ref="H355">EVAL($AG$11,B355)</f>
        <v>2.6019181170301802</v>
      </c>
      <c r="I355" s="15" cm="1">
        <f t="array" ref="I355">EVAL($AG$12,B355)</f>
        <v>2.4550110309080408</v>
      </c>
      <c r="J355" s="15" cm="1">
        <f t="array" ref="J355">EVAL($AG$13,B355)</f>
        <v>145.90482846067243</v>
      </c>
      <c r="K355" s="15" cm="1">
        <f t="array" ref="K355">EVAL($AG$14,B355)</f>
        <v>1.7710561813498338</v>
      </c>
      <c r="L355" s="15" cm="1">
        <f t="array" ref="L355">EVAL($AG$15,B355)</f>
        <v>79.828399265224149</v>
      </c>
      <c r="M355" s="15" cm="1">
        <f t="array" ref="M355">EVAL($AG$16,B355)</f>
        <v>1.0198760937536986</v>
      </c>
      <c r="N355" s="15" cm="1">
        <f t="array" ref="N355">EVAL($AG$17,B355)</f>
        <v>43.775971333594782</v>
      </c>
      <c r="O355" s="15" cm="1">
        <f t="array" ref="O355">EVAL($AG$18,B355)</f>
        <v>7.8363633042179796E-3</v>
      </c>
      <c r="P355" s="15" cm="1">
        <f t="array" ref="P355">EVAL($AG$19,B355)</f>
        <v>7.8363633042179796E-3</v>
      </c>
      <c r="Q355" s="15" cm="1">
        <f t="array" ref="Q355">EVAL($AH$6,B355)</f>
        <v>1.2875309649708844</v>
      </c>
      <c r="R355" s="15" cm="1">
        <f t="array" ref="R355">EVAL($AH$7,B355)</f>
        <v>1.2875309649708844</v>
      </c>
      <c r="T355" s="15" cm="1">
        <f t="array" ref="T355">EVAL($AH$9,B355)</f>
        <v>0.84566111885642992</v>
      </c>
      <c r="U355" s="15" cm="1">
        <f t="array" ref="U355">EVAL($AH$10,B355)</f>
        <v>0.84566111885642992</v>
      </c>
      <c r="V355" s="15" cm="1">
        <f t="array" ref="V355">EVAL($AH$11,B355)</f>
        <v>0.84566111885642992</v>
      </c>
      <c r="W355" s="15" cm="1">
        <f t="array" ref="W355">EVAL($AH$12,B355)</f>
        <v>46.818092978888451</v>
      </c>
      <c r="X355" s="15" cm="1">
        <f t="array" ref="X355">EVAL($AH$13,B355)</f>
        <v>0.38249028250153977</v>
      </c>
      <c r="Y355" s="15" cm="1">
        <f t="array" ref="Y355">EVAL($AH$14,B355)</f>
        <v>0.38249028250153977</v>
      </c>
    </row>
    <row r="356" spans="1:25" x14ac:dyDescent="0.25">
      <c r="A356" s="20">
        <v>36.300000000000203</v>
      </c>
      <c r="B356" s="41">
        <f t="shared" si="5"/>
        <v>114.03981332531013</v>
      </c>
      <c r="C356" s="15" cm="1">
        <f t="array" ref="C356">EVAL($AG$6,B356)</f>
        <v>379.55629946530496</v>
      </c>
      <c r="D356" s="15" cm="1">
        <f t="array" ref="D356">EVAL($AG$7,B356)</f>
        <v>4.0152320268377588</v>
      </c>
      <c r="F356" s="15" cm="1">
        <f t="array" ref="F356">EVAL($AG$9,B356)</f>
        <v>2.6092216190672199</v>
      </c>
      <c r="G356" s="15" cm="1">
        <f t="array" ref="G356">EVAL($AG$10,B356)</f>
        <v>2.6092216190672199</v>
      </c>
      <c r="H356" s="15" cm="1">
        <f t="array" ref="H356">EVAL($AG$11,B356)</f>
        <v>2.6092216190672199</v>
      </c>
      <c r="I356" s="15" cm="1">
        <f t="array" ref="I356">EVAL($AG$12,B356)</f>
        <v>2.4614145909543472</v>
      </c>
      <c r="J356" s="15" cm="1">
        <f t="array" ref="J356">EVAL($AG$13,B356)</f>
        <v>146.20693254234115</v>
      </c>
      <c r="K356" s="15" cm="1">
        <f t="array" ref="K356">EVAL($AG$14,B356)</f>
        <v>1.7752736241855791</v>
      </c>
      <c r="L356" s="15" cm="1">
        <f t="array" ref="L356">EVAL($AG$15,B356)</f>
        <v>79.962381133142657</v>
      </c>
      <c r="M356" s="15" cm="1">
        <f t="array" ref="M356">EVAL($AG$16,B356)</f>
        <v>1.0213114011651647</v>
      </c>
      <c r="N356" s="15" cm="1">
        <f t="array" ref="N356">EVAL($AG$17,B356)</f>
        <v>43.825318072211786</v>
      </c>
      <c r="O356" s="15" cm="1">
        <f t="array" ref="O356">EVAL($AG$18,B356)</f>
        <v>7.8244179030866196E-3</v>
      </c>
      <c r="P356" s="15" cm="1">
        <f t="array" ref="P356">EVAL($AG$19,B356)</f>
        <v>7.8244179030866196E-3</v>
      </c>
      <c r="Q356" s="15" cm="1">
        <f t="array" ref="Q356">EVAL($AH$6,B356)</f>
        <v>1.2889997659516386</v>
      </c>
      <c r="R356" s="15" cm="1">
        <f t="array" ref="R356">EVAL($AH$7,B356)</f>
        <v>1.2889997659516386</v>
      </c>
      <c r="T356" s="15" cm="1">
        <f t="array" ref="T356">EVAL($AH$9,B356)</f>
        <v>0.84657282497185316</v>
      </c>
      <c r="U356" s="15" cm="1">
        <f t="array" ref="U356">EVAL($AH$10,B356)</f>
        <v>0.84657282497185316</v>
      </c>
      <c r="V356" s="15" cm="1">
        <f t="array" ref="V356">EVAL($AH$11,B356)</f>
        <v>0.84657282497185316</v>
      </c>
      <c r="W356" s="15" cm="1">
        <f t="array" ref="W356">EVAL($AH$12,B356)</f>
        <v>47.009397381669707</v>
      </c>
      <c r="X356" s="15" cm="1">
        <f t="array" ref="X356">EVAL($AH$13,B356)</f>
        <v>0.38276514130176226</v>
      </c>
      <c r="Y356" s="15" cm="1">
        <f t="array" ref="Y356">EVAL($AH$14,B356)</f>
        <v>0.38276514130176226</v>
      </c>
    </row>
    <row r="357" spans="1:25" x14ac:dyDescent="0.25">
      <c r="A357" s="20">
        <v>36.400000000000198</v>
      </c>
      <c r="B357" s="41">
        <f t="shared" si="5"/>
        <v>114.35397259066909</v>
      </c>
      <c r="C357" s="15" cm="1">
        <f t="array" ref="C357">EVAL($AG$6,B357)</f>
        <v>380.27903165841877</v>
      </c>
      <c r="D357" s="15" cm="1">
        <f t="array" ref="D357">EVAL($AG$7,B357)</f>
        <v>4.0183415851971498</v>
      </c>
      <c r="F357" s="15" cm="1">
        <f t="array" ref="F357">EVAL($AG$9,B357)</f>
        <v>2.6165254450412783</v>
      </c>
      <c r="G357" s="15" cm="1">
        <f t="array" ref="G357">EVAL($AG$10,B357)</f>
        <v>2.6165254450412783</v>
      </c>
      <c r="H357" s="15" cm="1">
        <f t="array" ref="H357">EVAL($AG$11,B357)</f>
        <v>2.6165254450412783</v>
      </c>
      <c r="I357" s="15" cm="1">
        <f t="array" ref="I357">EVAL($AG$12,B357)</f>
        <v>2.4678171684899213</v>
      </c>
      <c r="J357" s="15" cm="1">
        <f t="array" ref="J357">EVAL($AG$13,B357)</f>
        <v>146.50882846834736</v>
      </c>
      <c r="K357" s="15" cm="1">
        <f t="array" ref="K357">EVAL($AG$14,B357)</f>
        <v>1.7794894663212888</v>
      </c>
      <c r="L357" s="15" cm="1">
        <f t="array" ref="L357">EVAL($AG$15,B357)</f>
        <v>80.096218356413345</v>
      </c>
      <c r="M357" s="15" cm="1">
        <f t="array" ref="M357">EVAL($AG$16,B357)</f>
        <v>1.0227447716236107</v>
      </c>
      <c r="N357" s="15" cm="1">
        <f t="array" ref="N357">EVAL($AG$17,B357)</f>
        <v>43.874584453247124</v>
      </c>
      <c r="O357" s="15" cm="1">
        <f t="array" ref="O357">EVAL($AG$18,B357)</f>
        <v>7.8125234981612206E-3</v>
      </c>
      <c r="P357" s="15" cm="1">
        <f t="array" ref="P357">EVAL($AG$19,B357)</f>
        <v>7.8125234981612206E-3</v>
      </c>
      <c r="Q357" s="15" cm="1">
        <f t="array" ref="Q357">EVAL($AH$6,B357)</f>
        <v>1.2904661948912961</v>
      </c>
      <c r="R357" s="15" cm="1">
        <f t="array" ref="R357">EVAL($AH$7,B357)</f>
        <v>1.2904661948912961</v>
      </c>
      <c r="T357" s="15" cm="1">
        <f t="array" ref="T357">EVAL($AH$9,B357)</f>
        <v>0.8474830018076045</v>
      </c>
      <c r="U357" s="15" cm="1">
        <f t="array" ref="U357">EVAL($AH$10,B357)</f>
        <v>0.8474830018076045</v>
      </c>
      <c r="V357" s="15" cm="1">
        <f t="array" ref="V357">EVAL($AH$11,B357)</f>
        <v>0.8474830018076045</v>
      </c>
      <c r="W357" s="15" cm="1">
        <f t="array" ref="W357">EVAL($AH$12,B357)</f>
        <v>47.200953966646701</v>
      </c>
      <c r="X357" s="15" cm="1">
        <f t="array" ref="X357">EVAL($AH$13,B357)</f>
        <v>0.38303944065579443</v>
      </c>
      <c r="Y357" s="15" cm="1">
        <f t="array" ref="Y357">EVAL($AH$14,B357)</f>
        <v>0.38303944065579443</v>
      </c>
    </row>
    <row r="358" spans="1:25" x14ac:dyDescent="0.25">
      <c r="A358" s="20">
        <v>36.500000000000199</v>
      </c>
      <c r="B358" s="41">
        <f t="shared" si="5"/>
        <v>114.66813185602807</v>
      </c>
      <c r="C358" s="15" cm="1">
        <f t="array" ref="C358">EVAL($AG$6,B358)</f>
        <v>381.00115157475176</v>
      </c>
      <c r="D358" s="15" cm="1">
        <f t="array" ref="D358">EVAL($AG$7,B358)</f>
        <v>4.0214450107866915</v>
      </c>
      <c r="F358" s="15" cm="1">
        <f t="array" ref="F358">EVAL($AG$9,B358)</f>
        <v>2.6238295940767249</v>
      </c>
      <c r="G358" s="15" cm="1">
        <f t="array" ref="G358">EVAL($AG$10,B358)</f>
        <v>2.6238295940767249</v>
      </c>
      <c r="H358" s="15" cm="1">
        <f t="array" ref="H358">EVAL($AG$11,B358)</f>
        <v>2.6238295940767249</v>
      </c>
      <c r="I358" s="15" cm="1">
        <f t="array" ref="I358">EVAL($AG$12,B358)</f>
        <v>2.4742187663641091</v>
      </c>
      <c r="J358" s="15" cm="1">
        <f t="array" ref="J358">EVAL($AG$13,B358)</f>
        <v>146.81051695338181</v>
      </c>
      <c r="K358" s="15" cm="1">
        <f t="array" ref="K358">EVAL($AG$14,B358)</f>
        <v>1.7837037127595359</v>
      </c>
      <c r="L358" s="15" cm="1">
        <f t="array" ref="L358">EVAL($AG$15,B358)</f>
        <v>80.229911487926103</v>
      </c>
      <c r="M358" s="15" cm="1">
        <f t="array" ref="M358">EVAL($AG$16,B358)</f>
        <v>1.0241762130535197</v>
      </c>
      <c r="N358" s="15" cm="1">
        <f t="array" ref="N358">EVAL($AG$17,B358)</f>
        <v>43.923770827782029</v>
      </c>
      <c r="O358" s="15" cm="1">
        <f t="array" ref="O358">EVAL($AG$18,B358)</f>
        <v>7.8006797325288653E-3</v>
      </c>
      <c r="P358" s="15" cm="1">
        <f t="array" ref="P358">EVAL($AG$19,B358)</f>
        <v>7.8006797325288653E-3</v>
      </c>
      <c r="Q358" s="15" cm="1">
        <f t="array" ref="Q358">EVAL($AH$6,B358)</f>
        <v>1.291930262121437</v>
      </c>
      <c r="R358" s="15" cm="1">
        <f t="array" ref="R358">EVAL($AH$7,B358)</f>
        <v>1.291930262121437</v>
      </c>
      <c r="T358" s="15" cm="1">
        <f t="array" ref="T358">EVAL($AH$9,B358)</f>
        <v>0.84839165611964462</v>
      </c>
      <c r="U358" s="15" cm="1">
        <f t="array" ref="U358">EVAL($AH$10,B358)</f>
        <v>0.84839165611964462</v>
      </c>
      <c r="V358" s="15" cm="1">
        <f t="array" ref="V358">EVAL($AH$11,B358)</f>
        <v>0.84839165611964462</v>
      </c>
      <c r="W358" s="15" cm="1">
        <f t="array" ref="W358">EVAL($AH$12,B358)</f>
        <v>47.392762372073527</v>
      </c>
      <c r="X358" s="15" cm="1">
        <f t="array" ref="X358">EVAL($AH$13,B358)</f>
        <v>0.38331318323458979</v>
      </c>
      <c r="Y358" s="15" cm="1">
        <f t="array" ref="Y358">EVAL($AH$14,B358)</f>
        <v>0.38331318323458979</v>
      </c>
    </row>
    <row r="359" spans="1:25" x14ac:dyDescent="0.25">
      <c r="A359" s="20">
        <v>36.6000000000002</v>
      </c>
      <c r="B359" s="41">
        <f t="shared" si="5"/>
        <v>114.98229112138706</v>
      </c>
      <c r="C359" s="15" cm="1">
        <f t="array" ref="C359">EVAL($AG$6,B359)</f>
        <v>381.72266140835274</v>
      </c>
      <c r="D359" s="15" cm="1">
        <f t="array" ref="D359">EVAL($AG$7,B359)</f>
        <v>4.0245423324541552</v>
      </c>
      <c r="F359" s="15" cm="1">
        <f t="array" ref="F359">EVAL($AG$9,B359)</f>
        <v>2.6311340653026871</v>
      </c>
      <c r="G359" s="15" cm="1">
        <f t="array" ref="G359">EVAL($AG$10,B359)</f>
        <v>2.6311340653026871</v>
      </c>
      <c r="H359" s="15" cm="1">
        <f t="array" ref="H359">EVAL($AG$11,B359)</f>
        <v>2.6311340653026871</v>
      </c>
      <c r="I359" s="15" cm="1">
        <f t="array" ref="I359">EVAL($AG$12,B359)</f>
        <v>2.4806193874101994</v>
      </c>
      <c r="J359" s="15" cm="1">
        <f t="array" ref="J359">EVAL($AG$13,B359)</f>
        <v>147.11199870773075</v>
      </c>
      <c r="K359" s="15" cm="1">
        <f t="array" ref="K359">EVAL($AG$14,B359)</f>
        <v>1.7879163684735944</v>
      </c>
      <c r="L359" s="15" cm="1">
        <f t="array" ref="L359">EVAL($AG$15,B359)</f>
        <v>80.363461076949179</v>
      </c>
      <c r="M359" s="15" cm="1">
        <f t="array" ref="M359">EVAL($AG$16,B359)</f>
        <v>1.0256057333253461</v>
      </c>
      <c r="N359" s="15" cm="1">
        <f t="array" ref="N359">EVAL($AG$17,B359)</f>
        <v>43.972877544406977</v>
      </c>
      <c r="O359" s="15" cm="1">
        <f t="array" ref="O359">EVAL($AG$18,B359)</f>
        <v>7.7888862527435527E-3</v>
      </c>
      <c r="P359" s="15" cm="1">
        <f t="array" ref="P359">EVAL($AG$19,B359)</f>
        <v>7.7888862527435527E-3</v>
      </c>
      <c r="Q359" s="15" cm="1">
        <f t="array" ref="Q359">EVAL($AH$6,B359)</f>
        <v>1.2933919779004828</v>
      </c>
      <c r="R359" s="15" cm="1">
        <f t="array" ref="R359">EVAL($AH$7,B359)</f>
        <v>1.2933919779004828</v>
      </c>
      <c r="T359" s="15" cm="1">
        <f t="array" ref="T359">EVAL($AH$9,B359)</f>
        <v>0.84929879461567603</v>
      </c>
      <c r="U359" s="15" cm="1">
        <f t="array" ref="U359">EVAL($AH$10,B359)</f>
        <v>0.84929879461567603</v>
      </c>
      <c r="V359" s="15" cm="1">
        <f t="array" ref="V359">EVAL($AH$11,B359)</f>
        <v>0.84929879461567603</v>
      </c>
      <c r="W359" s="15" cm="1">
        <f t="array" ref="W359">EVAL($AH$12,B359)</f>
        <v>47.584822237713624</v>
      </c>
      <c r="X359" s="15" cm="1">
        <f t="array" ref="X359">EVAL($AH$13,B359)</f>
        <v>0.38358637168907406</v>
      </c>
      <c r="Y359" s="15" cm="1">
        <f t="array" ref="Y359">EVAL($AH$14,B359)</f>
        <v>0.38358637168907406</v>
      </c>
    </row>
    <row r="360" spans="1:25" x14ac:dyDescent="0.25">
      <c r="A360" s="20">
        <v>36.700000000000202</v>
      </c>
      <c r="B360" s="41">
        <f t="shared" si="5"/>
        <v>115.29645038674605</v>
      </c>
      <c r="C360" s="15" cm="1">
        <f t="array" ref="C360">EVAL($AG$6,B360)</f>
        <v>382.44356333943728</v>
      </c>
      <c r="D360" s="15" cm="1">
        <f t="array" ref="D360">EVAL($AG$7,B360)</f>
        <v>4.0276335788332451</v>
      </c>
      <c r="F360" s="15" cm="1">
        <f t="array" ref="F360">EVAL($AG$9,B360)</f>
        <v>2.6384388578530205</v>
      </c>
      <c r="G360" s="15" cm="1">
        <f t="array" ref="G360">EVAL($AG$10,B360)</f>
        <v>2.6384388578530205</v>
      </c>
      <c r="H360" s="15" cm="1">
        <f t="array" ref="H360">EVAL($AG$11,B360)</f>
        <v>2.6384388578530205</v>
      </c>
      <c r="I360" s="15" cm="1">
        <f t="array" ref="I360">EVAL($AG$12,B360)</f>
        <v>2.4870190344455789</v>
      </c>
      <c r="J360" s="15" cm="1">
        <f t="array" ref="J360">EVAL($AG$13,B360)</f>
        <v>147.41327443731518</v>
      </c>
      <c r="K360" s="15" cm="1">
        <f t="array" ref="K360">EVAL($AG$14,B360)</f>
        <v>1.7921274384077046</v>
      </c>
      <c r="L360" s="15" cm="1">
        <f t="array" ref="L360">EVAL($AG$15,B360)</f>
        <v>80.496867669163009</v>
      </c>
      <c r="M360" s="15" cm="1">
        <f t="array" ref="M360">EVAL($AG$16,B360)</f>
        <v>1.0270333402560328</v>
      </c>
      <c r="N360" s="15" cm="1">
        <f t="array" ref="N360">EVAL($AG$17,B360)</f>
        <v>44.021904949246128</v>
      </c>
      <c r="O360" s="15" cm="1">
        <f t="array" ref="O360">EVAL($AG$18,B360)</f>
        <v>7.7771427087831311E-3</v>
      </c>
      <c r="P360" s="15" cm="1">
        <f t="array" ref="P360">EVAL($AG$19,B360)</f>
        <v>7.7771427087831311E-3</v>
      </c>
      <c r="Q360" s="15" cm="1">
        <f t="array" ref="Q360">EVAL($AH$6,B360)</f>
        <v>1.2948513524144121</v>
      </c>
      <c r="R360" s="15" cm="1">
        <f t="array" ref="R360">EVAL($AH$7,B360)</f>
        <v>1.2948513524144121</v>
      </c>
      <c r="T360" s="15" cm="1">
        <f t="array" ref="T360">EVAL($AH$9,B360)</f>
        <v>0.85020442395561857</v>
      </c>
      <c r="U360" s="15" cm="1">
        <f t="array" ref="U360">EVAL($AH$10,B360)</f>
        <v>0.85020442395561857</v>
      </c>
      <c r="V360" s="15" cm="1">
        <f t="array" ref="V360">EVAL($AH$11,B360)</f>
        <v>0.85020442395561857</v>
      </c>
      <c r="W360" s="15" cm="1">
        <f t="array" ref="W360">EVAL($AH$12,B360)</f>
        <v>47.77713320482934</v>
      </c>
      <c r="X360" s="15" cm="1">
        <f t="array" ref="X360">EVAL($AH$13,B360)</f>
        <v>0.38385900865035072</v>
      </c>
      <c r="Y360" s="15" cm="1">
        <f t="array" ref="Y360">EVAL($AH$14,B360)</f>
        <v>0.38385900865035072</v>
      </c>
    </row>
    <row r="361" spans="1:25" x14ac:dyDescent="0.25">
      <c r="A361" s="20">
        <v>36.800000000000203</v>
      </c>
      <c r="B361" s="41">
        <f t="shared" si="5"/>
        <v>115.61060965210503</v>
      </c>
      <c r="C361" s="15" cm="1">
        <f t="array" ref="C361">EVAL($AG$6,B361)</f>
        <v>383.16385953451237</v>
      </c>
      <c r="D361" s="15" cm="1">
        <f t="array" ref="D361">EVAL($AG$7,B361)</f>
        <v>4.0307187783457605</v>
      </c>
      <c r="F361" s="15" cm="1">
        <f t="array" ref="F361">EVAL($AG$9,B361)</f>
        <v>2.6457439708662518</v>
      </c>
      <c r="G361" s="15" cm="1">
        <f t="array" ref="G361">EVAL($AG$10,B361)</f>
        <v>2.6457439708662518</v>
      </c>
      <c r="H361" s="15" cm="1">
        <f t="array" ref="H361">EVAL($AG$11,B361)</f>
        <v>2.6457439708662518</v>
      </c>
      <c r="I361" s="15" cm="1">
        <f t="array" ref="I361">EVAL($AG$12,B361)</f>
        <v>2.4934177102718436</v>
      </c>
      <c r="J361" s="15" cm="1">
        <f t="array" ref="J361">EVAL($AG$13,B361)</f>
        <v>147.71434484372892</v>
      </c>
      <c r="K361" s="15" cm="1">
        <f t="array" ref="K361">EVAL($AG$14,B361)</f>
        <v>1.7963369274773013</v>
      </c>
      <c r="L361" s="15" cm="1">
        <f t="array" ref="L361">EVAL($AG$15,B361)</f>
        <v>80.630131806692944</v>
      </c>
      <c r="M361" s="15" cm="1">
        <f t="array" ref="M361">EVAL($AG$16,B361)</f>
        <v>1.0284590416095147</v>
      </c>
      <c r="N361" s="15" cm="1">
        <f t="array" ref="N361">EVAL($AG$17,B361)</f>
        <v>44.070853385981358</v>
      </c>
      <c r="O361" s="15" cm="1">
        <f t="array" ref="O361">EVAL($AG$18,B361)</f>
        <v>7.7654487540069648E-3</v>
      </c>
      <c r="P361" s="15" cm="1">
        <f t="array" ref="P361">EVAL($AG$19,B361)</f>
        <v>7.7654487540069648E-3</v>
      </c>
      <c r="Q361" s="15" cm="1">
        <f t="array" ref="Q361">EVAL($AH$6,B361)</f>
        <v>1.2963083957774657</v>
      </c>
      <c r="R361" s="15" cm="1">
        <f t="array" ref="R361">EVAL($AH$7,B361)</f>
        <v>1.2963083957774657</v>
      </c>
      <c r="T361" s="15" cm="1">
        <f t="array" ref="T361">EVAL($AH$9,B361)</f>
        <v>0.85110855075207781</v>
      </c>
      <c r="U361" s="15" cm="1">
        <f t="array" ref="U361">EVAL($AH$10,B361)</f>
        <v>0.85110855075207781</v>
      </c>
      <c r="V361" s="15" cm="1">
        <f t="array" ref="V361">EVAL($AH$11,B361)</f>
        <v>0.85110855075207781</v>
      </c>
      <c r="W361" s="15" cm="1">
        <f t="array" ref="W361">EVAL($AH$12,B361)</f>
        <v>47.969694916171285</v>
      </c>
      <c r="X361" s="15" cm="1">
        <f t="array" ref="X361">EVAL($AH$13,B361)</f>
        <v>0.38413109672990142</v>
      </c>
      <c r="Y361" s="15" cm="1">
        <f t="array" ref="Y361">EVAL($AH$14,B361)</f>
        <v>0.38413109672990142</v>
      </c>
    </row>
    <row r="362" spans="1:25" x14ac:dyDescent="0.25">
      <c r="A362" s="20">
        <v>36.900000000000198</v>
      </c>
      <c r="B362" s="41">
        <f t="shared" si="5"/>
        <v>115.92476891746399</v>
      </c>
      <c r="C362" s="15" cm="1">
        <f t="array" ref="C362">EVAL($AG$6,B362)</f>
        <v>383.88355214650068</v>
      </c>
      <c r="D362" s="15" cm="1">
        <f t="array" ref="D362">EVAL($AG$7,B362)</f>
        <v>4.0337979592037412</v>
      </c>
      <c r="F362" s="15" cm="1">
        <f t="array" ref="F362">EVAL($AG$9,B362)</f>
        <v>2.6530494034855598</v>
      </c>
      <c r="G362" s="15" cm="1">
        <f t="array" ref="G362">EVAL($AG$10,B362)</f>
        <v>2.6530494034855598</v>
      </c>
      <c r="H362" s="15" cm="1">
        <f t="array" ref="H362">EVAL($AG$11,B362)</f>
        <v>2.6530494034855598</v>
      </c>
      <c r="I362" s="15" cm="1">
        <f t="array" ref="I362">EVAL($AG$12,B362)</f>
        <v>2.4998154176749479</v>
      </c>
      <c r="J362" s="15" cm="1">
        <f t="array" ref="J362">EVAL($AG$13,B362)</f>
        <v>148.01521062427759</v>
      </c>
      <c r="K362" s="15" cm="1">
        <f t="array" ref="K362">EVAL($AG$14,B362)</f>
        <v>1.800544840569277</v>
      </c>
      <c r="L362" s="15" cm="1">
        <f t="array" ref="L362">EVAL($AG$15,B362)</f>
        <v>80.76325402814247</v>
      </c>
      <c r="M362" s="15" cm="1">
        <f t="array" ref="M362">EVAL($AG$16,B362)</f>
        <v>1.0298828450972262</v>
      </c>
      <c r="N362" s="15" cm="1">
        <f t="array" ref="N362">EVAL($AG$17,B362)</f>
        <v>44.119723195876205</v>
      </c>
      <c r="O362" s="15" cm="1">
        <f t="array" ref="O362">EVAL($AG$18,B362)</f>
        <v>7.7538040451141238E-3</v>
      </c>
      <c r="P362" s="15" cm="1">
        <f t="array" ref="P362">EVAL($AG$19,B362)</f>
        <v>7.7538040451141238E-3</v>
      </c>
      <c r="Q362" s="15" cm="1">
        <f t="array" ref="Q362">EVAL($AH$6,B362)</f>
        <v>1.2977631180328486</v>
      </c>
      <c r="R362" s="15" cm="1">
        <f t="array" ref="R362">EVAL($AH$7,B362)</f>
        <v>1.2977631180328486</v>
      </c>
      <c r="T362" s="15" cm="1">
        <f t="array" ref="T362">EVAL($AH$9,B362)</f>
        <v>0.85201118157081013</v>
      </c>
      <c r="U362" s="15" cm="1">
        <f t="array" ref="U362">EVAL($AH$10,B362)</f>
        <v>0.85201118157081013</v>
      </c>
      <c r="V362" s="15" cm="1">
        <f t="array" ref="V362">EVAL($AH$11,B362)</f>
        <v>0.85201118157081013</v>
      </c>
      <c r="W362" s="15" cm="1">
        <f t="array" ref="W362">EVAL($AH$12,B362)</f>
        <v>48.162507015968615</v>
      </c>
      <c r="X362" s="15" cm="1">
        <f t="array" ref="X362">EVAL($AH$13,B362)</f>
        <v>0.38440263851978657</v>
      </c>
      <c r="Y362" s="15" cm="1">
        <f t="array" ref="Y362">EVAL($AH$14,B362)</f>
        <v>0.38440263851978657</v>
      </c>
    </row>
    <row r="363" spans="1:25" x14ac:dyDescent="0.25">
      <c r="A363" s="20">
        <v>37.000000000000199</v>
      </c>
      <c r="B363" s="41">
        <f t="shared" si="5"/>
        <v>116.23892818282297</v>
      </c>
      <c r="C363" s="15" cm="1">
        <f t="array" ref="C363">EVAL($AG$6,B363)</f>
        <v>384.60264331486076</v>
      </c>
      <c r="D363" s="15" cm="1">
        <f t="array" ref="D363">EVAL($AG$7,B363)</f>
        <v>4.0368711494115779</v>
      </c>
      <c r="F363" s="15" cm="1">
        <f t="array" ref="F363">EVAL($AG$9,B363)</f>
        <v>2.6603551548587259</v>
      </c>
      <c r="G363" s="15" cm="1">
        <f t="array" ref="G363">EVAL($AG$10,B363)</f>
        <v>2.6603551548587259</v>
      </c>
      <c r="H363" s="15" cm="1">
        <f t="array" ref="H363">EVAL($AG$11,B363)</f>
        <v>2.6603551548587259</v>
      </c>
      <c r="I363" s="15" cm="1">
        <f t="array" ref="I363">EVAL($AG$12,B363)</f>
        <v>2.5062121594253246</v>
      </c>
      <c r="J363" s="15" cm="1">
        <f t="array" ref="J363">EVAL($AG$13,B363)</f>
        <v>148.3158724720158</v>
      </c>
      <c r="K363" s="15" cm="1">
        <f t="array" ref="K363">EVAL($AG$14,B363)</f>
        <v>1.8047511825422105</v>
      </c>
      <c r="L363" s="15" cm="1">
        <f t="array" ref="L363">EVAL($AG$15,B363)</f>
        <v>80.8962348686251</v>
      </c>
      <c r="M363" s="15" cm="1">
        <f t="array" ref="M363">EVAL($AG$16,B363)</f>
        <v>1.0313047583785944</v>
      </c>
      <c r="N363" s="15" cm="1">
        <f t="array" ref="N363">EVAL($AG$17,B363)</f>
        <v>44.168514717799269</v>
      </c>
      <c r="O363" s="15" cm="1">
        <f t="array" ref="O363">EVAL($AG$18,B363)</f>
        <v>7.7422082421023091E-3</v>
      </c>
      <c r="P363" s="15" cm="1">
        <f t="array" ref="P363">EVAL($AG$19,B363)</f>
        <v>7.7422082421023091E-3</v>
      </c>
      <c r="Q363" s="15" cm="1">
        <f t="array" ref="Q363">EVAL($AH$6,B363)</f>
        <v>1.2992155291534175</v>
      </c>
      <c r="R363" s="15" cm="1">
        <f t="array" ref="R363">EVAL($AH$7,B363)</f>
        <v>1.2992155291534175</v>
      </c>
      <c r="T363" s="15" cm="1">
        <f t="array" ref="T363">EVAL($AH$9,B363)</f>
        <v>0.85291232293117958</v>
      </c>
      <c r="U363" s="15" cm="1">
        <f t="array" ref="U363">EVAL($AH$10,B363)</f>
        <v>0.85291232293117958</v>
      </c>
      <c r="V363" s="15" cm="1">
        <f t="array" ref="V363">EVAL($AH$11,B363)</f>
        <v>0.85291232293117958</v>
      </c>
      <c r="W363" s="15" cm="1">
        <f t="array" ref="W363">EVAL($AH$12,B363)</f>
        <v>48.355569149918445</v>
      </c>
      <c r="X363" s="15" cm="1">
        <f t="array" ref="X363">EVAL($AH$13,B363)</f>
        <v>0.38467363659284076</v>
      </c>
      <c r="Y363" s="15" cm="1">
        <f t="array" ref="Y363">EVAL($AH$14,B363)</f>
        <v>0.38467363659284076</v>
      </c>
    </row>
    <row r="364" spans="1:25" x14ac:dyDescent="0.25">
      <c r="A364" s="20">
        <v>37.1000000000003</v>
      </c>
      <c r="B364" s="41">
        <f t="shared" si="5"/>
        <v>116.55308744818227</v>
      </c>
      <c r="C364" s="15" cm="1">
        <f t="array" ref="C364">EVAL($AG$6,B364)</f>
        <v>385.32113516570882</v>
      </c>
      <c r="D364" s="15" cm="1">
        <f t="array" ref="D364">EVAL($AG$7,B364)</f>
        <v>4.0399383767680952</v>
      </c>
      <c r="F364" s="15" cm="1">
        <f t="array" ref="F364">EVAL($AG$9,B364)</f>
        <v>2.6676612241381035</v>
      </c>
      <c r="G364" s="15" cm="1">
        <f t="array" ref="G364">EVAL($AG$10,B364)</f>
        <v>2.6676612241381035</v>
      </c>
      <c r="H364" s="15" cm="1">
        <f t="array" ref="H364">EVAL($AG$11,B364)</f>
        <v>2.6676612241381035</v>
      </c>
      <c r="I364" s="15" cm="1">
        <f t="array" ref="I364">EVAL($AG$12,B364)</f>
        <v>2.5126079382780158</v>
      </c>
      <c r="J364" s="15" cm="1">
        <f t="array" ref="J364">EVAL($AG$13,B364)</f>
        <v>148.61633107578476</v>
      </c>
      <c r="K364" s="15" cm="1">
        <f t="array" ref="K364">EVAL($AG$14,B364)</f>
        <v>1.8089559582266208</v>
      </c>
      <c r="L364" s="15" cm="1">
        <f t="array" ref="L364">EVAL($AG$15,B364)</f>
        <v>81.029074859796822</v>
      </c>
      <c r="M364" s="15" cm="1">
        <f t="array" ref="M364">EVAL($AG$16,B364)</f>
        <v>1.0327247890615316</v>
      </c>
      <c r="N364" s="15" cm="1">
        <f t="array" ref="N364">EVAL($AG$17,B364)</f>
        <v>44.217228288247526</v>
      </c>
      <c r="O364" s="15" cm="1">
        <f t="array" ref="O364">EVAL($AG$18,B364)</f>
        <v>7.7306610082273205E-3</v>
      </c>
      <c r="P364" s="15" cm="1">
        <f t="array" ref="P364">EVAL($AG$19,B364)</f>
        <v>7.7306610082273205E-3</v>
      </c>
      <c r="Q364" s="15" cm="1">
        <f t="array" ref="Q364">EVAL($AH$6,B364)</f>
        <v>1.3006656390423641</v>
      </c>
      <c r="R364" s="15" cm="1">
        <f t="array" ref="R364">EVAL($AH$7,B364)</f>
        <v>1.3006656390423641</v>
      </c>
      <c r="T364" s="15" cm="1">
        <f t="array" ref="T364">EVAL($AH$9,B364)</f>
        <v>0.85381198130661151</v>
      </c>
      <c r="U364" s="15" cm="1">
        <f t="array" ref="U364">EVAL($AH$10,B364)</f>
        <v>0.85381198130661151</v>
      </c>
      <c r="V364" s="15" cm="1">
        <f t="array" ref="V364">EVAL($AH$11,B364)</f>
        <v>0.85381198130661151</v>
      </c>
      <c r="W364" s="15" cm="1">
        <f t="array" ref="W364">EVAL($AH$12,B364)</f>
        <v>48.548880965176373</v>
      </c>
      <c r="X364" s="15" cm="1">
        <f t="array" ref="X364">EVAL($AH$13,B364)</f>
        <v>0.38494409350286818</v>
      </c>
      <c r="Y364" s="15" cm="1">
        <f t="array" ref="Y364">EVAL($AH$14,B364)</f>
        <v>0.38494409350286818</v>
      </c>
    </row>
    <row r="365" spans="1:25" x14ac:dyDescent="0.25">
      <c r="A365" s="20">
        <v>37.200000000000301</v>
      </c>
      <c r="B365" s="41">
        <f t="shared" si="5"/>
        <v>116.86724671354125</v>
      </c>
      <c r="C365" s="15" cm="1">
        <f t="array" ref="C365">EVAL($AG$6,B365)</f>
        <v>386.03902981193698</v>
      </c>
      <c r="D365" s="15" cm="1">
        <f t="array" ref="D365">EVAL($AG$7,B365)</f>
        <v>4.0429996688686094</v>
      </c>
      <c r="F365" s="15" cm="1">
        <f t="array" ref="F365">EVAL($AG$9,B365)</f>
        <v>2.6749676104805817</v>
      </c>
      <c r="G365" s="15" cm="1">
        <f t="array" ref="G365">EVAL($AG$10,B365)</f>
        <v>2.6749676104805817</v>
      </c>
      <c r="H365" s="15" cm="1">
        <f t="array" ref="H365">EVAL($AG$11,B365)</f>
        <v>2.6749676104805817</v>
      </c>
      <c r="I365" s="15" cm="1">
        <f t="array" ref="I365">EVAL($AG$12,B365)</f>
        <v>2.5190027569727969</v>
      </c>
      <c r="J365" s="15" cm="1">
        <f t="array" ref="J365">EVAL($AG$13,B365)</f>
        <v>148.91658712024912</v>
      </c>
      <c r="K365" s="15" cm="1">
        <f t="array" ref="K365">EVAL($AG$14,B365)</f>
        <v>1.8131591724251943</v>
      </c>
      <c r="L365" s="15" cm="1">
        <f t="array" ref="L365">EVAL($AG$15,B365)</f>
        <v>81.161774529887296</v>
      </c>
      <c r="M365" s="15" cm="1">
        <f t="array" ref="M365">EVAL($AG$16,B365)</f>
        <v>1.0341429447029173</v>
      </c>
      <c r="N365" s="15" cm="1">
        <f t="array" ref="N365">EVAL($AG$17,B365)</f>
        <v>44.265864241369243</v>
      </c>
      <c r="O365" s="15" cm="1">
        <f t="array" ref="O365">EVAL($AG$18,B365)</f>
        <v>7.7191620099631673E-3</v>
      </c>
      <c r="P365" s="15" cm="1">
        <f t="array" ref="P365">EVAL($AG$19,B365)</f>
        <v>7.7191620099631673E-3</v>
      </c>
      <c r="Q365" s="15" cm="1">
        <f t="array" ref="Q365">EVAL($AH$6,B365)</f>
        <v>1.302113457533886</v>
      </c>
      <c r="R365" s="15" cm="1">
        <f t="array" ref="R365">EVAL($AH$7,B365)</f>
        <v>1.302113457533886</v>
      </c>
      <c r="T365" s="15" cm="1">
        <f t="array" ref="T365">EVAL($AH$9,B365)</f>
        <v>0.85471016312503723</v>
      </c>
      <c r="U365" s="15" cm="1">
        <f t="array" ref="U365">EVAL($AH$10,B365)</f>
        <v>0.85471016312503723</v>
      </c>
      <c r="V365" s="15" cm="1">
        <f t="array" ref="V365">EVAL($AH$11,B365)</f>
        <v>0.85471016312503723</v>
      </c>
      <c r="W365" s="15" cm="1">
        <f t="array" ref="W365">EVAL($AH$12,B365)</f>
        <v>48.742442110346076</v>
      </c>
      <c r="X365" s="15" cm="1">
        <f t="array" ref="X365">EVAL($AH$13,B365)</f>
        <v>0.38521401178483283</v>
      </c>
      <c r="Y365" s="15" cm="1">
        <f t="array" ref="Y365">EVAL($AH$14,B365)</f>
        <v>0.38521401178483283</v>
      </c>
    </row>
    <row r="366" spans="1:25" x14ac:dyDescent="0.25">
      <c r="A366" s="20">
        <v>37.300000000000303</v>
      </c>
      <c r="B366" s="41">
        <f t="shared" si="5"/>
        <v>117.18140597890023</v>
      </c>
      <c r="C366" s="15" cm="1">
        <f t="array" ref="C366">EVAL($AG$6,B366)</f>
        <v>386.75632935332993</v>
      </c>
      <c r="D366" s="15" cm="1">
        <f t="array" ref="D366">EVAL($AG$7,B366)</f>
        <v>4.0460550531069641</v>
      </c>
      <c r="F366" s="15" cm="1">
        <f t="array" ref="F366">EVAL($AG$9,B366)</f>
        <v>2.6822743130475355</v>
      </c>
      <c r="G366" s="15" cm="1">
        <f t="array" ref="G366">EVAL($AG$10,B366)</f>
        <v>2.6822743130475355</v>
      </c>
      <c r="H366" s="15" cm="1">
        <f t="array" ref="H366">EVAL($AG$11,B366)</f>
        <v>2.6822743130475355</v>
      </c>
      <c r="I366" s="15" cm="1">
        <f t="array" ref="I366">EVAL($AG$12,B366)</f>
        <v>2.5253966182343075</v>
      </c>
      <c r="J366" s="15" cm="1">
        <f t="array" ref="J366">EVAL($AG$13,B366)</f>
        <v>149.21664128593324</v>
      </c>
      <c r="K366" s="15" cm="1">
        <f t="array" ref="K366">EVAL($AG$14,B366)</f>
        <v>1.8173608299130168</v>
      </c>
      <c r="L366" s="15" cm="1">
        <f t="array" ref="L366">EVAL($AG$15,B366)</f>
        <v>81.294334403731298</v>
      </c>
      <c r="M366" s="15" cm="1">
        <f t="array" ref="M366">EVAL($AG$16,B366)</f>
        <v>1.0355592328090775</v>
      </c>
      <c r="N366" s="15" cm="1">
        <f t="array" ref="N366">EVAL($AG$17,B366)</f>
        <v>44.314422908986579</v>
      </c>
      <c r="O366" s="15" cm="1">
        <f t="array" ref="O366">EVAL($AG$18,B366)</f>
        <v>7.7077109169627631E-3</v>
      </c>
      <c r="P366" s="15" cm="1">
        <f t="array" ref="P366">EVAL($AG$19,B366)</f>
        <v>7.7077109169627631E-3</v>
      </c>
      <c r="Q366" s="15" cm="1">
        <f t="array" ref="Q366">EVAL($AH$6,B366)</f>
        <v>1.3035589943938521</v>
      </c>
      <c r="R366" s="15" cm="1">
        <f t="array" ref="R366">EVAL($AH$7,B366)</f>
        <v>1.3035589943938521</v>
      </c>
      <c r="T366" s="15" cm="1">
        <f t="array" ref="T366">EVAL($AH$9,B366)</f>
        <v>0.85560687476933595</v>
      </c>
      <c r="U366" s="15" cm="1">
        <f t="array" ref="U366">EVAL($AH$10,B366)</f>
        <v>0.85560687476933595</v>
      </c>
      <c r="V366" s="15" cm="1">
        <f t="array" ref="V366">EVAL($AH$11,B366)</f>
        <v>0.85560687476933595</v>
      </c>
      <c r="W366" s="15" cm="1">
        <f t="array" ref="W366">EVAL($AH$12,B366)</f>
        <v>48.936252235469617</v>
      </c>
      <c r="X366" s="15" cm="1">
        <f t="array" ref="X366">EVAL($AH$13,B366)</f>
        <v>0.38548339395504866</v>
      </c>
      <c r="Y366" s="15" cm="1">
        <f t="array" ref="Y366">EVAL($AH$14,B366)</f>
        <v>0.38548339395504866</v>
      </c>
    </row>
    <row r="367" spans="1:25" x14ac:dyDescent="0.25">
      <c r="A367" s="20">
        <v>37.400000000000297</v>
      </c>
      <c r="B367" s="41">
        <f t="shared" si="5"/>
        <v>117.4955652442592</v>
      </c>
      <c r="C367" s="15" cm="1">
        <f t="array" ref="C367">EVAL($AG$6,B367)</f>
        <v>387.47303587668381</v>
      </c>
      <c r="D367" s="15" cm="1">
        <f t="array" ref="D367">EVAL($AG$7,B367)</f>
        <v>4.0491045566775368</v>
      </c>
      <c r="F367" s="15" cm="1">
        <f t="array" ref="F367">EVAL($AG$9,B367)</f>
        <v>2.6895813310048093</v>
      </c>
      <c r="G367" s="15" cm="1">
        <f t="array" ref="G367">EVAL($AG$10,B367)</f>
        <v>2.6895813310048093</v>
      </c>
      <c r="H367" s="15" cm="1">
        <f t="array" ref="H367">EVAL($AG$11,B367)</f>
        <v>2.6895813310048093</v>
      </c>
      <c r="I367" s="15" cm="1">
        <f t="array" ref="I367">EVAL($AG$12,B367)</f>
        <v>2.5317895247721669</v>
      </c>
      <c r="J367" s="15" cm="1">
        <f t="array" ref="J367">EVAL($AG$13,B367)</f>
        <v>149.51649424925765</v>
      </c>
      <c r="K367" s="15" cm="1">
        <f t="array" ref="K367">EVAL($AG$14,B367)</f>
        <v>1.8215609354378224</v>
      </c>
      <c r="L367" s="15" cm="1">
        <f t="array" ref="L367">EVAL($AG$15,B367)</f>
        <v>81.42675500279951</v>
      </c>
      <c r="M367" s="15" cm="1">
        <f t="array" ref="M367">EVAL($AG$16,B367)</f>
        <v>1.0369736608362585</v>
      </c>
      <c r="N367" s="15" cm="1">
        <f t="array" ref="N367">EVAL($AG$17,B367)</f>
        <v>44.362904620618067</v>
      </c>
      <c r="O367" s="15" cm="1">
        <f t="array" ref="O367">EVAL($AG$18,B367)</f>
        <v>7.6963074020191926E-3</v>
      </c>
      <c r="P367" s="15" cm="1">
        <f t="array" ref="P367">EVAL($AG$19,B367)</f>
        <v>7.6963074020191926E-3</v>
      </c>
      <c r="Q367" s="15" cm="1">
        <f t="array" ref="Q367">EVAL($AH$6,B367)</f>
        <v>1.3050022593204609</v>
      </c>
      <c r="R367" s="15" cm="1">
        <f t="array" ref="R367">EVAL($AH$7,B367)</f>
        <v>1.3050022593204609</v>
      </c>
      <c r="T367" s="15" cm="1">
        <f t="array" ref="T367">EVAL($AH$9,B367)</f>
        <v>0.85650212257777081</v>
      </c>
      <c r="U367" s="15" cm="1">
        <f t="array" ref="U367">EVAL($AH$10,B367)</f>
        <v>0.85650212257777081</v>
      </c>
      <c r="V367" s="15" cm="1">
        <f t="array" ref="V367">EVAL($AH$11,B367)</f>
        <v>0.85650212257777081</v>
      </c>
      <c r="W367" s="15" cm="1">
        <f t="array" ref="W367">EVAL($AH$12,B367)</f>
        <v>49.130310992017954</v>
      </c>
      <c r="X367" s="15" cm="1">
        <f t="array" ref="X367">EVAL($AH$13,B367)</f>
        <v>0.38575224251136625</v>
      </c>
      <c r="Y367" s="15" cm="1">
        <f t="array" ref="Y367">EVAL($AH$14,B367)</f>
        <v>0.38575224251136625</v>
      </c>
    </row>
    <row r="368" spans="1:25" x14ac:dyDescent="0.25">
      <c r="A368" s="20">
        <v>37.500000000000298</v>
      </c>
      <c r="B368" s="41">
        <f t="shared" si="5"/>
        <v>117.80972450961818</v>
      </c>
      <c r="C368" s="15" cm="1">
        <f t="array" ref="C368">EVAL($AG$6,B368)</f>
        <v>388.18915145591779</v>
      </c>
      <c r="D368" s="15" cm="1">
        <f t="array" ref="D368">EVAL($AG$7,B368)</f>
        <v>4.0521482065772156</v>
      </c>
      <c r="F368" s="15" cm="1">
        <f t="array" ref="F368">EVAL($AG$9,B368)</f>
        <v>2.696888663522675</v>
      </c>
      <c r="G368" s="15" cm="1">
        <f t="array" ref="G368">EVAL($AG$10,B368)</f>
        <v>2.696888663522675</v>
      </c>
      <c r="H368" s="15" cm="1">
        <f t="array" ref="H368">EVAL($AG$11,B368)</f>
        <v>2.696888663522675</v>
      </c>
      <c r="I368" s="15" cm="1">
        <f t="array" ref="I368">EVAL($AG$12,B368)</f>
        <v>2.5381814792811088</v>
      </c>
      <c r="J368" s="15" cm="1">
        <f t="array" ref="J368">EVAL($AG$13,B368)</f>
        <v>149.8161466825745</v>
      </c>
      <c r="K368" s="15" cm="1">
        <f t="array" ref="K368">EVAL($AG$14,B368)</f>
        <v>1.8257594937202024</v>
      </c>
      <c r="L368" s="15" cm="1">
        <f t="array" ref="L368">EVAL($AG$15,B368)</f>
        <v>81.559036845229087</v>
      </c>
      <c r="M368" s="15" cm="1">
        <f t="array" ref="M368">EVAL($AG$16,B368)</f>
        <v>1.0383862361910925</v>
      </c>
      <c r="N368" s="15" cm="1">
        <f t="array" ref="N368">EVAL($AG$17,B368)</f>
        <v>44.411309703500649</v>
      </c>
      <c r="O368" s="15" cm="1">
        <f t="array" ref="O368">EVAL($AG$18,B368)</f>
        <v>7.6849511410275705E-3</v>
      </c>
      <c r="P368" s="15" cm="1">
        <f t="array" ref="P368">EVAL($AG$19,B368)</f>
        <v>7.6849511410275705E-3</v>
      </c>
      <c r="Q368" s="15" cm="1">
        <f t="array" ref="Q368">EVAL($AH$6,B368)</f>
        <v>1.3064432619448871</v>
      </c>
      <c r="R368" s="15" cm="1">
        <f t="array" ref="R368">EVAL($AH$7,B368)</f>
        <v>1.3064432619448871</v>
      </c>
      <c r="T368" s="15" cm="1">
        <f t="array" ref="T368">EVAL($AH$9,B368)</f>
        <v>0.85739591284441896</v>
      </c>
      <c r="U368" s="15" cm="1">
        <f t="array" ref="U368">EVAL($AH$10,B368)</f>
        <v>0.85739591284441896</v>
      </c>
      <c r="V368" s="15" cm="1">
        <f t="array" ref="V368">EVAL($AH$11,B368)</f>
        <v>0.85739591284441896</v>
      </c>
      <c r="W368" s="15" cm="1">
        <f t="array" ref="W368">EVAL($AH$12,B368)</f>
        <v>49.324618032880998</v>
      </c>
      <c r="X368" s="15" cm="1">
        <f t="array" ref="X368">EVAL($AH$13,B368)</f>
        <v>0.38602055993335693</v>
      </c>
      <c r="Y368" s="15" cm="1">
        <f t="array" ref="Y368">EVAL($AH$14,B368)</f>
        <v>0.38602055993335693</v>
      </c>
    </row>
    <row r="369" spans="1:25" x14ac:dyDescent="0.25">
      <c r="A369" s="20">
        <v>37.6000000000003</v>
      </c>
      <c r="B369" s="41">
        <f t="shared" si="5"/>
        <v>118.12388377497716</v>
      </c>
      <c r="C369" s="15" cm="1">
        <f t="array" ref="C369">EVAL($AG$6,B369)</f>
        <v>388.90467815219034</v>
      </c>
      <c r="D369" s="15" cm="1">
        <f t="array" ref="D369">EVAL($AG$7,B369)</f>
        <v>4.055186029607361</v>
      </c>
      <c r="F369" s="15" cm="1">
        <f t="array" ref="F369">EVAL($AG$9,B369)</f>
        <v>2.7041963097757882</v>
      </c>
      <c r="G369" s="15" cm="1">
        <f t="array" ref="G369">EVAL($AG$10,B369)</f>
        <v>2.7041963097757882</v>
      </c>
      <c r="H369" s="15" cm="1">
        <f t="array" ref="H369">EVAL($AG$11,B369)</f>
        <v>2.7041963097757882</v>
      </c>
      <c r="I369" s="15" cm="1">
        <f t="array" ref="I369">EVAL($AG$12,B369)</f>
        <v>2.5445724844410926</v>
      </c>
      <c r="J369" s="15" cm="1">
        <f t="array" ref="J369">EVAL($AG$13,B369)</f>
        <v>150.11559925420252</v>
      </c>
      <c r="K369" s="15" cm="1">
        <f t="array" ref="K369">EVAL($AG$14,B369)</f>
        <v>1.8299565094538472</v>
      </c>
      <c r="L369" s="15" cm="1">
        <f t="array" ref="L369">EVAL($AG$15,B369)</f>
        <v>81.691180445853661</v>
      </c>
      <c r="M369" s="15" cm="1">
        <f t="array" ref="M369">EVAL($AG$16,B369)</f>
        <v>1.0397969662310604</v>
      </c>
      <c r="N369" s="15" cm="1">
        <f t="array" ref="N369">EVAL($AG$17,B369)</f>
        <v>44.459638482611545</v>
      </c>
      <c r="O369" s="15" cm="1">
        <f t="array" ref="O369">EVAL($AG$18,B369)</f>
        <v>7.6736418129474586E-3</v>
      </c>
      <c r="P369" s="15" cm="1">
        <f t="array" ref="P369">EVAL($AG$19,B369)</f>
        <v>7.6736418129474586E-3</v>
      </c>
      <c r="Q369" s="15" cm="1">
        <f t="array" ref="Q369">EVAL($AH$6,B369)</f>
        <v>1.3078820118319214</v>
      </c>
      <c r="R369" s="15" cm="1">
        <f t="array" ref="R369">EVAL($AH$7,B369)</f>
        <v>1.3078820118319214</v>
      </c>
      <c r="T369" s="15" cm="1">
        <f t="array" ref="T369">EVAL($AH$9,B369)</f>
        <v>0.85828825181959556</v>
      </c>
      <c r="U369" s="15" cm="1">
        <f t="array" ref="U369">EVAL($AH$10,B369)</f>
        <v>0.85828825181959556</v>
      </c>
      <c r="V369" s="15" cm="1">
        <f t="array" ref="V369">EVAL($AH$11,B369)</f>
        <v>0.85828825181959556</v>
      </c>
      <c r="W369" s="15" cm="1">
        <f t="array" ref="W369">EVAL($AH$12,B369)</f>
        <v>49.519173012358173</v>
      </c>
      <c r="X369" s="15" cm="1">
        <f t="array" ref="X369">EVAL($AH$13,B369)</f>
        <v>0.38628834868249512</v>
      </c>
      <c r="Y369" s="15" cm="1">
        <f t="array" ref="Y369">EVAL($AH$14,B369)</f>
        <v>0.38628834868249512</v>
      </c>
    </row>
    <row r="370" spans="1:25" x14ac:dyDescent="0.25">
      <c r="A370" s="20">
        <v>37.700000000000301</v>
      </c>
      <c r="B370" s="41">
        <f t="shared" si="5"/>
        <v>118.43804304033614</v>
      </c>
      <c r="C370" s="15" cm="1">
        <f t="array" ref="C370">EVAL($AG$6,B370)</f>
        <v>389.61961801400935</v>
      </c>
      <c r="D370" s="15" cm="1">
        <f t="array" ref="D370">EVAL($AG$7,B370)</f>
        <v>4.0582180523757323</v>
      </c>
      <c r="F370" s="15" cm="1">
        <f t="array" ref="F370">EVAL($AG$9,B370)</f>
        <v>2.7115042689431568</v>
      </c>
      <c r="G370" s="15" cm="1">
        <f t="array" ref="G370">EVAL($AG$10,B370)</f>
        <v>2.7115042689431568</v>
      </c>
      <c r="H370" s="15" cm="1">
        <f t="array" ref="H370">EVAL($AG$11,B370)</f>
        <v>2.7115042689431568</v>
      </c>
      <c r="I370" s="15" cm="1">
        <f t="array" ref="I370">EVAL($AG$12,B370)</f>
        <v>2.5509625429174245</v>
      </c>
      <c r="J370" s="15" cm="1">
        <f t="array" ref="J370">EVAL($AG$13,B370)</f>
        <v>150.41485262846246</v>
      </c>
      <c r="K370" s="15" cm="1">
        <f t="array" ref="K370">EVAL($AG$14,B370)</f>
        <v>1.8341519873057615</v>
      </c>
      <c r="L370" s="15" cm="1">
        <f t="array" ref="L370">EVAL($AG$15,B370)</f>
        <v>81.823186316233247</v>
      </c>
      <c r="M370" s="15" cm="1">
        <f t="array" ref="M370">EVAL($AG$16,B370)</f>
        <v>1.0412058582649462</v>
      </c>
      <c r="N370" s="15" cm="1">
        <f t="array" ref="N370">EVAL($AG$17,B370)</f>
        <v>44.507891280689762</v>
      </c>
      <c r="O370" s="15" cm="1">
        <f t="array" ref="O370">EVAL($AG$18,B370)</f>
        <v>7.662379099765834E-3</v>
      </c>
      <c r="P370" s="15" cm="1">
        <f t="array" ref="P370">EVAL($AG$19,B370)</f>
        <v>7.662379099765834E-3</v>
      </c>
      <c r="Q370" s="15" cm="1">
        <f t="array" ref="Q370">EVAL($AH$6,B370)</f>
        <v>1.3093185184806053</v>
      </c>
      <c r="R370" s="15" cm="1">
        <f t="array" ref="R370">EVAL($AH$7,B370)</f>
        <v>1.3093185184806053</v>
      </c>
      <c r="T370" s="15" cm="1">
        <f t="array" ref="T370">EVAL($AH$9,B370)</f>
        <v>0.85917914571027476</v>
      </c>
      <c r="U370" s="15" cm="1">
        <f t="array" ref="U370">EVAL($AH$10,B370)</f>
        <v>0.85917914571027476</v>
      </c>
      <c r="V370" s="15" cm="1">
        <f t="array" ref="V370">EVAL($AH$11,B370)</f>
        <v>0.85917914571027476</v>
      </c>
      <c r="W370" s="15" cm="1">
        <f t="array" ref="W370">EVAL($AH$12,B370)</f>
        <v>49.713975586149068</v>
      </c>
      <c r="X370" s="15" cm="1">
        <f t="array" ref="X370">EVAL($AH$13,B370)</f>
        <v>0.38655561120233817</v>
      </c>
      <c r="Y370" s="15" cm="1">
        <f t="array" ref="Y370">EVAL($AH$14,B370)</f>
        <v>0.38655561120233817</v>
      </c>
    </row>
    <row r="371" spans="1:25" x14ac:dyDescent="0.25">
      <c r="A371" s="20">
        <v>37.800000000000303</v>
      </c>
      <c r="B371" s="41">
        <f t="shared" si="5"/>
        <v>118.75220230569514</v>
      </c>
      <c r="C371" s="15" cm="1">
        <f t="array" ref="C371">EVAL($AG$6,B371)</f>
        <v>390.33397307734475</v>
      </c>
      <c r="D371" s="15" cm="1">
        <f t="array" ref="D371">EVAL($AG$7,B371)</f>
        <v>4.0612443012984043</v>
      </c>
      <c r="F371" s="15" cm="1">
        <f t="array" ref="F371">EVAL($AG$9,B371)</f>
        <v>2.7188125402081176</v>
      </c>
      <c r="G371" s="15" cm="1">
        <f t="array" ref="G371">EVAL($AG$10,B371)</f>
        <v>2.7188125402081176</v>
      </c>
      <c r="H371" s="15" cm="1">
        <f t="array" ref="H371">EVAL($AG$11,B371)</f>
        <v>2.7188125402081176</v>
      </c>
      <c r="I371" s="15" cm="1">
        <f t="array" ref="I371">EVAL($AG$12,B371)</f>
        <v>2.5573516573608792</v>
      </c>
      <c r="J371" s="15" cm="1">
        <f t="array" ref="J371">EVAL($AG$13,B371)</f>
        <v>150.71390746571106</v>
      </c>
      <c r="K371" s="15" cm="1">
        <f t="array" ref="K371">EVAL($AG$14,B371)</f>
        <v>1.8383459319164932</v>
      </c>
      <c r="L371" s="15" cm="1">
        <f t="array" ref="L371">EVAL($AG$15,B371)</f>
        <v>81.955054964683583</v>
      </c>
      <c r="M371" s="15" cm="1">
        <f t="array" ref="M371">EVAL($AG$16,B371)</f>
        <v>1.0426129195532889</v>
      </c>
      <c r="N371" s="15" cm="1">
        <f t="array" ref="N371">EVAL($AG$17,B371)</f>
        <v>44.556068418257496</v>
      </c>
      <c r="O371" s="15" cm="1">
        <f t="array" ref="O371">EVAL($AG$18,B371)</f>
        <v>7.6511626864605893E-3</v>
      </c>
      <c r="P371" s="15" cm="1">
        <f t="array" ref="P371">EVAL($AG$19,B371)</f>
        <v>7.6511626864605893E-3</v>
      </c>
      <c r="Q371" s="15" cm="1">
        <f t="array" ref="Q371">EVAL($AH$6,B371)</f>
        <v>1.3107527913248558</v>
      </c>
      <c r="R371" s="15" cm="1">
        <f t="array" ref="R371">EVAL($AH$7,B371)</f>
        <v>1.3107527913248558</v>
      </c>
      <c r="T371" s="15" cm="1">
        <f t="array" ref="T371">EVAL($AH$9,B371)</f>
        <v>0.86006860068050384</v>
      </c>
      <c r="U371" s="15" cm="1">
        <f t="array" ref="U371">EVAL($AH$10,B371)</f>
        <v>0.86006860068050384</v>
      </c>
      <c r="V371" s="15" cm="1">
        <f t="array" ref="V371">EVAL($AH$11,B371)</f>
        <v>0.86006860068050384</v>
      </c>
      <c r="W371" s="15" cm="1">
        <f t="array" ref="W371">EVAL($AH$12,B371)</f>
        <v>49.909025411343883</v>
      </c>
      <c r="X371" s="15" cm="1">
        <f t="array" ref="X371">EVAL($AH$13,B371)</f>
        <v>0.38682234991870368</v>
      </c>
      <c r="Y371" s="15" cm="1">
        <f t="array" ref="Y371">EVAL($AH$14,B371)</f>
        <v>0.38682234991870368</v>
      </c>
    </row>
    <row r="372" spans="1:25" x14ac:dyDescent="0.25">
      <c r="A372" s="20">
        <v>37.900000000000297</v>
      </c>
      <c r="B372" s="41">
        <f t="shared" si="5"/>
        <v>119.06636157105409</v>
      </c>
      <c r="C372" s="15" cm="1">
        <f t="array" ref="C372">EVAL($AG$6,B372)</f>
        <v>391.04774536573734</v>
      </c>
      <c r="D372" s="15" cm="1">
        <f t="array" ref="D372">EVAL($AG$7,B372)</f>
        <v>4.0642648026016408</v>
      </c>
      <c r="F372" s="15" cm="1">
        <f t="array" ref="F372">EVAL($AG$9,B372)</f>
        <v>2.7261211227582867</v>
      </c>
      <c r="G372" s="15" cm="1">
        <f t="array" ref="G372">EVAL($AG$10,B372)</f>
        <v>2.7261211227582867</v>
      </c>
      <c r="H372" s="15" cm="1">
        <f t="array" ref="H372">EVAL($AG$11,B372)</f>
        <v>2.7261211227582867</v>
      </c>
      <c r="I372" s="15" cm="1">
        <f t="array" ref="I372">EVAL($AG$12,B372)</f>
        <v>2.5637398304078176</v>
      </c>
      <c r="J372" s="15" cm="1">
        <f t="array" ref="J372">EVAL($AG$13,B372)</f>
        <v>151.01276442237534</v>
      </c>
      <c r="K372" s="15" cm="1">
        <f t="array" ref="K372">EVAL($AG$14,B372)</f>
        <v>1.8425383479003499</v>
      </c>
      <c r="L372" s="15" cm="1">
        <f t="array" ref="L372">EVAL($AG$15,B372)</f>
        <v>82.086786896305426</v>
      </c>
      <c r="M372" s="15" cm="1">
        <f t="array" ref="M372">EVAL($AG$16,B372)</f>
        <v>1.0440181573088265</v>
      </c>
      <c r="N372" s="15" cm="1">
        <f t="array" ref="N372">EVAL($AG$17,B372)</f>
        <v>44.604170213641098</v>
      </c>
      <c r="O372" s="15" cm="1">
        <f t="array" ref="O372">EVAL($AG$18,B372)</f>
        <v>7.6399922609646006E-3</v>
      </c>
      <c r="P372" s="15" cm="1">
        <f t="array" ref="P372">EVAL($AG$19,B372)</f>
        <v>7.6399922609646006E-3</v>
      </c>
      <c r="Q372" s="15" cm="1">
        <f t="array" ref="Q372">EVAL($AH$6,B372)</f>
        <v>1.3121848397340812</v>
      </c>
      <c r="R372" s="15" cm="1">
        <f t="array" ref="R372">EVAL($AH$7,B372)</f>
        <v>1.3121848397340812</v>
      </c>
      <c r="T372" s="15" cm="1">
        <f t="array" ref="T372">EVAL($AH$9,B372)</f>
        <v>0.86095662285181218</v>
      </c>
      <c r="U372" s="15" cm="1">
        <f t="array" ref="U372">EVAL($AH$10,B372)</f>
        <v>0.86095662285181218</v>
      </c>
      <c r="V372" s="15" cm="1">
        <f t="array" ref="V372">EVAL($AH$11,B372)</f>
        <v>0.86095662285181218</v>
      </c>
      <c r="W372" s="15" cm="1">
        <f t="array" ref="W372">EVAL($AH$12,B372)</f>
        <v>50.104322146414155</v>
      </c>
      <c r="X372" s="15" cm="1">
        <f t="array" ref="X372">EVAL($AH$13,B372)</f>
        <v>0.38708856723984503</v>
      </c>
      <c r="Y372" s="15" cm="1">
        <f t="array" ref="Y372">EVAL($AH$14,B372)</f>
        <v>0.38708856723984503</v>
      </c>
    </row>
    <row r="373" spans="1:25" x14ac:dyDescent="0.25">
      <c r="A373" s="20">
        <v>38.000000000000298</v>
      </c>
      <c r="B373" s="41">
        <f t="shared" si="5"/>
        <v>119.38052083641307</v>
      </c>
      <c r="C373" s="15" cm="1">
        <f t="array" ref="C373">EVAL($AG$6,B373)</f>
        <v>391.76093689040749</v>
      </c>
      <c r="D373" s="15" cm="1">
        <f t="array" ref="D373">EVAL($AG$7,B373)</f>
        <v>4.06727958232376</v>
      </c>
      <c r="F373" s="15" cm="1">
        <f t="array" ref="F373">EVAL($AG$9,B373)</f>
        <v>2.7334300157855407</v>
      </c>
      <c r="G373" s="15" cm="1">
        <f t="array" ref="G373">EVAL($AG$10,B373)</f>
        <v>2.7334300157855407</v>
      </c>
      <c r="H373" s="15" cm="1">
        <f t="array" ref="H373">EVAL($AG$11,B373)</f>
        <v>2.7334300157855407</v>
      </c>
      <c r="I373" s="15" cm="1">
        <f t="array" ref="I373">EVAL($AG$12,B373)</f>
        <v>2.5701270646803072</v>
      </c>
      <c r="J373" s="15" cm="1">
        <f t="array" ref="J373">EVAL($AG$13,B373)</f>
        <v>151.31142415098643</v>
      </c>
      <c r="K373" s="15" cm="1">
        <f t="array" ref="K373">EVAL($AG$14,B373)</f>
        <v>1.8467292398456157</v>
      </c>
      <c r="L373" s="15" cm="1">
        <f t="array" ref="L373">EVAL($AG$15,B373)</f>
        <v>82.218382613012977</v>
      </c>
      <c r="M373" s="15" cm="1">
        <f t="array" ref="M373">EVAL($AG$16,B373)</f>
        <v>1.0454215786969379</v>
      </c>
      <c r="N373" s="15" cm="1">
        <f t="array" ref="N373">EVAL($AG$17,B373)</f>
        <v>44.652196982991924</v>
      </c>
      <c r="O373" s="15" cm="1">
        <f t="array" ref="O373">EVAL($AG$18,B373)</f>
        <v>7.6288675141302931E-3</v>
      </c>
      <c r="P373" s="15" cm="1">
        <f t="array" ref="P373">EVAL($AG$19,B373)</f>
        <v>7.6288675141302931E-3</v>
      </c>
      <c r="Q373" s="15" cm="1">
        <f t="array" ref="Q373">EVAL($AH$6,B373)</f>
        <v>1.313614673013793</v>
      </c>
      <c r="R373" s="15" cm="1">
        <f t="array" ref="R373">EVAL($AH$7,B373)</f>
        <v>1.313614673013793</v>
      </c>
      <c r="T373" s="15" cm="1">
        <f t="array" ref="T373">EVAL($AH$9,B373)</f>
        <v>0.8618432183036171</v>
      </c>
      <c r="U373" s="15" cm="1">
        <f t="array" ref="U373">EVAL($AH$10,B373)</f>
        <v>0.8618432183036171</v>
      </c>
      <c r="V373" s="15" cm="1">
        <f t="array" ref="V373">EVAL($AH$11,B373)</f>
        <v>0.8618432183036171</v>
      </c>
      <c r="W373" s="15" cm="1">
        <f t="array" ref="W373">EVAL($AH$12,B373)</f>
        <v>50.2998654512038</v>
      </c>
      <c r="X373" s="15" cm="1">
        <f t="array" ref="X373">EVAL($AH$13,B373)</f>
        <v>0.38735426555662472</v>
      </c>
      <c r="Y373" s="15" cm="1">
        <f t="array" ref="Y373">EVAL($AH$14,B373)</f>
        <v>0.38735426555662472</v>
      </c>
    </row>
    <row r="374" spans="1:25" x14ac:dyDescent="0.25">
      <c r="A374" s="20">
        <v>38.1000000000003</v>
      </c>
      <c r="B374" s="41">
        <f t="shared" si="5"/>
        <v>119.69468010177206</v>
      </c>
      <c r="C374" s="15" cm="1">
        <f t="array" ref="C374">EVAL($AG$6,B374)</f>
        <v>392.47354965036254</v>
      </c>
      <c r="D374" s="15" cm="1">
        <f t="array" ref="D374">EVAL($AG$7,B374)</f>
        <v>4.0702886663169764</v>
      </c>
      <c r="F374" s="15" cm="1">
        <f t="array" ref="F374">EVAL($AG$9,B374)</f>
        <v>2.7407392184859636</v>
      </c>
      <c r="G374" s="15" cm="1">
        <f t="array" ref="G374">EVAL($AG$10,B374)</f>
        <v>2.7407392184859636</v>
      </c>
      <c r="H374" s="15" cm="1">
        <f t="array" ref="H374">EVAL($AG$11,B374)</f>
        <v>2.7407392184859636</v>
      </c>
      <c r="I374" s="15" cm="1">
        <f t="array" ref="I374">EVAL($AG$12,B374)</f>
        <v>2.5765133627862218</v>
      </c>
      <c r="J374" s="15" cm="1">
        <f t="array" ref="J374">EVAL($AG$13,B374)</f>
        <v>151.60988730021242</v>
      </c>
      <c r="K374" s="15" cm="1">
        <f t="array" ref="K374">EVAL($AG$14,B374)</f>
        <v>1.8509186123147632</v>
      </c>
      <c r="L374" s="15" cm="1">
        <f t="array" ref="L374">EVAL($AG$15,B374)</f>
        <v>82.349842613562728</v>
      </c>
      <c r="M374" s="15" cm="1">
        <f t="array" ref="M374">EVAL($AG$16,B374)</f>
        <v>1.0468231908360752</v>
      </c>
      <c r="N374" s="15" cm="1">
        <f t="array" ref="N374">EVAL($AG$17,B374)</f>
        <v>44.700149040306805</v>
      </c>
      <c r="O374" s="15" cm="1">
        <f t="array" ref="O374">EVAL($AG$18,B374)</f>
        <v>7.6177881396947205E-3</v>
      </c>
      <c r="P374" s="15" cm="1">
        <f t="array" ref="P374">EVAL($AG$19,B374)</f>
        <v>7.6177881396947205E-3</v>
      </c>
      <c r="Q374" s="15" cm="1">
        <f t="array" ref="Q374">EVAL($AH$6,B374)</f>
        <v>1.3150423004062075</v>
      </c>
      <c r="R374" s="15" cm="1">
        <f t="array" ref="R374">EVAL($AH$7,B374)</f>
        <v>1.3150423004062075</v>
      </c>
      <c r="T374" s="15" cm="1">
        <f t="array" ref="T374">EVAL($AH$9,B374)</f>
        <v>0.86272839307362237</v>
      </c>
      <c r="U374" s="15" cm="1">
        <f t="array" ref="U374">EVAL($AH$10,B374)</f>
        <v>0.86272839307362237</v>
      </c>
      <c r="V374" s="15" cm="1">
        <f t="array" ref="V374">EVAL($AH$11,B374)</f>
        <v>0.86272839307362237</v>
      </c>
      <c r="W374" s="15" cm="1">
        <f t="array" ref="W374">EVAL($AH$12,B374)</f>
        <v>50.495654986919774</v>
      </c>
      <c r="X374" s="15" cm="1">
        <f t="array" ref="X374">EVAL($AH$13,B374)</f>
        <v>0.38761944724268471</v>
      </c>
      <c r="Y374" s="15" cm="1">
        <f t="array" ref="Y374">EVAL($AH$14,B374)</f>
        <v>0.38761944724268471</v>
      </c>
    </row>
    <row r="375" spans="1:25" x14ac:dyDescent="0.25">
      <c r="A375" s="20">
        <v>38.200000000000301</v>
      </c>
      <c r="B375" s="41">
        <f t="shared" si="5"/>
        <v>120.00883936713105</v>
      </c>
      <c r="C375" s="15" cm="1">
        <f t="array" ref="C375">EVAL($AG$6,B375)</f>
        <v>393.18558563250218</v>
      </c>
      <c r="D375" s="15" cm="1">
        <f t="array" ref="D375">EVAL($AG$7,B375)</f>
        <v>4.0732920802492076</v>
      </c>
      <c r="F375" s="15" cm="1">
        <f t="array" ref="F375">EVAL($AG$9,B375)</f>
        <v>2.7480487300598382</v>
      </c>
      <c r="G375" s="15" cm="1">
        <f t="array" ref="G375">EVAL($AG$10,B375)</f>
        <v>2.7480487300598382</v>
      </c>
      <c r="H375" s="15" cm="1">
        <f t="array" ref="H375">EVAL($AG$11,B375)</f>
        <v>2.7480487300598382</v>
      </c>
      <c r="I375" s="15" cm="1">
        <f t="array" ref="I375">EVAL($AG$12,B375)</f>
        <v>2.5828987273193711</v>
      </c>
      <c r="J375" s="15" cm="1">
        <f t="array" ref="J375">EVAL($AG$13,B375)</f>
        <v>151.90815451489186</v>
      </c>
      <c r="K375" s="15" cm="1">
        <f t="array" ref="K375">EVAL($AG$14,B375)</f>
        <v>1.8551064698446762</v>
      </c>
      <c r="L375" s="15" cm="1">
        <f t="array" ref="L375">EVAL($AG$15,B375)</f>
        <v>82.481167393581188</v>
      </c>
      <c r="M375" s="15" cm="1">
        <f t="array" ref="M375">EVAL($AG$16,B375)</f>
        <v>1.0482230007981947</v>
      </c>
      <c r="N375" s="15" cm="1">
        <f t="array" ref="N375">EVAL($AG$17,B375)</f>
        <v>44.748026697448438</v>
      </c>
      <c r="O375" s="15" cm="1">
        <f t="array" ref="O375">EVAL($AG$18,B375)</f>
        <v>7.6067538342451859E-3</v>
      </c>
      <c r="P375" s="15" cm="1">
        <f t="array" ref="P375">EVAL($AG$19,B375)</f>
        <v>7.6067538342451859E-3</v>
      </c>
      <c r="Q375" s="15" cm="1">
        <f t="array" ref="Q375">EVAL($AH$6,B375)</f>
        <v>1.3164677310908419</v>
      </c>
      <c r="R375" s="15" cm="1">
        <f t="array" ref="R375">EVAL($AH$7,B375)</f>
        <v>1.3164677310908419</v>
      </c>
      <c r="T375" s="15" cm="1">
        <f t="array" ref="T375">EVAL($AH$9,B375)</f>
        <v>0.86361215315821405</v>
      </c>
      <c r="U375" s="15" cm="1">
        <f t="array" ref="U375">EVAL($AH$10,B375)</f>
        <v>0.86361215315821405</v>
      </c>
      <c r="V375" s="15" cm="1">
        <f t="array" ref="V375">EVAL($AH$11,B375)</f>
        <v>0.86361215315821405</v>
      </c>
      <c r="W375" s="15" cm="1">
        <f t="array" ref="W375">EVAL($AH$12,B375)</f>
        <v>50.691690416123109</v>
      </c>
      <c r="X375" s="15" cm="1">
        <f t="array" ref="X375">EVAL($AH$13,B375)</f>
        <v>0.38788411465461597</v>
      </c>
      <c r="Y375" s="15" cm="1">
        <f t="array" ref="Y375">EVAL($AH$14,B375)</f>
        <v>0.38788411465461597</v>
      </c>
    </row>
    <row r="376" spans="1:25" x14ac:dyDescent="0.25">
      <c r="A376" s="20">
        <v>38.300000000000303</v>
      </c>
      <c r="B376" s="41">
        <f t="shared" si="5"/>
        <v>120.32299863249003</v>
      </c>
      <c r="C376" s="15" cm="1">
        <f t="array" ref="C376">EVAL($AG$6,B376)</f>
        <v>393.89704681172344</v>
      </c>
      <c r="D376" s="15" cm="1">
        <f t="array" ref="D376">EVAL($AG$7,B376)</f>
        <v>4.0762898496058666</v>
      </c>
      <c r="F376" s="15" cm="1">
        <f t="array" ref="F376">EVAL($AG$9,B376)</f>
        <v>2.7553585497115907</v>
      </c>
      <c r="G376" s="15" cm="1">
        <f t="array" ref="G376">EVAL($AG$10,B376)</f>
        <v>2.7553585497115907</v>
      </c>
      <c r="H376" s="15" cm="1">
        <f t="array" ref="H376">EVAL($AG$11,B376)</f>
        <v>2.7553585497115907</v>
      </c>
      <c r="I376" s="15" cm="1">
        <f t="array" ref="I376">EVAL($AG$12,B376)</f>
        <v>2.5892831608596047</v>
      </c>
      <c r="J376" s="15" cm="1">
        <f t="array" ref="J376">EVAL($AG$13,B376)</f>
        <v>152.20622643606569</v>
      </c>
      <c r="K376" s="15" cm="1">
        <f t="array" ref="K376">EVAL($AG$14,B376)</f>
        <v>1.8592928169468461</v>
      </c>
      <c r="L376" s="15" cm="1">
        <f t="array" ref="L376">EVAL($AG$15,B376)</f>
        <v>82.612357445592735</v>
      </c>
      <c r="M376" s="15" cm="1">
        <f t="array" ref="M376">EVAL($AG$16,B376)</f>
        <v>1.0496210156091803</v>
      </c>
      <c r="N376" s="15" cm="1">
        <f t="array" ref="N376">EVAL($AG$17,B376)</f>
        <v>44.795830264165311</v>
      </c>
      <c r="O376" s="15" cm="1">
        <f t="array" ref="O376">EVAL($AG$18,B376)</f>
        <v>7.5957642971853281E-3</v>
      </c>
      <c r="P376" s="15" cm="1">
        <f t="array" ref="P376">EVAL($AG$19,B376)</f>
        <v>7.5957642971853281E-3</v>
      </c>
      <c r="Q376" s="15" cm="1">
        <f t="array" ref="Q376">EVAL($AH$6,B376)</f>
        <v>1.3178909741851006</v>
      </c>
      <c r="R376" s="15" cm="1">
        <f t="array" ref="R376">EVAL($AH$7,B376)</f>
        <v>1.3178909741851006</v>
      </c>
      <c r="T376" s="15" cm="1">
        <f t="array" ref="T376">EVAL($AH$9,B376)</f>
        <v>0.86449450451284893</v>
      </c>
      <c r="U376" s="15" cm="1">
        <f t="array" ref="U376">EVAL($AH$10,B376)</f>
        <v>0.86449450451284893</v>
      </c>
      <c r="V376" s="15" cm="1">
        <f t="array" ref="V376">EVAL($AH$11,B376)</f>
        <v>0.86449450451284893</v>
      </c>
      <c r="W376" s="15" cm="1">
        <f t="array" ref="W376">EVAL($AH$12,B376)</f>
        <v>50.887971402719749</v>
      </c>
      <c r="X376" s="15" cm="1">
        <f t="array" ref="X376">EVAL($AH$13,B376)</f>
        <v>0.38814827013212466</v>
      </c>
      <c r="Y376" s="15" cm="1">
        <f t="array" ref="Y376">EVAL($AH$14,B376)</f>
        <v>0.38814827013212466</v>
      </c>
    </row>
    <row r="377" spans="1:25" x14ac:dyDescent="0.25">
      <c r="A377" s="20">
        <v>38.400000000000297</v>
      </c>
      <c r="B377" s="41">
        <f t="shared" si="5"/>
        <v>120.63715789784899</v>
      </c>
      <c r="C377" s="15" cm="1">
        <f t="array" ref="C377">EVAL($AG$6,B377)</f>
        <v>394.60793515102557</v>
      </c>
      <c r="D377" s="15" cm="1">
        <f t="array" ref="D377">EVAL($AG$7,B377)</f>
        <v>4.079281999691645</v>
      </c>
      <c r="F377" s="15" cm="1">
        <f t="array" ref="F377">EVAL($AG$9,B377)</f>
        <v>2.762668676649771</v>
      </c>
      <c r="G377" s="15" cm="1">
        <f t="array" ref="G377">EVAL($AG$10,B377)</f>
        <v>2.762668676649771</v>
      </c>
      <c r="H377" s="15" cm="1">
        <f t="array" ref="H377">EVAL($AG$11,B377)</f>
        <v>2.762668676649771</v>
      </c>
      <c r="I377" s="15" cm="1">
        <f t="array" ref="I377">EVAL($AG$12,B377)</f>
        <v>2.5956666659729297</v>
      </c>
      <c r="J377" s="15" cm="1">
        <f t="array" ref="J377">EVAL($AG$13,B377)</f>
        <v>152.50410370101022</v>
      </c>
      <c r="K377" s="15" cm="1">
        <f t="array" ref="K377">EVAL($AG$14,B377)</f>
        <v>1.8634776581075927</v>
      </c>
      <c r="L377" s="15" cm="1">
        <f t="array" ref="L377">EVAL($AG$15,B377)</f>
        <v>82.743413259047401</v>
      </c>
      <c r="M377" s="15" cm="1">
        <f t="array" ref="M377">EVAL($AG$16,B377)</f>
        <v>1.0510172422492656</v>
      </c>
      <c r="N377" s="15" cm="1">
        <f t="array" ref="N377">EVAL($AG$17,B377)</f>
        <v>44.843560048111684</v>
      </c>
      <c r="O377" s="15" cm="1">
        <f t="array" ref="O377">EVAL($AG$18,B377)</f>
        <v>7.5848192307016865E-3</v>
      </c>
      <c r="P377" s="15" cm="1">
        <f t="array" ref="P377">EVAL($AG$19,B377)</f>
        <v>7.5848192307016865E-3</v>
      </c>
      <c r="Q377" s="15" cm="1">
        <f t="array" ref="Q377">EVAL($AH$6,B377)</f>
        <v>1.3193120387448607</v>
      </c>
      <c r="R377" s="15" cm="1">
        <f t="array" ref="R377">EVAL($AH$7,B377)</f>
        <v>1.3193120387448607</v>
      </c>
      <c r="T377" s="15" cm="1">
        <f t="array" ref="T377">EVAL($AH$9,B377)</f>
        <v>0.86537545305244268</v>
      </c>
      <c r="U377" s="15" cm="1">
        <f t="array" ref="U377">EVAL($AH$10,B377)</f>
        <v>0.86537545305244268</v>
      </c>
      <c r="V377" s="15" cm="1">
        <f t="array" ref="V377">EVAL($AH$11,B377)</f>
        <v>0.86537545305244268</v>
      </c>
      <c r="W377" s="15" cm="1">
        <f t="array" ref="W377">EVAL($AH$12,B377)</f>
        <v>51.084497611952266</v>
      </c>
      <c r="X377" s="15" cm="1">
        <f t="array" ref="X377">EVAL($AH$13,B377)</f>
        <v>0.38841191599819752</v>
      </c>
      <c r="Y377" s="15" cm="1">
        <f t="array" ref="Y377">EVAL($AH$14,B377)</f>
        <v>0.38841191599819752</v>
      </c>
    </row>
    <row r="378" spans="1:25" x14ac:dyDescent="0.25">
      <c r="A378" s="20">
        <v>38.500000000000298</v>
      </c>
      <c r="B378" s="41">
        <f t="shared" si="5"/>
        <v>120.95131716320797</v>
      </c>
      <c r="C378" s="15" cm="1">
        <f t="array" ref="C378">EVAL($AG$6,B378)</f>
        <v>395.31825260161094</v>
      </c>
      <c r="D378" s="15" cm="1">
        <f t="array" ref="D378">EVAL($AG$7,B378)</f>
        <v>4.0822685556322433</v>
      </c>
      <c r="F378" s="15" cm="1">
        <f t="array" ref="F378">EVAL($AG$9,B378)</f>
        <v>2.769979110087025</v>
      </c>
      <c r="G378" s="15" cm="1">
        <f t="array" ref="G378">EVAL($AG$10,B378)</f>
        <v>2.769979110087025</v>
      </c>
      <c r="H378" s="15" cm="1">
        <f t="array" ref="H378">EVAL($AG$11,B378)</f>
        <v>2.769979110087025</v>
      </c>
      <c r="I378" s="15" cm="1">
        <f t="array" ref="I378">EVAL($AG$12,B378)</f>
        <v>2.6020492452116168</v>
      </c>
      <c r="J378" s="15" cm="1">
        <f t="array" ref="J378">EVAL($AG$13,B378)</f>
        <v>152.80178694326841</v>
      </c>
      <c r="K378" s="15" cm="1">
        <f t="array" ref="K378">EVAL($AG$14,B378)</f>
        <v>1.867660997788261</v>
      </c>
      <c r="L378" s="15" cm="1">
        <f t="array" ref="L378">EVAL($AG$15,B378)</f>
        <v>82.874335320347626</v>
      </c>
      <c r="M378" s="15" cm="1">
        <f t="array" ref="M378">EVAL($AG$16,B378)</f>
        <v>1.0524116876534444</v>
      </c>
      <c r="N378" s="15" cm="1">
        <f t="array" ref="N378">EVAL($AG$17,B378)</f>
        <v>44.89121635486697</v>
      </c>
      <c r="O378" s="15" cm="1">
        <f t="array" ref="O378">EVAL($AG$18,B378)</f>
        <v>7.5739183397308162E-3</v>
      </c>
      <c r="P378" s="15" cm="1">
        <f t="array" ref="P378">EVAL($AG$19,B378)</f>
        <v>7.5739183397308162E-3</v>
      </c>
      <c r="Q378" s="15" cm="1">
        <f t="array" ref="Q378">EVAL($AH$6,B378)</f>
        <v>1.3207309337650412</v>
      </c>
      <c r="R378" s="15" cm="1">
        <f t="array" ref="R378">EVAL($AH$7,B378)</f>
        <v>1.3207309337650412</v>
      </c>
      <c r="T378" s="15" cm="1">
        <f t="array" ref="T378">EVAL($AH$9,B378)</f>
        <v>0.86625500465174776</v>
      </c>
      <c r="U378" s="15" cm="1">
        <f t="array" ref="U378">EVAL($AH$10,B378)</f>
        <v>0.86625500465174776</v>
      </c>
      <c r="V378" s="15" cm="1">
        <f t="array" ref="V378">EVAL($AH$11,B378)</f>
        <v>0.86625500465174776</v>
      </c>
      <c r="W378" s="15" cm="1">
        <f t="array" ref="W378">EVAL($AH$12,B378)</f>
        <v>51.281268710390471</v>
      </c>
      <c r="X378" s="15" cm="1">
        <f t="array" ref="X378">EVAL($AH$13,B378)</f>
        <v>0.38867505455926371</v>
      </c>
      <c r="Y378" s="15" cm="1">
        <f t="array" ref="Y378">EVAL($AH$14,B378)</f>
        <v>0.38867505455926371</v>
      </c>
    </row>
    <row r="379" spans="1:25" x14ac:dyDescent="0.25">
      <c r="A379" s="20">
        <v>38.6000000000003</v>
      </c>
      <c r="B379" s="41">
        <f t="shared" si="5"/>
        <v>121.26547642856696</v>
      </c>
      <c r="C379" s="15" cm="1">
        <f t="array" ref="C379">EVAL($AG$6,B379)</f>
        <v>396.02800110298654</v>
      </c>
      <c r="D379" s="15" cm="1">
        <f t="array" ref="D379">EVAL($AG$7,B379)</f>
        <v>4.0852495423761113</v>
      </c>
      <c r="F379" s="15" cm="1">
        <f t="array" ref="F379">EVAL($AG$9,B379)</f>
        <v>2.7772898492400424</v>
      </c>
      <c r="G379" s="15" cm="1">
        <f t="array" ref="G379">EVAL($AG$10,B379)</f>
        <v>2.7772898492400424</v>
      </c>
      <c r="H379" s="15" cm="1">
        <f t="array" ref="H379">EVAL($AG$11,B379)</f>
        <v>2.7772898492400424</v>
      </c>
      <c r="I379" s="15" cm="1">
        <f t="array" ref="I379">EVAL($AG$12,B379)</f>
        <v>2.6084309011143048</v>
      </c>
      <c r="J379" s="15" cm="1">
        <f t="array" ref="J379">EVAL($AG$13,B379)</f>
        <v>153.09927679268151</v>
      </c>
      <c r="K379" s="15" cm="1">
        <f t="array" ref="K379">EVAL($AG$14,B379)</f>
        <v>1.8718428404254261</v>
      </c>
      <c r="L379" s="15" cm="1">
        <f t="array" ref="L379">EVAL($AG$15,B379)</f>
        <v>83.00512411287518</v>
      </c>
      <c r="M379" s="15" cm="1">
        <f t="array" ref="M379">EVAL($AG$16,B379)</f>
        <v>1.0538043587118857</v>
      </c>
      <c r="N379" s="15" cm="1">
        <f t="array" ref="N379">EVAL($AG$17,B379)</f>
        <v>44.938799487955208</v>
      </c>
      <c r="O379" s="15" cm="1">
        <f t="array" ref="O379">EVAL($AG$18,B379)</f>
        <v>7.5630613319268023E-3</v>
      </c>
      <c r="P379" s="15" cm="1">
        <f t="array" ref="P379">EVAL($AG$19,B379)</f>
        <v>7.5630613319268023E-3</v>
      </c>
      <c r="Q379" s="15" cm="1">
        <f t="array" ref="Q379">EVAL($AH$6,B379)</f>
        <v>1.3221476681801729</v>
      </c>
      <c r="R379" s="15" cm="1">
        <f t="array" ref="R379">EVAL($AH$7,B379)</f>
        <v>1.3221476681801729</v>
      </c>
      <c r="T379" s="15" cm="1">
        <f t="array" ref="T379">EVAL($AH$9,B379)</f>
        <v>0.86713316514573135</v>
      </c>
      <c r="U379" s="15" cm="1">
        <f t="array" ref="U379">EVAL($AH$10,B379)</f>
        <v>0.86713316514573135</v>
      </c>
      <c r="V379" s="15" cm="1">
        <f t="array" ref="V379">EVAL($AH$11,B379)</f>
        <v>0.86713316514573135</v>
      </c>
      <c r="W379" s="15" cm="1">
        <f t="array" ref="W379">EVAL($AH$12,B379)</f>
        <v>51.478284365923024</v>
      </c>
      <c r="X379" s="15" cm="1">
        <f t="array" ref="X379">EVAL($AH$13,B379)</f>
        <v>0.38893768810535612</v>
      </c>
      <c r="Y379" s="15" cm="1">
        <f t="array" ref="Y379">EVAL($AH$14,B379)</f>
        <v>0.38893768810535612</v>
      </c>
    </row>
    <row r="380" spans="1:25" x14ac:dyDescent="0.25">
      <c r="A380" s="20">
        <v>38.700000000000301</v>
      </c>
      <c r="B380" s="41">
        <f t="shared" si="5"/>
        <v>121.57963569392594</v>
      </c>
      <c r="C380" s="15" cm="1">
        <f t="array" ref="C380">EVAL($AG$6,B380)</f>
        <v>396.7371825830657</v>
      </c>
      <c r="D380" s="15" cm="1">
        <f t="array" ref="D380">EVAL($AG$7,B380)</f>
        <v>4.0882249846961489</v>
      </c>
      <c r="F380" s="15" cm="1">
        <f t="array" ref="F380">EVAL($AG$9,B380)</f>
        <v>2.784600893329555</v>
      </c>
      <c r="G380" s="15" cm="1">
        <f t="array" ref="G380">EVAL($AG$10,B380)</f>
        <v>2.784600893329555</v>
      </c>
      <c r="H380" s="15" cm="1">
        <f t="array" ref="H380">EVAL($AG$11,B380)</f>
        <v>2.784600893329555</v>
      </c>
      <c r="I380" s="15" cm="1">
        <f t="array" ref="I380">EVAL($AG$12,B380)</f>
        <v>2.6148116362061211</v>
      </c>
      <c r="J380" s="15" cm="1">
        <f t="array" ref="J380">EVAL($AG$13,B380)</f>
        <v>153.3965738754205</v>
      </c>
      <c r="K380" s="15" cm="1">
        <f t="array" ref="K380">EVAL($AG$14,B380)</f>
        <v>1.8760231904311</v>
      </c>
      <c r="L380" s="15" cm="1">
        <f t="array" ref="L380">EVAL($AG$15,B380)</f>
        <v>83.13578011701793</v>
      </c>
      <c r="M380" s="15" cm="1">
        <f t="array" ref="M380">EVAL($AG$16,B380)</f>
        <v>1.0551952622703349</v>
      </c>
      <c r="N380" s="15" cm="1">
        <f t="array" ref="N380">EVAL($AG$17,B380)</f>
        <v>44.986309748864166</v>
      </c>
      <c r="O380" s="15" cm="1">
        <f t="array" ref="O380">EVAL($AG$18,B380)</f>
        <v>7.552247917629264E-3</v>
      </c>
      <c r="P380" s="15" cm="1">
        <f t="array" ref="P380">EVAL($AG$19,B380)</f>
        <v>7.552247917629264E-3</v>
      </c>
      <c r="Q380" s="15" cm="1">
        <f t="array" ref="Q380">EVAL($AH$6,B380)</f>
        <v>1.3235622508649607</v>
      </c>
      <c r="R380" s="15" cm="1">
        <f t="array" ref="R380">EVAL($AH$7,B380)</f>
        <v>1.3235622508649607</v>
      </c>
      <c r="T380" s="15" cm="1">
        <f t="array" ref="T380">EVAL($AH$9,B380)</f>
        <v>0.86800994032994738</v>
      </c>
      <c r="U380" s="15" cm="1">
        <f t="array" ref="U380">EVAL($AH$10,B380)</f>
        <v>0.86800994032994738</v>
      </c>
      <c r="V380" s="15" cm="1">
        <f t="array" ref="V380">EVAL($AH$11,B380)</f>
        <v>0.86800994032994738</v>
      </c>
      <c r="W380" s="15" cm="1">
        <f t="array" ref="W380">EVAL($AH$12,B380)</f>
        <v>51.675544247748796</v>
      </c>
      <c r="X380" s="15" cm="1">
        <f t="array" ref="X380">EVAL($AH$13,B380)</f>
        <v>0.38919981891026983</v>
      </c>
      <c r="Y380" s="15" cm="1">
        <f t="array" ref="Y380">EVAL($AH$14,B380)</f>
        <v>0.38919981891026983</v>
      </c>
    </row>
    <row r="381" spans="1:25" x14ac:dyDescent="0.25">
      <c r="A381" s="20">
        <v>38.800000000000303</v>
      </c>
      <c r="B381" s="41">
        <f t="shared" si="5"/>
        <v>121.89379495928492</v>
      </c>
      <c r="C381" s="15" cm="1">
        <f t="array" ref="C381">EVAL($AG$6,B381)</f>
        <v>397.44579895826445</v>
      </c>
      <c r="D381" s="15" cm="1">
        <f t="array" ref="D381">EVAL($AG$7,B381)</f>
        <v>4.0911949071913911</v>
      </c>
      <c r="F381" s="15" cm="1">
        <f t="array" ref="F381">EVAL($AG$9,B381)</f>
        <v>2.7919122415802753</v>
      </c>
      <c r="G381" s="15" cm="1">
        <f t="array" ref="G381">EVAL($AG$10,B381)</f>
        <v>2.7919122415802753</v>
      </c>
      <c r="H381" s="15" cm="1">
        <f t="array" ref="H381">EVAL($AG$11,B381)</f>
        <v>2.7919122415802753</v>
      </c>
      <c r="I381" s="15" cm="1">
        <f t="array" ref="I381">EVAL($AG$12,B381)</f>
        <v>2.6211914529987728</v>
      </c>
      <c r="J381" s="15" cm="1">
        <f t="array" ref="J381">EVAL($AG$13,B381)</f>
        <v>153.69367881401632</v>
      </c>
      <c r="K381" s="15" cm="1">
        <f t="array" ref="K381">EVAL($AG$14,B381)</f>
        <v>1.8802020521929226</v>
      </c>
      <c r="L381" s="15" cm="1">
        <f t="array" ref="L381">EVAL($AG$15,B381)</f>
        <v>83.266303810195666</v>
      </c>
      <c r="M381" s="15" cm="1">
        <f t="array" ref="M381">EVAL($AG$16,B381)</f>
        <v>1.0565844051305142</v>
      </c>
      <c r="N381" s="15" cm="1">
        <f t="array" ref="N381">EVAL($AG$17,B381)</f>
        <v>45.033747437064122</v>
      </c>
      <c r="O381" s="15" cm="1">
        <f t="array" ref="O381">EVAL($AG$18,B381)</f>
        <v>7.5414778098318548E-3</v>
      </c>
      <c r="P381" s="15" cm="1">
        <f t="array" ref="P381">EVAL($AG$19,B381)</f>
        <v>7.5414778098318548E-3</v>
      </c>
      <c r="Q381" s="15" cm="1">
        <f t="array" ref="Q381">EVAL($AH$6,B381)</f>
        <v>1.3249746906348336</v>
      </c>
      <c r="R381" s="15" cm="1">
        <f t="array" ref="R381">EVAL($AH$7,B381)</f>
        <v>1.3249746906348336</v>
      </c>
      <c r="T381" s="15" cm="1">
        <f t="array" ref="T381">EVAL($AH$9,B381)</f>
        <v>0.86888533596090145</v>
      </c>
      <c r="U381" s="15" cm="1">
        <f t="array" ref="U381">EVAL($AH$10,B381)</f>
        <v>0.86888533596090145</v>
      </c>
      <c r="V381" s="15" cm="1">
        <f t="array" ref="V381">EVAL($AH$11,B381)</f>
        <v>0.86888533596090145</v>
      </c>
      <c r="W381" s="15" cm="1">
        <f t="array" ref="W381">EVAL($AH$12,B381)</f>
        <v>51.873048026368096</v>
      </c>
      <c r="X381" s="15" cm="1">
        <f t="array" ref="X381">EVAL($AH$13,B381)</f>
        <v>0.38946144923171888</v>
      </c>
      <c r="Y381" s="15" cm="1">
        <f t="array" ref="Y381">EVAL($AH$14,B381)</f>
        <v>0.38946144923171888</v>
      </c>
    </row>
    <row r="382" spans="1:25" x14ac:dyDescent="0.25">
      <c r="A382" s="20">
        <v>38.900000000000297</v>
      </c>
      <c r="B382" s="41">
        <f t="shared" si="5"/>
        <v>122.20795422464388</v>
      </c>
      <c r="C382" s="15" cm="1">
        <f t="array" ref="C382">EVAL($AG$6,B382)</f>
        <v>398.15385213360298</v>
      </c>
      <c r="D382" s="15" cm="1">
        <f t="array" ref="D382">EVAL($AG$7,B382)</f>
        <v>4.0941593342886753</v>
      </c>
      <c r="F382" s="15" cm="1">
        <f t="array" ref="F382">EVAL($AG$9,B382)</f>
        <v>2.7992238932208902</v>
      </c>
      <c r="G382" s="15" cm="1">
        <f t="array" ref="G382">EVAL($AG$10,B382)</f>
        <v>2.7992238932208902</v>
      </c>
      <c r="H382" s="15" cm="1">
        <f t="array" ref="H382">EVAL($AG$11,B382)</f>
        <v>2.7992238932208902</v>
      </c>
      <c r="I382" s="15" cm="1">
        <f t="array" ref="I382">EVAL($AG$12,B382)</f>
        <v>2.627570353990667</v>
      </c>
      <c r="J382" s="15" cm="1">
        <f t="array" ref="J382">EVAL($AG$13,B382)</f>
        <v>153.99059222739092</v>
      </c>
      <c r="K382" s="15" cm="1">
        <f t="array" ref="K382">EVAL($AG$14,B382)</f>
        <v>1.8843794300743693</v>
      </c>
      <c r="L382" s="15" cm="1">
        <f t="array" ref="L382">EVAL($AG$15,B382)</f>
        <v>83.396695666886515</v>
      </c>
      <c r="M382" s="15" cm="1">
        <f t="array" ref="M382">EVAL($AG$16,B382)</f>
        <v>1.0579717940505218</v>
      </c>
      <c r="N382" s="15" cm="1">
        <f t="array" ref="N382">EVAL($AG$17,B382)</f>
        <v>45.081112850026663</v>
      </c>
      <c r="O382" s="15" cm="1">
        <f t="array" ref="O382">EVAL($AG$18,B382)</f>
        <v>7.5307507241511489E-3</v>
      </c>
      <c r="P382" s="15" cm="1">
        <f t="array" ref="P382">EVAL($AG$19,B382)</f>
        <v>7.5307507241511489E-3</v>
      </c>
      <c r="Q382" s="15" cm="1">
        <f t="array" ref="Q382">EVAL($AH$6,B382)</f>
        <v>1.3263849962464969</v>
      </c>
      <c r="R382" s="15" cm="1">
        <f t="array" ref="R382">EVAL($AH$7,B382)</f>
        <v>1.3263849962464969</v>
      </c>
      <c r="T382" s="15" cm="1">
        <f t="array" ref="T382">EVAL($AH$9,B382)</f>
        <v>0.869759357756417</v>
      </c>
      <c r="U382" s="15" cm="1">
        <f t="array" ref="U382">EVAL($AH$10,B382)</f>
        <v>0.869759357756417</v>
      </c>
      <c r="V382" s="15" cm="1">
        <f t="array" ref="V382">EVAL($AH$11,B382)</f>
        <v>0.869759357756417</v>
      </c>
      <c r="W382" s="15" cm="1">
        <f t="array" ref="W382">EVAL($AH$12,B382)</f>
        <v>52.070795373574668</v>
      </c>
      <c r="X382" s="15" cm="1">
        <f t="array" ref="X382">EVAL($AH$13,B382)</f>
        <v>0.38972258131149107</v>
      </c>
      <c r="Y382" s="15" cm="1">
        <f t="array" ref="Y382">EVAL($AH$14,B382)</f>
        <v>0.38972258131149107</v>
      </c>
    </row>
    <row r="383" spans="1:25" x14ac:dyDescent="0.25">
      <c r="A383" s="20">
        <v>39.000000000000298</v>
      </c>
      <c r="B383" s="41">
        <f t="shared" si="5"/>
        <v>122.52211349000287</v>
      </c>
      <c r="C383" s="15" cm="1">
        <f t="array" ref="C383">EVAL($AG$6,B383)</f>
        <v>398.86134400279934</v>
      </c>
      <c r="D383" s="15" cm="1">
        <f t="array" ref="D383">EVAL($AG$7,B383)</f>
        <v>4.0971182902442829</v>
      </c>
      <c r="F383" s="15" cm="1">
        <f t="array" ref="F383">EVAL($AG$9,B383)</f>
        <v>2.8065358474840116</v>
      </c>
      <c r="G383" s="15" cm="1">
        <f t="array" ref="G383">EVAL($AG$10,B383)</f>
        <v>2.8065358474840116</v>
      </c>
      <c r="H383" s="15" cm="1">
        <f t="array" ref="H383">EVAL($AG$11,B383)</f>
        <v>2.8065358474840116</v>
      </c>
      <c r="I383" s="15" cm="1">
        <f t="array" ref="I383">EVAL($AG$12,B383)</f>
        <v>2.6339483416670055</v>
      </c>
      <c r="J383" s="15" cm="1">
        <f t="array" ref="J383">EVAL($AG$13,B383)</f>
        <v>154.28731473088718</v>
      </c>
      <c r="K383" s="15" cm="1">
        <f t="array" ref="K383">EVAL($AG$14,B383)</f>
        <v>1.8885553284149323</v>
      </c>
      <c r="L383" s="15" cm="1">
        <f t="array" ref="L383">EVAL($AG$15,B383)</f>
        <v>83.526956158652112</v>
      </c>
      <c r="M383" s="15" cm="1">
        <f t="array" ref="M383">EVAL($AG$16,B383)</f>
        <v>1.0593574357452178</v>
      </c>
      <c r="N383" s="15" cm="1">
        <f t="array" ref="N383">EVAL($AG$17,B383)</f>
        <v>45.128406283243017</v>
      </c>
      <c r="O383" s="15" cm="1">
        <f t="array" ref="O383">EVAL($AG$18,B383)</f>
        <v>7.5200663787960186E-3</v>
      </c>
      <c r="P383" s="15" cm="1">
        <f t="array" ref="P383">EVAL($AG$19,B383)</f>
        <v>7.5200663787960186E-3</v>
      </c>
      <c r="Q383" s="15" cm="1">
        <f t="array" ref="Q383">EVAL($AH$6,B383)</f>
        <v>1.3277931763984685</v>
      </c>
      <c r="R383" s="15" cm="1">
        <f t="array" ref="R383">EVAL($AH$7,B383)</f>
        <v>1.3277931763984685</v>
      </c>
      <c r="T383" s="15" cm="1">
        <f t="array" ref="T383">EVAL($AH$9,B383)</f>
        <v>0.87063201139599145</v>
      </c>
      <c r="U383" s="15" cm="1">
        <f t="array" ref="U383">EVAL($AH$10,B383)</f>
        <v>0.87063201139599145</v>
      </c>
      <c r="V383" s="15" cm="1">
        <f t="array" ref="V383">EVAL($AH$11,B383)</f>
        <v>0.87063201139599145</v>
      </c>
      <c r="W383" s="15" cm="1">
        <f t="array" ref="W383">EVAL($AH$12,B383)</f>
        <v>52.2687859624467</v>
      </c>
      <c r="X383" s="15" cm="1">
        <f t="array" ref="X383">EVAL($AH$13,B383)</f>
        <v>0.3899832173756011</v>
      </c>
      <c r="Y383" s="15" cm="1">
        <f t="array" ref="Y383">EVAL($AH$14,B383)</f>
        <v>0.3899832173756011</v>
      </c>
    </row>
    <row r="384" spans="1:25" x14ac:dyDescent="0.25">
      <c r="A384" s="20">
        <v>39.1000000000003</v>
      </c>
      <c r="B384" s="41">
        <f t="shared" si="5"/>
        <v>122.83627275536185</v>
      </c>
      <c r="C384" s="15" cm="1">
        <f t="array" ref="C384">EVAL($AG$6,B384)</f>
        <v>399.56827644836704</v>
      </c>
      <c r="D384" s="15" cm="1">
        <f t="array" ref="D384">EVAL($AG$7,B384)</f>
        <v>4.1000717991455664</v>
      </c>
      <c r="F384" s="15" cm="1">
        <f t="array" ref="F384">EVAL($AG$9,B384)</f>
        <v>2.8138481036061651</v>
      </c>
      <c r="G384" s="15" cm="1">
        <f t="array" ref="G384">EVAL($AG$10,B384)</f>
        <v>2.8138481036061651</v>
      </c>
      <c r="H384" s="15" cm="1">
        <f t="array" ref="H384">EVAL($AG$11,B384)</f>
        <v>2.8138481036061651</v>
      </c>
      <c r="I384" s="15" cm="1">
        <f t="array" ref="I384">EVAL($AG$12,B384)</f>
        <v>2.6403254184998945</v>
      </c>
      <c r="J384" s="15" cm="1">
        <f t="array" ref="J384">EVAL($AG$13,B384)</f>
        <v>154.58384693629873</v>
      </c>
      <c r="K384" s="15" cm="1">
        <f t="array" ref="K384">EVAL($AG$14,B384)</f>
        <v>1.892729751530325</v>
      </c>
      <c r="L384" s="15" cm="1">
        <f t="array" ref="L384">EVAL($AG$15,B384)</f>
        <v>83.657085754163319</v>
      </c>
      <c r="M384" s="15" cm="1">
        <f t="array" ref="M384">EVAL($AG$16,B384)</f>
        <v>1.060741336886617</v>
      </c>
      <c r="N384" s="15" cm="1">
        <f t="array" ref="N384">EVAL($AG$17,B384)</f>
        <v>45.175628030242329</v>
      </c>
      <c r="O384" s="15" cm="1">
        <f t="array" ref="O384">EVAL($AG$18,B384)</f>
        <v>7.5094244945374212E-3</v>
      </c>
      <c r="P384" s="15" cm="1">
        <f t="array" ref="P384">EVAL($AG$19,B384)</f>
        <v>7.5094244945374212E-3</v>
      </c>
      <c r="Q384" s="15" cm="1">
        <f t="array" ref="Q384">EVAL($AH$6,B384)</f>
        <v>1.3291992397316179</v>
      </c>
      <c r="R384" s="15" cm="1">
        <f t="array" ref="R384">EVAL($AH$7,B384)</f>
        <v>1.3291992397316179</v>
      </c>
      <c r="T384" s="15" cm="1">
        <f t="array" ref="T384">EVAL($AH$9,B384)</f>
        <v>0.87150330252115193</v>
      </c>
      <c r="U384" s="15" cm="1">
        <f t="array" ref="U384">EVAL($AH$10,B384)</f>
        <v>0.87150330252115193</v>
      </c>
      <c r="V384" s="15" cm="1">
        <f t="array" ref="V384">EVAL($AH$11,B384)</f>
        <v>0.87150330252115193</v>
      </c>
      <c r="W384" s="15" cm="1">
        <f t="array" ref="W384">EVAL($AH$12,B384)</f>
        <v>52.467019467339107</v>
      </c>
      <c r="X384" s="15" cm="1">
        <f t="array" ref="X384">EVAL($AH$13,B384)</f>
        <v>0.3902433596344414</v>
      </c>
      <c r="Y384" s="15" cm="1">
        <f t="array" ref="Y384">EVAL($AH$14,B384)</f>
        <v>0.3902433596344414</v>
      </c>
    </row>
    <row r="385" spans="1:25" x14ac:dyDescent="0.25">
      <c r="A385" s="20">
        <v>39.200000000000301</v>
      </c>
      <c r="B385" s="41">
        <f t="shared" si="5"/>
        <v>123.15043202072084</v>
      </c>
      <c r="C385" s="15" cm="1">
        <f t="array" ref="C385">EVAL($AG$6,B385)</f>
        <v>400.27465134170978</v>
      </c>
      <c r="D385" s="15" cm="1">
        <f t="array" ref="D385">EVAL($AG$7,B385)</f>
        <v>4.1030198849125554</v>
      </c>
      <c r="F385" s="15" cm="1">
        <f t="array" ref="F385">EVAL($AG$9,B385)</f>
        <v>2.8211606608277422</v>
      </c>
      <c r="G385" s="15" cm="1">
        <f t="array" ref="G385">EVAL($AG$10,B385)</f>
        <v>2.8211606608277422</v>
      </c>
      <c r="H385" s="15" cm="1">
        <f t="array" ref="H385">EVAL($AG$11,B385)</f>
        <v>2.8211606608277422</v>
      </c>
      <c r="I385" s="15" cm="1">
        <f t="array" ref="I385">EVAL($AG$12,B385)</f>
        <v>2.6467015869484389</v>
      </c>
      <c r="J385" s="15" cm="1">
        <f t="array" ref="J385">EVAL($AG$13,B385)</f>
        <v>154.88018945189955</v>
      </c>
      <c r="K385" s="15" cm="1">
        <f t="array" ref="K385">EVAL($AG$14,B385)</f>
        <v>1.89690270371267</v>
      </c>
      <c r="L385" s="15" cm="1">
        <f t="array" ref="L385">EVAL($AG$15,B385)</f>
        <v>83.787084919225123</v>
      </c>
      <c r="M385" s="15" cm="1">
        <f t="array" ref="M385">EVAL($AG$16,B385)</f>
        <v>1.0621235041042669</v>
      </c>
      <c r="N385" s="15" cm="1">
        <f t="array" ref="N385">EVAL($AG$17,B385)</f>
        <v>45.222778382609675</v>
      </c>
      <c r="O385" s="15" cm="1">
        <f t="array" ref="O385">EVAL($AG$18,B385)</f>
        <v>7.4988247946786357E-3</v>
      </c>
      <c r="P385" s="15" cm="1">
        <f t="array" ref="P385">EVAL($AG$19,B385)</f>
        <v>7.4988247946786357E-3</v>
      </c>
      <c r="Q385" s="15" cm="1">
        <f t="array" ref="Q385">EVAL($AH$6,B385)</f>
        <v>1.3306031948296928</v>
      </c>
      <c r="R385" s="15" cm="1">
        <f t="array" ref="R385">EVAL($AH$7,B385)</f>
        <v>1.3306031948296928</v>
      </c>
      <c r="T385" s="15" cm="1">
        <f t="array" ref="T385">EVAL($AH$9,B385)</f>
        <v>0.87237323673580558</v>
      </c>
      <c r="U385" s="15" cm="1">
        <f t="array" ref="U385">EVAL($AH$10,B385)</f>
        <v>0.87237323673580558</v>
      </c>
      <c r="V385" s="15" cm="1">
        <f t="array" ref="V385">EVAL($AH$11,B385)</f>
        <v>0.87237323673580558</v>
      </c>
      <c r="W385" s="15" cm="1">
        <f t="array" ref="W385">EVAL($AH$12,B385)</f>
        <v>52.665495563874941</v>
      </c>
      <c r="X385" s="15" cm="1">
        <f t="array" ref="X385">EVAL($AH$13,B385)</f>
        <v>0.39050301028293177</v>
      </c>
      <c r="Y385" s="15" cm="1">
        <f t="array" ref="Y385">EVAL($AH$14,B385)</f>
        <v>0.39050301028293177</v>
      </c>
    </row>
    <row r="386" spans="1:25" x14ac:dyDescent="0.25">
      <c r="A386" s="20">
        <v>39.300000000000303</v>
      </c>
      <c r="B386" s="41">
        <f t="shared" si="5"/>
        <v>123.46459128607982</v>
      </c>
      <c r="C386" s="15" cm="1">
        <f t="array" ref="C386">EVAL($AG$6,B386)</f>
        <v>400.98047054321438</v>
      </c>
      <c r="D386" s="15" cm="1">
        <f t="array" ref="D386">EVAL($AG$7,B386)</f>
        <v>4.1059625712995373</v>
      </c>
      <c r="F386" s="15" cm="1">
        <f t="array" ref="F386">EVAL($AG$9,B386)</f>
        <v>2.8284735183929803</v>
      </c>
      <c r="G386" s="15" cm="1">
        <f t="array" ref="G386">EVAL($AG$10,B386)</f>
        <v>2.8284735183929803</v>
      </c>
      <c r="H386" s="15" cm="1">
        <f t="array" ref="H386">EVAL($AG$11,B386)</f>
        <v>2.8284735183929803</v>
      </c>
      <c r="I386" s="15" cm="1">
        <f t="array" ref="I386">EVAL($AG$12,B386)</f>
        <v>2.6530768494588517</v>
      </c>
      <c r="J386" s="15" cm="1">
        <f t="array" ref="J386">EVAL($AG$13,B386)</f>
        <v>155.17634288247274</v>
      </c>
      <c r="K386" s="15" cm="1">
        <f t="array" ref="K386">EVAL($AG$14,B386)</f>
        <v>1.9010741892306826</v>
      </c>
      <c r="L386" s="15" cm="1">
        <f t="array" ref="L386">EVAL($AG$15,B386)</f>
        <v>83.916954116801364</v>
      </c>
      <c r="M386" s="15" cm="1">
        <f t="array" ref="M386">EVAL($AG$16,B386)</f>
        <v>1.0635039439856251</v>
      </c>
      <c r="N386" s="15" cm="1">
        <f t="array" ref="N386">EVAL($AG$17,B386)</f>
        <v>45.269857630003827</v>
      </c>
      <c r="O386" s="15" cm="1">
        <f t="array" ref="O386">EVAL($AG$18,B386)</f>
        <v>7.4882670050259075E-3</v>
      </c>
      <c r="P386" s="15" cm="1">
        <f t="array" ref="P386">EVAL($AG$19,B386)</f>
        <v>7.4882670050259075E-3</v>
      </c>
      <c r="Q386" s="15" cm="1">
        <f t="array" ref="Q386">EVAL($AH$6,B386)</f>
        <v>1.3320050502198395</v>
      </c>
      <c r="R386" s="15" cm="1">
        <f t="array" ref="R386">EVAL($AH$7,B386)</f>
        <v>1.3320050502198395</v>
      </c>
      <c r="T386" s="15" cm="1">
        <f t="array" ref="T386">EVAL($AH$9,B386)</f>
        <v>0.87324181960658476</v>
      </c>
      <c r="U386" s="15" cm="1">
        <f t="array" ref="U386">EVAL($AH$10,B386)</f>
        <v>0.87324181960658476</v>
      </c>
      <c r="V386" s="15" cm="1">
        <f t="array" ref="V386">EVAL($AH$11,B386)</f>
        <v>0.87324181960658476</v>
      </c>
      <c r="W386" s="15" cm="1">
        <f t="array" ref="W386">EVAL($AH$12,B386)</f>
        <v>52.86421392893719</v>
      </c>
      <c r="X386" s="15" cm="1">
        <f t="array" ref="X386">EVAL($AH$13,B386)</f>
        <v>0.39076217150066639</v>
      </c>
      <c r="Y386" s="15" cm="1">
        <f t="array" ref="Y386">EVAL($AH$14,B386)</f>
        <v>0.39076217150066639</v>
      </c>
    </row>
    <row r="387" spans="1:25" x14ac:dyDescent="0.25">
      <c r="A387" s="20">
        <v>39.400000000000297</v>
      </c>
      <c r="B387" s="41">
        <f t="shared" si="5"/>
        <v>123.77875055143878</v>
      </c>
      <c r="C387" s="15" cm="1">
        <f t="array" ref="C387">EVAL($AG$6,B387)</f>
        <v>401.68573590234365</v>
      </c>
      <c r="D387" s="15" cm="1">
        <f t="array" ref="D387">EVAL($AG$7,B387)</f>
        <v>4.1088998818966287</v>
      </c>
      <c r="F387" s="15" cm="1">
        <f t="array" ref="F387">EVAL($AG$9,B387)</f>
        <v>2.8357866755499357</v>
      </c>
      <c r="G387" s="15" cm="1">
        <f t="array" ref="G387">EVAL($AG$10,B387)</f>
        <v>2.8357866755499357</v>
      </c>
      <c r="H387" s="15" cm="1">
        <f t="array" ref="H387">EVAL($AG$11,B387)</f>
        <v>2.8357866755499357</v>
      </c>
      <c r="I387" s="15" cm="1">
        <f t="array" ref="I387">EVAL($AG$12,B387)</f>
        <v>2.6594512084645507</v>
      </c>
      <c r="J387" s="15" cm="1">
        <f t="array" ref="J387">EVAL($AG$13,B387)</f>
        <v>155.47230782933997</v>
      </c>
      <c r="K387" s="15" cm="1">
        <f t="array" ref="K387">EVAL($AG$14,B387)</f>
        <v>1.9052442123298619</v>
      </c>
      <c r="L387" s="15" cm="1">
        <f t="array" ref="L387">EVAL($AG$15,B387)</f>
        <v>84.046693807039361</v>
      </c>
      <c r="M387" s="15" cm="1">
        <f t="array" ref="M387">EVAL($AG$16,B387)</f>
        <v>1.0648826630764363</v>
      </c>
      <c r="N387" s="15" cm="1">
        <f t="array" ref="N387">EVAL($AG$17,B387)</f>
        <v>45.316866060174867</v>
      </c>
      <c r="O387" s="15" cm="1">
        <f t="array" ref="O387">EVAL($AG$18,B387)</f>
        <v>7.4777508538594918E-3</v>
      </c>
      <c r="P387" s="15" cm="1">
        <f t="array" ref="P387">EVAL($AG$19,B387)</f>
        <v>7.4777508538594918E-3</v>
      </c>
      <c r="Q387" s="15" cm="1">
        <f t="array" ref="Q387">EVAL($AH$6,B387)</f>
        <v>1.3334048143731223</v>
      </c>
      <c r="R387" s="15" cm="1">
        <f t="array" ref="R387">EVAL($AH$7,B387)</f>
        <v>1.3334048143731223</v>
      </c>
      <c r="T387" s="15" cm="1">
        <f t="array" ref="T387">EVAL($AH$9,B387)</f>
        <v>0.87410905666318917</v>
      </c>
      <c r="U387" s="15" cm="1">
        <f t="array" ref="U387">EVAL($AH$10,B387)</f>
        <v>0.87410905666318917</v>
      </c>
      <c r="V387" s="15" cm="1">
        <f t="array" ref="V387">EVAL($AH$11,B387)</f>
        <v>0.87410905666318917</v>
      </c>
      <c r="W387" s="15" cm="1">
        <f t="array" ref="W387">EVAL($AH$12,B387)</f>
        <v>53.063174240660921</v>
      </c>
      <c r="X387" s="15" cm="1">
        <f t="array" ref="X387">EVAL($AH$13,B387)</f>
        <v>0.39102084545205973</v>
      </c>
      <c r="Y387" s="15" cm="1">
        <f t="array" ref="Y387">EVAL($AH$14,B387)</f>
        <v>0.39102084545205973</v>
      </c>
    </row>
    <row r="388" spans="1:25" x14ac:dyDescent="0.25">
      <c r="A388" s="20">
        <v>39.500000000000298</v>
      </c>
      <c r="B388" s="41">
        <f t="shared" ref="B388:B393" si="6">A388*PI()</f>
        <v>124.09290981679777</v>
      </c>
      <c r="C388" s="15" cm="1">
        <f t="array" ref="C388">EVAL($AG$6,B388)</f>
        <v>402.39044925772896</v>
      </c>
      <c r="D388" s="15" cm="1">
        <f t="array" ref="D388">EVAL($AG$7,B388)</f>
        <v>4.1118318401313232</v>
      </c>
      <c r="F388" s="15" cm="1">
        <f t="array" ref="F388">EVAL($AG$9,B388)</f>
        <v>2.8431001315504481</v>
      </c>
      <c r="G388" s="15" cm="1">
        <f t="array" ref="G388">EVAL($AG$10,B388)</f>
        <v>2.8431001315504481</v>
      </c>
      <c r="H388" s="15" cm="1">
        <f t="array" ref="H388">EVAL($AG$11,B388)</f>
        <v>2.8431001315504481</v>
      </c>
      <c r="I388" s="15" cm="1">
        <f t="array" ref="I388">EVAL($AG$12,B388)</f>
        <v>2.6658246663862584</v>
      </c>
      <c r="J388" s="15" cm="1">
        <f t="array" ref="J388">EVAL($AG$13,B388)</f>
        <v>155.76808489038956</v>
      </c>
      <c r="K388" s="15" cm="1">
        <f t="array" ref="K388">EVAL($AG$14,B388)</f>
        <v>1.9094127772326817</v>
      </c>
      <c r="L388" s="15" cm="1">
        <f t="array" ref="L388">EVAL($AG$15,B388)</f>
        <v>84.176304447294115</v>
      </c>
      <c r="M388" s="15" cm="1">
        <f t="array" ref="M388">EVAL($AG$16,B388)</f>
        <v>1.0662596678810983</v>
      </c>
      <c r="N388" s="15" cm="1">
        <f t="array" ref="N388">EVAL($AG$17,B388)</f>
        <v>45.363803958981549</v>
      </c>
      <c r="O388" s="15" cm="1">
        <f t="array" ref="O388">EVAL($AG$18,B388)</f>
        <v>7.4672760719051469E-3</v>
      </c>
      <c r="P388" s="15" cm="1">
        <f t="array" ref="P388">EVAL($AG$19,B388)</f>
        <v>7.4672760719051469E-3</v>
      </c>
      <c r="Q388" s="15" cm="1">
        <f t="array" ref="Q388">EVAL($AH$6,B388)</f>
        <v>1.3348024957050322</v>
      </c>
      <c r="R388" s="15" cm="1">
        <f t="array" ref="R388">EVAL($AH$7,B388)</f>
        <v>1.3348024957050322</v>
      </c>
      <c r="T388" s="15" cm="1">
        <f t="array" ref="T388">EVAL($AH$9,B388)</f>
        <v>0.87497495339872533</v>
      </c>
      <c r="U388" s="15" cm="1">
        <f t="array" ref="U388">EVAL($AH$10,B388)</f>
        <v>0.87497495339872533</v>
      </c>
      <c r="V388" s="15" cm="1">
        <f t="array" ref="V388">EVAL($AH$11,B388)</f>
        <v>0.87497495339872533</v>
      </c>
      <c r="W388" s="15" cm="1">
        <f t="array" ref="W388">EVAL($AH$12,B388)</f>
        <v>53.262376178425136</v>
      </c>
      <c r="X388" s="15" cm="1">
        <f t="array" ref="X388">EVAL($AH$13,B388)</f>
        <v>0.39127903428649075</v>
      </c>
      <c r="Y388" s="15" cm="1">
        <f t="array" ref="Y388">EVAL($AH$14,B388)</f>
        <v>0.39127903428649075</v>
      </c>
    </row>
    <row r="389" spans="1:25" x14ac:dyDescent="0.25">
      <c r="A389" s="20">
        <v>39.6000000000003</v>
      </c>
      <c r="B389" s="41">
        <f t="shared" si="6"/>
        <v>124.40706908215675</v>
      </c>
      <c r="C389" s="15" cm="1">
        <f t="array" ref="C389">EVAL($AG$6,B389)</f>
        <v>403.0946124372602</v>
      </c>
      <c r="D389" s="15" cm="1">
        <f t="array" ref="D389">EVAL($AG$7,B389)</f>
        <v>4.1147584692700203</v>
      </c>
      <c r="F389" s="15" cm="1">
        <f t="array" ref="F389">EVAL($AG$9,B389)</f>
        <v>2.8504138856501151</v>
      </c>
      <c r="G389" s="15" cm="1">
        <f t="array" ref="G389">EVAL($AG$10,B389)</f>
        <v>2.8504138856501151</v>
      </c>
      <c r="H389" s="15" cm="1">
        <f t="array" ref="H389">EVAL($AG$11,B389)</f>
        <v>2.8504138856501151</v>
      </c>
      <c r="I389" s="15" cm="1">
        <f t="array" ref="I389">EVAL($AG$12,B389)</f>
        <v>2.6721972256320994</v>
      </c>
      <c r="J389" s="15" cm="1">
        <f t="array" ref="J389">EVAL($AG$13,B389)</f>
        <v>156.06367466010505</v>
      </c>
      <c r="K389" s="15" cm="1">
        <f t="array" ref="K389">EVAL($AG$14,B389)</f>
        <v>1.913579888138756</v>
      </c>
      <c r="L389" s="15" cm="1">
        <f t="array" ref="L389">EVAL($AG$15,B389)</f>
        <v>84.305786492152308</v>
      </c>
      <c r="M389" s="15" cm="1">
        <f t="array" ref="M389">EVAL($AG$16,B389)</f>
        <v>1.0676349648630303</v>
      </c>
      <c r="N389" s="15" cm="1">
        <f t="array" ref="N389">EVAL($AG$17,B389)</f>
        <v>45.410671610408535</v>
      </c>
      <c r="O389" s="15" cm="1">
        <f t="array" ref="O389">EVAL($AG$18,B389)</f>
        <v>7.4568423923059663E-3</v>
      </c>
      <c r="P389" s="15" cm="1">
        <f t="array" ref="P389">EVAL($AG$19,B389)</f>
        <v>7.4568423923059663E-3</v>
      </c>
      <c r="Q389" s="15" cm="1">
        <f t="array" ref="Q389">EVAL($AH$6,B389)</f>
        <v>1.3361981025759908</v>
      </c>
      <c r="R389" s="15" cm="1">
        <f t="array" ref="R389">EVAL($AH$7,B389)</f>
        <v>1.3361981025759908</v>
      </c>
      <c r="T389" s="15" cm="1">
        <f t="array" ref="T389">EVAL($AH$9,B389)</f>
        <v>0.87583951527003934</v>
      </c>
      <c r="U389" s="15" cm="1">
        <f t="array" ref="U389">EVAL($AH$10,B389)</f>
        <v>0.87583951527003934</v>
      </c>
      <c r="V389" s="15" cm="1">
        <f t="array" ref="V389">EVAL($AH$11,B389)</f>
        <v>0.87583951527003934</v>
      </c>
      <c r="W389" s="15" cm="1">
        <f t="array" ref="W389">EVAL($AH$12,B389)</f>
        <v>53.461819422844691</v>
      </c>
      <c r="X389" s="15" cm="1">
        <f t="array" ref="X389">EVAL($AH$13,B389)</f>
        <v>0.39153674013844469</v>
      </c>
      <c r="Y389" s="15" cm="1">
        <f t="array" ref="Y389">EVAL($AH$14,B389)</f>
        <v>0.39153674013844469</v>
      </c>
    </row>
    <row r="390" spans="1:25" x14ac:dyDescent="0.25">
      <c r="A390" s="20">
        <v>39.700000000000301</v>
      </c>
      <c r="B390" s="41">
        <f t="shared" si="6"/>
        <v>124.72122834751573</v>
      </c>
      <c r="C390" s="15" cm="1">
        <f t="array" ref="C390">EVAL($AG$6,B390)</f>
        <v>403.79822725817536</v>
      </c>
      <c r="D390" s="15" cm="1">
        <f t="array" ref="D390">EVAL($AG$7,B390)</f>
        <v>4.1176797924195352</v>
      </c>
      <c r="F390" s="15" cm="1">
        <f t="array" ref="F390">EVAL($AG$9,B390)</f>
        <v>2.8577279371082627</v>
      </c>
      <c r="G390" s="15" cm="1">
        <f t="array" ref="G390">EVAL($AG$10,B390)</f>
        <v>2.8577279371082627</v>
      </c>
      <c r="H390" s="15" cm="1">
        <f t="array" ref="H390">EVAL($AG$11,B390)</f>
        <v>2.8577279371082627</v>
      </c>
      <c r="I390" s="15" cm="1">
        <f t="array" ref="I390">EVAL($AG$12,B390)</f>
        <v>2.6785688885976966</v>
      </c>
      <c r="J390" s="15" cm="1">
        <f t="array" ref="J390">EVAL($AG$13,B390)</f>
        <v>156.35907772959303</v>
      </c>
      <c r="K390" s="15" cm="1">
        <f t="array" ref="K390">EVAL($AG$14,B390)</f>
        <v>1.9177455492250424</v>
      </c>
      <c r="L390" s="15" cm="1">
        <f t="array" ref="L390">EVAL($AG$15,B390)</f>
        <v>84.435140393455953</v>
      </c>
      <c r="M390" s="15" cm="1">
        <f t="array" ref="M390">EVAL($AG$16,B390)</f>
        <v>1.0690085604450308</v>
      </c>
      <c r="N390" s="15" cm="1">
        <f t="array" ref="N390">EVAL($AG$17,B390)</f>
        <v>45.457469296583341</v>
      </c>
      <c r="O390" s="15" cm="1">
        <f t="array" ref="O390">EVAL($AG$18,B390)</f>
        <v>7.4464495505946774E-3</v>
      </c>
      <c r="P390" s="15" cm="1">
        <f t="array" ref="P390">EVAL($AG$19,B390)</f>
        <v>7.4464495505946774E-3</v>
      </c>
      <c r="Q390" s="15" cm="1">
        <f t="array" ref="Q390">EVAL($AH$6,B390)</f>
        <v>1.3375916432918495</v>
      </c>
      <c r="R390" s="15" cm="1">
        <f t="array" ref="R390">EVAL($AH$7,B390)</f>
        <v>1.3375916432918495</v>
      </c>
      <c r="T390" s="15" cm="1">
        <f t="array" ref="T390">EVAL($AH$9,B390)</f>
        <v>0.87670274769804746</v>
      </c>
      <c r="U390" s="15" cm="1">
        <f t="array" ref="U390">EVAL($AH$10,B390)</f>
        <v>0.87670274769804746</v>
      </c>
      <c r="V390" s="15" cm="1">
        <f t="array" ref="V390">EVAL($AH$11,B390)</f>
        <v>0.87670274769804746</v>
      </c>
      <c r="W390" s="15" cm="1">
        <f t="array" ref="W390">EVAL($AH$12,B390)</f>
        <v>53.661503655762829</v>
      </c>
      <c r="X390" s="15" cm="1">
        <f t="array" ref="X390">EVAL($AH$13,B390)</f>
        <v>0.39179396512765385</v>
      </c>
      <c r="Y390" s="15" cm="1">
        <f t="array" ref="Y390">EVAL($AH$14,B390)</f>
        <v>0.39179396512765385</v>
      </c>
    </row>
    <row r="391" spans="1:25" x14ac:dyDescent="0.25">
      <c r="A391" s="20">
        <v>39.800000000000303</v>
      </c>
      <c r="B391" s="41">
        <f t="shared" si="6"/>
        <v>125.03538761287471</v>
      </c>
      <c r="C391" s="15" cm="1">
        <f t="array" ref="C391">EVAL($AG$6,B391)</f>
        <v>404.50129552714952</v>
      </c>
      <c r="D391" s="15" cm="1">
        <f t="array" ref="D391">EVAL($AG$7,B391)</f>
        <v>4.1205958325285943</v>
      </c>
      <c r="F391" s="15" cm="1">
        <f t="array" ref="F391">EVAL($AG$9,B391)</f>
        <v>2.8650422851879234</v>
      </c>
      <c r="G391" s="15" cm="1">
        <f t="array" ref="G391">EVAL($AG$10,B391)</f>
        <v>2.8650422851879234</v>
      </c>
      <c r="H391" s="15" cm="1">
        <f t="array" ref="H391">EVAL($AG$11,B391)</f>
        <v>2.8650422851879234</v>
      </c>
      <c r="I391" s="15" cm="1">
        <f t="array" ref="I391">EVAL($AG$12,B391)</f>
        <v>2.684939657666277</v>
      </c>
      <c r="J391" s="15" cm="1">
        <f t="array" ref="J391">EVAL($AG$13,B391)</f>
        <v>156.65429468661057</v>
      </c>
      <c r="K391" s="15" cm="1">
        <f t="array" ref="K391">EVAL($AG$14,B391)</f>
        <v>1.9219097646460039</v>
      </c>
      <c r="L391" s="15" cm="1">
        <f t="array" ref="L391">EVAL($AG$15,B391)</f>
        <v>84.564366600325869</v>
      </c>
      <c r="M391" s="15" cm="1">
        <f t="array" ref="M391">EVAL($AG$16,B391)</f>
        <v>1.0703804610096357</v>
      </c>
      <c r="N391" s="15" cm="1">
        <f t="array" ref="N391">EVAL($AG$17,B391)</f>
        <v>45.50419729779312</v>
      </c>
      <c r="O391" s="15" cm="1">
        <f t="array" ref="O391">EVAL($AG$18,B391)</f>
        <v>7.4360972846662663E-3</v>
      </c>
      <c r="P391" s="15" cm="1">
        <f t="array" ref="P391">EVAL($AG$19,B391)</f>
        <v>7.4360972846662663E-3</v>
      </c>
      <c r="Q391" s="15" cm="1">
        <f t="array" ref="Q391">EVAL($AH$6,B391)</f>
        <v>1.3389831261043814</v>
      </c>
      <c r="R391" s="15" cm="1">
        <f t="array" ref="R391">EVAL($AH$7,B391)</f>
        <v>1.3389831261043814</v>
      </c>
      <c r="T391" s="15" cm="1">
        <f t="array" ref="T391">EVAL($AH$9,B391)</f>
        <v>0.87756465606806289</v>
      </c>
      <c r="U391" s="15" cm="1">
        <f t="array" ref="U391">EVAL($AH$10,B391)</f>
        <v>0.87756465606806289</v>
      </c>
      <c r="V391" s="15" cm="1">
        <f t="array" ref="V391">EVAL($AH$11,B391)</f>
        <v>0.87756465606806289</v>
      </c>
      <c r="W391" s="15" cm="1">
        <f t="array" ref="W391">EVAL($AH$12,B391)</f>
        <v>53.861428560242913</v>
      </c>
      <c r="X391" s="15" cm="1">
        <f t="array" ref="X391">EVAL($AH$13,B391)</f>
        <v>0.39205071135923636</v>
      </c>
      <c r="Y391" s="15" cm="1">
        <f t="array" ref="Y391">EVAL($AH$14,B391)</f>
        <v>0.39205071135923636</v>
      </c>
    </row>
    <row r="392" spans="1:25" x14ac:dyDescent="0.25">
      <c r="A392" s="20">
        <v>39.900000000000297</v>
      </c>
      <c r="B392" s="41">
        <f t="shared" si="6"/>
        <v>125.34954687823368</v>
      </c>
      <c r="C392" s="15" cm="1">
        <f t="array" ref="C392">EVAL($AG$6,B392)</f>
        <v>405.20381904038265</v>
      </c>
      <c r="D392" s="15" cm="1">
        <f t="array" ref="D392">EVAL($AG$7,B392)</f>
        <v>4.1235066123893098</v>
      </c>
      <c r="F392" s="15" cm="1">
        <f t="array" ref="F392">EVAL($AG$9,B392)</f>
        <v>2.8723569291557922</v>
      </c>
      <c r="G392" s="15" cm="1">
        <f t="array" ref="G392">EVAL($AG$10,B392)</f>
        <v>2.8723569291557922</v>
      </c>
      <c r="H392" s="15" cm="1">
        <f t="array" ref="H392">EVAL($AG$11,B392)</f>
        <v>2.8723569291557922</v>
      </c>
      <c r="I392" s="15" cm="1">
        <f t="array" ref="I392">EVAL($AG$12,B392)</f>
        <v>2.6913095352087444</v>
      </c>
      <c r="J392" s="15" cm="1">
        <f t="array" ref="J392">EVAL($AG$13,B392)</f>
        <v>156.94932611559264</v>
      </c>
      <c r="K392" s="15" cm="1">
        <f t="array" ref="K392">EVAL($AG$14,B392)</f>
        <v>1.92607253853379</v>
      </c>
      <c r="L392" s="15" cm="1">
        <f t="array" ref="L392">EVAL($AG$15,B392)</f>
        <v>84.69346555918473</v>
      </c>
      <c r="M392" s="15" cm="1">
        <f t="array" ref="M392">EVAL($AG$16,B392)</f>
        <v>1.0717506728994706</v>
      </c>
      <c r="N392" s="15" cm="1">
        <f t="array" ref="N392">EVAL($AG$17,B392)</f>
        <v>45.550855892501254</v>
      </c>
      <c r="O392" s="15" cm="1">
        <f t="array" ref="O392">EVAL($AG$18,B392)</f>
        <v>7.4257853347510106E-3</v>
      </c>
      <c r="P392" s="15" cm="1">
        <f t="array" ref="P392">EVAL($AG$19,B392)</f>
        <v>7.4257853347510106E-3</v>
      </c>
      <c r="Q392" s="15" cm="1">
        <f t="array" ref="Q392">EVAL($AH$6,B392)</f>
        <v>1.3403725592117686</v>
      </c>
      <c r="R392" s="15" cm="1">
        <f t="array" ref="R392">EVAL($AH$7,B392)</f>
        <v>1.3403725592117686</v>
      </c>
      <c r="T392" s="15" cm="1">
        <f t="array" ref="T392">EVAL($AH$9,B392)</f>
        <v>0.87842524573011727</v>
      </c>
      <c r="U392" s="15" cm="1">
        <f t="array" ref="U392">EVAL($AH$10,B392)</f>
        <v>0.87842524573011727</v>
      </c>
      <c r="V392" s="15" cm="1">
        <f t="array" ref="V392">EVAL($AH$11,B392)</f>
        <v>0.87842524573011727</v>
      </c>
      <c r="W392" s="15" cm="1">
        <f t="array" ref="W392">EVAL($AH$12,B392)</f>
        <v>54.061593820560759</v>
      </c>
      <c r="X392" s="15" cm="1">
        <f t="array" ref="X392">EVAL($AH$13,B392)</f>
        <v>0.39230698092383326</v>
      </c>
      <c r="Y392" s="15" cm="1">
        <f t="array" ref="Y392">EVAL($AH$14,B392)</f>
        <v>0.39230698092383326</v>
      </c>
    </row>
    <row r="393" spans="1:25" x14ac:dyDescent="0.25">
      <c r="A393" s="20">
        <v>40.000000000000298</v>
      </c>
      <c r="B393" s="41">
        <f t="shared" si="6"/>
        <v>125.66370614359266</v>
      </c>
      <c r="C393" s="15" cm="1">
        <f t="array" ref="C393">EVAL($AG$6,B393)</f>
        <v>405.90579958368681</v>
      </c>
      <c r="D393" s="15" cm="1">
        <f t="array" ref="D393">EVAL($AG$7,B393)</f>
        <v>4.126412154638639</v>
      </c>
      <c r="F393" s="15" cm="1">
        <f t="array" ref="F393">EVAL($AG$9,B393)</f>
        <v>2.8796718682822293</v>
      </c>
      <c r="G393" s="15" cm="1">
        <f t="array" ref="G393">EVAL($AG$10,B393)</f>
        <v>2.8796718682822293</v>
      </c>
      <c r="H393" s="15" cm="1">
        <f t="array" ref="H393">EVAL($AG$11,B393)</f>
        <v>2.8796718682822293</v>
      </c>
      <c r="I393" s="15" cm="1">
        <f t="array" ref="I393">EVAL($AG$12,B393)</f>
        <v>2.6976785235838041</v>
      </c>
      <c r="J393" s="15" cm="1">
        <f t="array" ref="J393">EVAL($AG$13,B393)</f>
        <v>157.24417259767952</v>
      </c>
      <c r="K393" s="15" cm="1">
        <f t="array" ref="K393">EVAL($AG$14,B393)</f>
        <v>1.9302338749984225</v>
      </c>
      <c r="L393" s="15" cm="1">
        <f t="array" ref="L393">EVAL($AG$15,B393)</f>
        <v>84.822437713780261</v>
      </c>
      <c r="M393" s="15" cm="1">
        <f t="array" ref="M393">EVAL($AG$16,B393)</f>
        <v>1.0731192024176028</v>
      </c>
      <c r="N393" s="15" cm="1">
        <f t="array" ref="N393">EVAL($AG$17,B393)</f>
        <v>45.597445357363817</v>
      </c>
      <c r="O393" s="15" cm="1">
        <f t="array" ref="O393">EVAL($AG$18,B393)</f>
        <v>7.415513443387884E-3</v>
      </c>
      <c r="P393" s="15" cm="1">
        <f t="array" ref="P393">EVAL($AG$19,B393)</f>
        <v>7.415513443387884E-3</v>
      </c>
      <c r="Q393" s="15" cm="1">
        <f t="array" ref="Q393">EVAL($AH$6,B393)</f>
        <v>1.3417599507590843</v>
      </c>
      <c r="R393" s="15" cm="1">
        <f t="array" ref="R393">EVAL($AH$7,B393)</f>
        <v>1.3417599507590843</v>
      </c>
      <c r="T393" s="15" cm="1">
        <f t="array" ref="T393">EVAL($AH$9,B393)</f>
        <v>0.87928452199928187</v>
      </c>
      <c r="U393" s="15" cm="1">
        <f t="array" ref="U393">EVAL($AH$10,B393)</f>
        <v>0.87928452199928187</v>
      </c>
      <c r="V393" s="15" cm="1">
        <f t="array" ref="V393">EVAL($AH$11,B393)</f>
        <v>0.87928452199928187</v>
      </c>
      <c r="W393" s="15" cm="1">
        <f t="array" ref="W393">EVAL($AH$12,B393)</f>
        <v>54.261999122197494</v>
      </c>
      <c r="X393" s="15" cm="1">
        <f t="array" ref="X393">EVAL($AH$13,B393)</f>
        <v>0.3925627758977443</v>
      </c>
      <c r="Y393" s="15" cm="1">
        <f t="array" ref="Y393">EVAL($AH$14,B393)</f>
        <v>0.3925627758977443</v>
      </c>
    </row>
  </sheetData>
  <mergeCells count="2">
    <mergeCell ref="C1:P1"/>
    <mergeCell ref="Q1:AD1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BC0F6-BA7D-424E-823F-99A07E185E86}">
  <sheetPr codeName="Sheet12"/>
  <dimension ref="A1:C15"/>
  <sheetViews>
    <sheetView workbookViewId="0">
      <selection activeCell="B12" sqref="B12"/>
    </sheetView>
  </sheetViews>
  <sheetFormatPr defaultRowHeight="15" x14ac:dyDescent="0.25"/>
  <cols>
    <col min="1" max="1" width="15.85546875" bestFit="1" customWidth="1"/>
  </cols>
  <sheetData>
    <row r="1" spans="1:3" x14ac:dyDescent="0.25">
      <c r="A1" t="s">
        <v>31</v>
      </c>
      <c r="B1" t="s">
        <v>32</v>
      </c>
      <c r="C1" t="s">
        <v>8</v>
      </c>
    </row>
    <row r="2" spans="1:3" x14ac:dyDescent="0.25">
      <c r="A2" s="10" t="s">
        <v>34</v>
      </c>
      <c r="B2" s="15">
        <f>5/8</f>
        <v>0.625</v>
      </c>
      <c r="C2">
        <f>B2*25.4</f>
        <v>15.875</v>
      </c>
    </row>
    <row r="3" spans="1:3" x14ac:dyDescent="0.25">
      <c r="A3" s="10" t="s">
        <v>24</v>
      </c>
      <c r="B3" s="15">
        <v>0.5</v>
      </c>
      <c r="C3">
        <f>B3*25.4</f>
        <v>12.7</v>
      </c>
    </row>
    <row r="4" spans="1:3" x14ac:dyDescent="0.25">
      <c r="A4" s="10" t="s">
        <v>33</v>
      </c>
      <c r="B4" s="15">
        <f>3/8</f>
        <v>0.375</v>
      </c>
      <c r="C4">
        <f t="shared" ref="C4:C7" si="0">B4*25.4</f>
        <v>9.5249999999999986</v>
      </c>
    </row>
    <row r="5" spans="1:3" x14ac:dyDescent="0.25">
      <c r="A5" s="10" t="s">
        <v>35</v>
      </c>
      <c r="B5" s="15">
        <f>5/16</f>
        <v>0.3125</v>
      </c>
      <c r="C5">
        <f t="shared" si="0"/>
        <v>7.9375</v>
      </c>
    </row>
    <row r="6" spans="1:3" x14ac:dyDescent="0.25">
      <c r="A6" s="10" t="s">
        <v>36</v>
      </c>
      <c r="B6" s="15">
        <v>0.25</v>
      </c>
      <c r="C6">
        <f t="shared" si="0"/>
        <v>6.35</v>
      </c>
    </row>
    <row r="7" spans="1:3" x14ac:dyDescent="0.25">
      <c r="A7" s="10" t="s">
        <v>3</v>
      </c>
      <c r="B7" s="15">
        <f>3/16</f>
        <v>0.1875</v>
      </c>
      <c r="C7">
        <f t="shared" si="0"/>
        <v>4.7624999999999993</v>
      </c>
    </row>
    <row r="8" spans="1:3" x14ac:dyDescent="0.25">
      <c r="A8" s="20">
        <v>8</v>
      </c>
      <c r="B8" s="15">
        <f>C8*0.0393701</f>
        <v>0.16535442</v>
      </c>
      <c r="C8">
        <v>4.2</v>
      </c>
    </row>
    <row r="9" spans="1:3" x14ac:dyDescent="0.25">
      <c r="A9" s="20">
        <v>11</v>
      </c>
      <c r="B9" s="15">
        <f t="shared" ref="B9:B15" si="1">C9*0.0393701</f>
        <v>0.119685104</v>
      </c>
      <c r="C9">
        <v>3.04</v>
      </c>
    </row>
    <row r="10" spans="1:3" x14ac:dyDescent="0.25">
      <c r="A10" s="20">
        <v>12</v>
      </c>
      <c r="B10" s="15">
        <f t="shared" si="1"/>
        <v>0.104724466</v>
      </c>
      <c r="C10">
        <v>2.66</v>
      </c>
    </row>
    <row r="11" spans="1:3" x14ac:dyDescent="0.25">
      <c r="A11" s="20">
        <v>14</v>
      </c>
      <c r="B11" s="15">
        <f t="shared" si="1"/>
        <v>7.4803189999999992E-2</v>
      </c>
      <c r="C11">
        <v>1.9</v>
      </c>
    </row>
    <row r="12" spans="1:3" x14ac:dyDescent="0.25">
      <c r="A12" s="20">
        <v>16</v>
      </c>
      <c r="B12" s="15">
        <f t="shared" si="1"/>
        <v>5.9842552E-2</v>
      </c>
      <c r="C12">
        <v>1.52</v>
      </c>
    </row>
    <row r="13" spans="1:3" x14ac:dyDescent="0.25">
      <c r="A13" s="20">
        <v>18</v>
      </c>
      <c r="B13" s="15">
        <f t="shared" si="1"/>
        <v>4.7637820999999997E-2</v>
      </c>
      <c r="C13">
        <v>1.21</v>
      </c>
    </row>
    <row r="14" spans="1:3" x14ac:dyDescent="0.25">
      <c r="A14" s="20">
        <v>20</v>
      </c>
      <c r="B14" s="15">
        <f t="shared" si="1"/>
        <v>3.5826790999999997E-2</v>
      </c>
      <c r="C14">
        <v>0.91</v>
      </c>
    </row>
    <row r="15" spans="1:3" x14ac:dyDescent="0.25">
      <c r="A15" s="20">
        <v>22</v>
      </c>
      <c r="B15" s="15">
        <f t="shared" si="1"/>
        <v>2.9921276E-2</v>
      </c>
      <c r="C15">
        <v>0.76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78E11-E9FD-47E4-980E-E4DEC9A32F9C}">
  <sheetPr codeName="Sheet13"/>
  <dimension ref="A1:U14"/>
  <sheetViews>
    <sheetView zoomScaleNormal="100" workbookViewId="0">
      <selection activeCell="Y16" sqref="Y16"/>
    </sheetView>
  </sheetViews>
  <sheetFormatPr defaultRowHeight="15" x14ac:dyDescent="0.25"/>
  <cols>
    <col min="2" max="2" width="9.5703125" bestFit="1" customWidth="1"/>
  </cols>
  <sheetData>
    <row r="1" spans="1:21" x14ac:dyDescent="0.25">
      <c r="A1" t="s">
        <v>50</v>
      </c>
      <c r="B1" t="s">
        <v>42</v>
      </c>
      <c r="C1" t="s">
        <v>43</v>
      </c>
      <c r="F1" t="s">
        <v>50</v>
      </c>
      <c r="G1" t="s">
        <v>42</v>
      </c>
      <c r="H1" t="s">
        <v>43</v>
      </c>
    </row>
    <row r="2" spans="1:21" x14ac:dyDescent="0.25">
      <c r="A2" t="s">
        <v>49</v>
      </c>
      <c r="B2">
        <v>0.76</v>
      </c>
      <c r="C2">
        <v>3</v>
      </c>
      <c r="F2" s="10" t="s">
        <v>45</v>
      </c>
      <c r="G2">
        <v>12.7</v>
      </c>
      <c r="H2">
        <v>90</v>
      </c>
    </row>
    <row r="3" spans="1:21" x14ac:dyDescent="0.25">
      <c r="A3" t="s">
        <v>2</v>
      </c>
      <c r="B3">
        <v>0.91</v>
      </c>
      <c r="C3">
        <v>4</v>
      </c>
      <c r="F3" s="10" t="s">
        <v>22</v>
      </c>
      <c r="G3">
        <v>4.76</v>
      </c>
      <c r="H3">
        <v>24</v>
      </c>
    </row>
    <row r="4" spans="1:21" x14ac:dyDescent="0.25">
      <c r="A4" t="s">
        <v>48</v>
      </c>
      <c r="B4">
        <v>1.21</v>
      </c>
      <c r="C4">
        <v>6</v>
      </c>
      <c r="F4" t="s">
        <v>4</v>
      </c>
      <c r="G4">
        <v>4.18</v>
      </c>
      <c r="H4">
        <v>9</v>
      </c>
    </row>
    <row r="5" spans="1:21" x14ac:dyDescent="0.25">
      <c r="A5" t="s">
        <v>6</v>
      </c>
      <c r="B5">
        <v>1.52</v>
      </c>
      <c r="C5">
        <v>8</v>
      </c>
      <c r="F5" t="s">
        <v>5</v>
      </c>
      <c r="G5">
        <v>2.66</v>
      </c>
      <c r="H5">
        <v>8</v>
      </c>
      <c r="T5" t="s">
        <v>42</v>
      </c>
      <c r="U5">
        <v>15.88</v>
      </c>
    </row>
    <row r="6" spans="1:21" x14ac:dyDescent="0.25">
      <c r="A6" t="s">
        <v>47</v>
      </c>
      <c r="B6">
        <v>1.9</v>
      </c>
      <c r="C6">
        <v>8</v>
      </c>
      <c r="F6" t="s">
        <v>6</v>
      </c>
      <c r="G6">
        <v>1.52</v>
      </c>
      <c r="H6">
        <v>8</v>
      </c>
      <c r="T6">
        <v>1</v>
      </c>
      <c r="U6">
        <f>0.0078*(U5^4)</f>
        <v>496.01703851980807</v>
      </c>
    </row>
    <row r="7" spans="1:21" x14ac:dyDescent="0.25">
      <c r="A7" t="s">
        <v>5</v>
      </c>
      <c r="B7">
        <v>2.66</v>
      </c>
      <c r="C7">
        <v>8</v>
      </c>
      <c r="F7" t="s">
        <v>2</v>
      </c>
      <c r="G7">
        <v>0.91</v>
      </c>
      <c r="H7">
        <v>4</v>
      </c>
      <c r="T7">
        <v>2</v>
      </c>
      <c r="U7">
        <f>0.2963*(U5^3)</f>
        <v>1186.5420825536003</v>
      </c>
    </row>
    <row r="8" spans="1:21" x14ac:dyDescent="0.25">
      <c r="A8" t="s">
        <v>38</v>
      </c>
      <c r="B8">
        <v>3.04</v>
      </c>
      <c r="C8">
        <v>8</v>
      </c>
      <c r="T8">
        <v>3</v>
      </c>
      <c r="U8">
        <f>3.8361*(U5^2)</f>
        <v>967.36621584000011</v>
      </c>
    </row>
    <row r="9" spans="1:21" x14ac:dyDescent="0.25">
      <c r="A9" t="s">
        <v>4</v>
      </c>
      <c r="B9">
        <v>4.18</v>
      </c>
      <c r="C9">
        <v>9</v>
      </c>
      <c r="T9">
        <v>4</v>
      </c>
      <c r="U9">
        <f>10.641*U5</f>
        <v>168.97908000000001</v>
      </c>
    </row>
    <row r="10" spans="1:21" x14ac:dyDescent="0.25">
      <c r="A10" s="10" t="s">
        <v>22</v>
      </c>
      <c r="B10">
        <v>4.76</v>
      </c>
      <c r="C10">
        <v>24</v>
      </c>
      <c r="T10">
        <v>5</v>
      </c>
      <c r="U10">
        <v>12.65</v>
      </c>
    </row>
    <row r="11" spans="1:21" x14ac:dyDescent="0.25">
      <c r="A11" s="10" t="s">
        <v>36</v>
      </c>
      <c r="B11">
        <v>6.35</v>
      </c>
      <c r="C11">
        <v>30</v>
      </c>
      <c r="U11">
        <f>U6-U7+U8-U9+U10</f>
        <v>120.51209180620785</v>
      </c>
    </row>
    <row r="12" spans="1:21" x14ac:dyDescent="0.25">
      <c r="A12" s="10" t="s">
        <v>46</v>
      </c>
      <c r="B12">
        <v>7.94</v>
      </c>
      <c r="C12">
        <v>60</v>
      </c>
    </row>
    <row r="13" spans="1:21" x14ac:dyDescent="0.25">
      <c r="A13" s="10" t="s">
        <v>45</v>
      </c>
      <c r="B13">
        <v>12.7</v>
      </c>
      <c r="C13">
        <v>90</v>
      </c>
    </row>
    <row r="14" spans="1:21" x14ac:dyDescent="0.25">
      <c r="A14" s="10" t="s">
        <v>44</v>
      </c>
      <c r="B14">
        <v>15.88</v>
      </c>
      <c r="C14">
        <v>120</v>
      </c>
    </row>
  </sheetData>
  <sortState xmlns:xlrd2="http://schemas.microsoft.com/office/spreadsheetml/2017/richdata2" ref="A2:C14">
    <sortCondition ref="B2:B14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20ga</vt:lpstr>
      <vt:lpstr>16ga</vt:lpstr>
      <vt:lpstr>14ga (Untested)</vt:lpstr>
      <vt:lpstr>12ga</vt:lpstr>
      <vt:lpstr>8ga</vt:lpstr>
      <vt:lpstr>8ga (2)</vt:lpstr>
      <vt:lpstr>316</vt:lpstr>
      <vt:lpstr>1-2 (2)</vt:lpstr>
      <vt:lpstr>1-2</vt:lpstr>
      <vt:lpstr>Graphs</vt:lpstr>
      <vt:lpstr>Combined Data</vt:lpstr>
      <vt:lpstr>Formula Calc</vt:lpstr>
      <vt:lpstr>Sheet5</vt:lpstr>
      <vt:lpstr>Pierce 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Lutz</dc:creator>
  <cp:lastModifiedBy>Matt Lutz</cp:lastModifiedBy>
  <dcterms:created xsi:type="dcterms:W3CDTF">2019-07-30T01:18:48Z</dcterms:created>
  <dcterms:modified xsi:type="dcterms:W3CDTF">2020-06-24T18:16:46Z</dcterms:modified>
</cp:coreProperties>
</file>