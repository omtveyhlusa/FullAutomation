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U:\MLutz\1. Programming\"/>
    </mc:Choice>
  </mc:AlternateContent>
  <xr:revisionPtr revIDLastSave="0" documentId="13_ncr:1_{1FEE8C84-E0BB-4D63-B0D4-DAD25AD1DB6E}" xr6:coauthVersionLast="45" xr6:coauthVersionMax="45" xr10:uidLastSave="{00000000-0000-0000-0000-000000000000}"/>
  <bookViews>
    <workbookView xWindow="20610" yWindow="165" windowWidth="17430" windowHeight="20745" xr2:uid="{685F2F40-503C-4393-BE00-19E257DDF2F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" i="1" l="1"/>
  <c r="B4" i="1"/>
  <c r="M21" i="1" l="1"/>
  <c r="M22" i="1"/>
  <c r="M23" i="1"/>
  <c r="M24" i="1"/>
  <c r="M25" i="1"/>
  <c r="M26" i="1"/>
  <c r="M27" i="1"/>
  <c r="M28" i="1"/>
  <c r="M29" i="1"/>
  <c r="M30" i="1"/>
  <c r="M31" i="1"/>
  <c r="M32" i="1"/>
  <c r="M19" i="1"/>
  <c r="L20" i="1"/>
  <c r="M20" i="1" s="1"/>
  <c r="L21" i="1"/>
  <c r="L22" i="1"/>
  <c r="L23" i="1"/>
  <c r="L24" i="1"/>
  <c r="L25" i="1"/>
  <c r="L26" i="1"/>
  <c r="L27" i="1"/>
  <c r="L28" i="1"/>
  <c r="L29" i="1"/>
  <c r="L30" i="1"/>
  <c r="L31" i="1"/>
  <c r="L32" i="1"/>
  <c r="L19" i="1"/>
  <c r="K11" i="2" l="1"/>
  <c r="K6" i="2"/>
  <c r="B12" i="1" l="1"/>
  <c r="C12" i="1" s="1"/>
  <c r="B24" i="1" l="1"/>
  <c r="C24" i="1" s="1"/>
  <c r="B26" i="1" l="1"/>
  <c r="C26" i="1" s="1"/>
  <c r="J4" i="1" l="1"/>
  <c r="K4" i="1" s="1"/>
  <c r="B19" i="1" l="1"/>
  <c r="C19" i="1" s="1"/>
  <c r="B20" i="1"/>
  <c r="C20" i="1" s="1"/>
  <c r="B21" i="1"/>
  <c r="C21" i="1" s="1"/>
  <c r="B22" i="1"/>
  <c r="C22" i="1" s="1"/>
  <c r="B23" i="1"/>
  <c r="C23" i="1" s="1"/>
  <c r="B25" i="1"/>
  <c r="C25" i="1" s="1"/>
  <c r="B18" i="1"/>
  <c r="C18" i="1" s="1"/>
  <c r="B6" i="1"/>
  <c r="C6" i="1" s="1"/>
  <c r="B7" i="1"/>
  <c r="C7" i="1" s="1"/>
  <c r="B8" i="1"/>
  <c r="C8" i="1" s="1"/>
  <c r="B9" i="1"/>
  <c r="C9" i="1" s="1"/>
  <c r="B10" i="1"/>
  <c r="C10" i="1" s="1"/>
  <c r="B11" i="1"/>
  <c r="C11" i="1" s="1"/>
  <c r="B5" i="1"/>
  <c r="C5" i="1" l="1"/>
  <c r="F13" i="1"/>
  <c r="G13" i="1" s="1"/>
  <c r="F12" i="1"/>
  <c r="G12" i="1" s="1"/>
  <c r="F11" i="1"/>
  <c r="G11" i="1" s="1"/>
  <c r="F8" i="1"/>
  <c r="G8" i="1" s="1"/>
  <c r="F9" i="1"/>
  <c r="G9" i="1" s="1"/>
  <c r="F10" i="1"/>
  <c r="G10" i="1" s="1"/>
  <c r="F5" i="1"/>
  <c r="G5" i="1" s="1"/>
  <c r="F7" i="1"/>
  <c r="G7" i="1" s="1"/>
  <c r="F6" i="1"/>
  <c r="G6" i="1" s="1"/>
</calcChain>
</file>

<file path=xl/sharedStrings.xml><?xml version="1.0" encoding="utf-8"?>
<sst xmlns="http://schemas.openxmlformats.org/spreadsheetml/2006/main" count="34" uniqueCount="29">
  <si>
    <t>Line 601</t>
  </si>
  <si>
    <t>Parts per Rack</t>
  </si>
  <si>
    <t>Time per Part (in seconds)</t>
  </si>
  <si>
    <t>Line 602</t>
  </si>
  <si>
    <t>seconds per rack</t>
  </si>
  <si>
    <t>Paint .135 lbs per part</t>
  </si>
  <si>
    <t>*19 seconds per rack (2 levels of 6 each) plus gap between racks</t>
  </si>
  <si>
    <t xml:space="preserve"> </t>
  </si>
  <si>
    <t>PC1</t>
  </si>
  <si>
    <t>2 shifts</t>
  </si>
  <si>
    <t>Makes 4,500 pieces per day</t>
  </si>
  <si>
    <t>PC2</t>
  </si>
  <si>
    <t xml:space="preserve">10 direct labor staff plus 3 indirect per shift </t>
  </si>
  <si>
    <t xml:space="preserve">3 direct labor staff plus 2 indirect per shift </t>
  </si>
  <si>
    <t>Could make between 8,000 and 10,000 pieces per day</t>
  </si>
  <si>
    <t>Currently working at  40% capacity (aprox 3,600 pc)</t>
  </si>
  <si>
    <t>Overhead = teamleads, techs, etc.</t>
  </si>
  <si>
    <t>7.5 ft per minute</t>
  </si>
  <si>
    <t>Per J. Szczapaniuk 8/19/2019</t>
  </si>
  <si>
    <t>48 in Rack</t>
  </si>
  <si>
    <t>17 in Gap</t>
  </si>
  <si>
    <t>65 in total</t>
  </si>
  <si>
    <t>90 in per 60 sec</t>
  </si>
  <si>
    <t>16 ft per min</t>
  </si>
  <si>
    <t>5 ft per rack</t>
  </si>
  <si>
    <t>secs per rack</t>
  </si>
  <si>
    <t>192 in per 60 sec</t>
  </si>
  <si>
    <t>60 in per rack</t>
  </si>
  <si>
    <t>gaps?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</si>
</sst>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_-* #,##0.00000_-;\-* #,##0.000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165" fontId="0" fillId="0" borderId="0" xfId="1" applyNumberFormat="1" applyFont="1"/>
    <xf numFmtId="0" fontId="0" fillId="0" borderId="0" xfId="0" applyAlignment="1">
      <alignment horizontal="center" wrapText="1"/>
    </xf>
    <xf numFmtId="165" fontId="0" fillId="0" borderId="0" xfId="0" applyNumberFormat="1"/>
    <xf numFmtId="0" fontId="0" fillId="0" borderId="1" xfId="0" applyBorder="1"/>
    <xf numFmtId="0" fontId="0" fillId="0" borderId="0" xfId="0" applyFill="1" applyBorder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EB025-3D33-4922-98DA-121950412CA3}">
  <dimension ref="A1:M32"/>
  <sheetViews>
    <sheetView tabSelected="1" zoomScaleNormal="100" workbookViewId="0">
      <selection activeCell="C5" sqref="C5"/>
    </sheetView>
  </sheetViews>
  <sheetFormatPr defaultRowHeight="15" x14ac:dyDescent="0.25"/>
  <cols>
    <col min="2" max="2" width="10.140625" bestFit="1" customWidth="1"/>
    <col min="6" max="6" width="10" bestFit="1" customWidth="1"/>
    <col min="18" max="18" width="14.28515625" bestFit="1" customWidth="1"/>
    <col min="19" max="19" width="17.7109375" bestFit="1" customWidth="1"/>
  </cols>
  <sheetData>
    <row r="1" spans="1:11" x14ac:dyDescent="0.25">
      <c r="A1" t="s">
        <v>0</v>
      </c>
      <c r="B1">
        <v>43.333329999999997</v>
      </c>
      <c r="C1" t="s">
        <v>4</v>
      </c>
    </row>
    <row r="3" spans="1:11" s="2" customFormat="1" ht="45" x14ac:dyDescent="0.25">
      <c r="A3" s="2" t="s">
        <v>1</v>
      </c>
      <c r="B3" s="2" t="s">
        <v>2</v>
      </c>
    </row>
    <row r="4" spans="1:11" x14ac:dyDescent="0.25">
      <c r="A4">
        <v>0.5</v>
      </c>
      <c r="B4" s="6">
        <f>B5*2</f>
        <v>86.666659999999993</v>
      </c>
      <c r="C4" s="6">
        <f>B4/60</f>
        <v>1.4444443333333332</v>
      </c>
      <c r="I4">
        <v>30</v>
      </c>
      <c r="J4" s="1">
        <f>$B$1/I4</f>
        <v>1.4444443333333332</v>
      </c>
      <c r="K4" s="3">
        <f t="shared" ref="K4" si="0">J4/60</f>
        <v>2.4074072222222222E-2</v>
      </c>
    </row>
    <row r="5" spans="1:11" x14ac:dyDescent="0.25">
      <c r="A5">
        <v>1</v>
      </c>
      <c r="B5" s="1">
        <f>$B$1/A5</f>
        <v>43.333329999999997</v>
      </c>
      <c r="C5" s="3">
        <f>B5/60</f>
        <v>0.72222216666666661</v>
      </c>
      <c r="E5">
        <v>7</v>
      </c>
      <c r="F5" s="3">
        <f>$B$5/E5</f>
        <v>6.1904757142857134</v>
      </c>
      <c r="G5" s="3">
        <f>F5/60</f>
        <v>0.10317459523809522</v>
      </c>
    </row>
    <row r="6" spans="1:11" x14ac:dyDescent="0.25">
      <c r="A6">
        <v>2</v>
      </c>
      <c r="B6" s="1">
        <f t="shared" ref="B6:B12" si="1">$B$1/A6</f>
        <v>21.666664999999998</v>
      </c>
      <c r="C6" s="3">
        <f t="shared" ref="C6:C12" si="2">B6/60</f>
        <v>0.3611110833333333</v>
      </c>
      <c r="E6">
        <v>8</v>
      </c>
      <c r="F6" s="3">
        <f>$B$5/E6</f>
        <v>5.4166662499999996</v>
      </c>
      <c r="G6" s="3">
        <f t="shared" ref="G6:G13" si="3">F6/60</f>
        <v>9.0277770833333326E-2</v>
      </c>
    </row>
    <row r="7" spans="1:11" x14ac:dyDescent="0.25">
      <c r="A7">
        <v>3</v>
      </c>
      <c r="B7" s="1">
        <f t="shared" si="1"/>
        <v>14.444443333333332</v>
      </c>
      <c r="C7" s="3">
        <f t="shared" si="2"/>
        <v>0.2407407222222222</v>
      </c>
      <c r="E7">
        <v>9</v>
      </c>
      <c r="F7" s="3">
        <f>$B$5/E7</f>
        <v>4.8148144444444441</v>
      </c>
      <c r="G7" s="3">
        <f t="shared" si="3"/>
        <v>8.0246907407407406E-2</v>
      </c>
    </row>
    <row r="8" spans="1:11" x14ac:dyDescent="0.25">
      <c r="A8">
        <v>4</v>
      </c>
      <c r="B8" s="1">
        <f t="shared" si="1"/>
        <v>10.833332499999999</v>
      </c>
      <c r="C8" s="3">
        <f t="shared" si="2"/>
        <v>0.18055554166666665</v>
      </c>
      <c r="E8">
        <v>10</v>
      </c>
      <c r="F8" s="3">
        <f>$B$5/E8</f>
        <v>4.3333329999999997</v>
      </c>
      <c r="G8" s="3">
        <f t="shared" si="3"/>
        <v>7.2222216666666658E-2</v>
      </c>
    </row>
    <row r="9" spans="1:11" x14ac:dyDescent="0.25">
      <c r="A9">
        <v>5</v>
      </c>
      <c r="B9" s="1">
        <f t="shared" si="1"/>
        <v>8.6666659999999993</v>
      </c>
      <c r="C9" s="3">
        <f t="shared" si="2"/>
        <v>0.14444443333333332</v>
      </c>
      <c r="E9">
        <v>11</v>
      </c>
      <c r="F9" s="3">
        <f>$B$5/E9</f>
        <v>3.9393936363636359</v>
      </c>
      <c r="G9" s="3">
        <f t="shared" si="3"/>
        <v>6.5656560606060593E-2</v>
      </c>
    </row>
    <row r="10" spans="1:11" x14ac:dyDescent="0.25">
      <c r="A10">
        <v>6</v>
      </c>
      <c r="B10" s="1">
        <f t="shared" si="1"/>
        <v>7.2222216666666661</v>
      </c>
      <c r="C10" s="3">
        <f t="shared" si="2"/>
        <v>0.1203703611111111</v>
      </c>
      <c r="E10">
        <v>12</v>
      </c>
      <c r="F10" s="3">
        <f>$B$5/E10</f>
        <v>3.611110833333333</v>
      </c>
      <c r="G10" s="3">
        <f t="shared" si="3"/>
        <v>6.0185180555555551E-2</v>
      </c>
    </row>
    <row r="11" spans="1:11" x14ac:dyDescent="0.25">
      <c r="A11">
        <v>20</v>
      </c>
      <c r="B11" s="1">
        <f t="shared" si="1"/>
        <v>2.1666664999999998</v>
      </c>
      <c r="C11" s="3">
        <f t="shared" si="2"/>
        <v>3.6111108333333329E-2</v>
      </c>
      <c r="E11">
        <v>13</v>
      </c>
      <c r="F11" s="3">
        <f>$B$5/E11</f>
        <v>3.3333330769230765</v>
      </c>
      <c r="G11" s="3">
        <f t="shared" si="3"/>
        <v>5.5555551282051273E-2</v>
      </c>
    </row>
    <row r="12" spans="1:11" x14ac:dyDescent="0.25">
      <c r="A12">
        <v>24</v>
      </c>
      <c r="B12" s="1">
        <f t="shared" si="1"/>
        <v>1.8055554166666665</v>
      </c>
      <c r="C12" s="3">
        <f t="shared" si="2"/>
        <v>3.0092590277777775E-2</v>
      </c>
      <c r="E12">
        <v>14</v>
      </c>
      <c r="F12" s="3">
        <f>$B$5/E12</f>
        <v>3.0952378571428567</v>
      </c>
      <c r="G12" s="3">
        <f t="shared" si="3"/>
        <v>5.1587297619047609E-2</v>
      </c>
    </row>
    <row r="13" spans="1:11" x14ac:dyDescent="0.25">
      <c r="B13" s="1"/>
      <c r="C13" s="3"/>
      <c r="E13">
        <v>15</v>
      </c>
      <c r="F13" s="3">
        <f>$B$5/E13</f>
        <v>2.8888886666666664</v>
      </c>
      <c r="G13" s="3">
        <f t="shared" si="3"/>
        <v>4.8148144444444443E-2</v>
      </c>
    </row>
    <row r="14" spans="1:11" x14ac:dyDescent="0.25">
      <c r="F14" s="3"/>
      <c r="G14" s="3"/>
    </row>
    <row r="15" spans="1:11" x14ac:dyDescent="0.25">
      <c r="A15" t="s">
        <v>3</v>
      </c>
      <c r="B15">
        <v>22.5</v>
      </c>
      <c r="C15" t="s">
        <v>4</v>
      </c>
      <c r="F15" t="s">
        <v>5</v>
      </c>
      <c r="J15" t="s">
        <v>6</v>
      </c>
    </row>
    <row r="17" spans="1:13" s="2" customFormat="1" ht="45" x14ac:dyDescent="0.25">
      <c r="A17" s="2" t="s">
        <v>1</v>
      </c>
      <c r="B17" s="2" t="s">
        <v>2</v>
      </c>
    </row>
    <row r="18" spans="1:13" x14ac:dyDescent="0.25">
      <c r="A18">
        <v>1</v>
      </c>
      <c r="B18" s="1">
        <f>$B$15/A18</f>
        <v>22.5</v>
      </c>
      <c r="C18" s="3">
        <f>B18/60</f>
        <v>0.375</v>
      </c>
    </row>
    <row r="19" spans="1:13" x14ac:dyDescent="0.25">
      <c r="A19">
        <v>2</v>
      </c>
      <c r="B19" s="1">
        <f t="shared" ref="B19:B26" si="4">$B$15/A19</f>
        <v>11.25</v>
      </c>
      <c r="C19" s="3">
        <f t="shared" ref="C19:C26" si="5">B19/60</f>
        <v>0.1875</v>
      </c>
      <c r="K19">
        <v>0.33333000000000002</v>
      </c>
      <c r="L19">
        <f>K19*60</f>
        <v>19.9998</v>
      </c>
      <c r="M19">
        <f>$B$1/L19</f>
        <v>2.1666881668816687</v>
      </c>
    </row>
    <row r="20" spans="1:13" x14ac:dyDescent="0.25">
      <c r="A20">
        <v>3</v>
      </c>
      <c r="B20" s="1">
        <f t="shared" si="4"/>
        <v>7.5</v>
      </c>
      <c r="C20" s="3">
        <f t="shared" si="5"/>
        <v>0.125</v>
      </c>
      <c r="K20">
        <v>1.6670000000000001E-2</v>
      </c>
      <c r="L20">
        <f t="shared" ref="L20:L32" si="6">K20*60</f>
        <v>1.0002</v>
      </c>
      <c r="M20">
        <f t="shared" ref="M20:M32" si="7">$B$1/L20</f>
        <v>43.324665066986597</v>
      </c>
    </row>
    <row r="21" spans="1:13" x14ac:dyDescent="0.25">
      <c r="A21">
        <v>4</v>
      </c>
      <c r="B21" s="1">
        <f t="shared" si="4"/>
        <v>5.625</v>
      </c>
      <c r="C21" s="3">
        <f t="shared" si="5"/>
        <v>9.375E-2</v>
      </c>
      <c r="L21">
        <f t="shared" si="6"/>
        <v>0</v>
      </c>
      <c r="M21" t="e">
        <f t="shared" si="7"/>
        <v>#DIV/0!</v>
      </c>
    </row>
    <row r="22" spans="1:13" x14ac:dyDescent="0.25">
      <c r="A22">
        <v>5</v>
      </c>
      <c r="B22" s="1">
        <f t="shared" si="4"/>
        <v>4.5</v>
      </c>
      <c r="C22" s="3">
        <f t="shared" si="5"/>
        <v>7.4999999999999997E-2</v>
      </c>
      <c r="L22">
        <f t="shared" si="6"/>
        <v>0</v>
      </c>
      <c r="M22" t="e">
        <f t="shared" si="7"/>
        <v>#DIV/0!</v>
      </c>
    </row>
    <row r="23" spans="1:13" x14ac:dyDescent="0.25">
      <c r="A23">
        <v>6</v>
      </c>
      <c r="B23" s="1">
        <f t="shared" si="4"/>
        <v>3.75</v>
      </c>
      <c r="C23" s="3">
        <f t="shared" si="5"/>
        <v>6.25E-2</v>
      </c>
      <c r="L23">
        <f t="shared" si="6"/>
        <v>0</v>
      </c>
      <c r="M23" t="e">
        <f t="shared" si="7"/>
        <v>#DIV/0!</v>
      </c>
    </row>
    <row r="24" spans="1:13" x14ac:dyDescent="0.25">
      <c r="A24">
        <v>8</v>
      </c>
      <c r="B24" s="1">
        <f t="shared" ref="B24" si="8">$B$15/A24</f>
        <v>2.8125</v>
      </c>
      <c r="C24" s="3">
        <f t="shared" si="5"/>
        <v>4.6875E-2</v>
      </c>
      <c r="L24">
        <f t="shared" si="6"/>
        <v>0</v>
      </c>
      <c r="M24" t="e">
        <f t="shared" si="7"/>
        <v>#DIV/0!</v>
      </c>
    </row>
    <row r="25" spans="1:13" x14ac:dyDescent="0.25">
      <c r="A25">
        <v>12</v>
      </c>
      <c r="B25" s="1">
        <f t="shared" si="4"/>
        <v>1.875</v>
      </c>
      <c r="C25" s="3">
        <f t="shared" si="5"/>
        <v>3.125E-2</v>
      </c>
      <c r="L25">
        <f t="shared" si="6"/>
        <v>0</v>
      </c>
      <c r="M25" t="e">
        <f t="shared" si="7"/>
        <v>#DIV/0!</v>
      </c>
    </row>
    <row r="26" spans="1:13" x14ac:dyDescent="0.25">
      <c r="A26">
        <v>42</v>
      </c>
      <c r="B26" s="1">
        <f t="shared" si="4"/>
        <v>0.5357142857142857</v>
      </c>
      <c r="C26" s="3">
        <f t="shared" si="5"/>
        <v>8.9285714285714281E-3</v>
      </c>
      <c r="L26">
        <f t="shared" si="6"/>
        <v>0</v>
      </c>
      <c r="M26" t="e">
        <f t="shared" si="7"/>
        <v>#DIV/0!</v>
      </c>
    </row>
    <row r="27" spans="1:13" x14ac:dyDescent="0.25">
      <c r="L27">
        <f t="shared" si="6"/>
        <v>0</v>
      </c>
      <c r="M27" t="e">
        <f t="shared" si="7"/>
        <v>#DIV/0!</v>
      </c>
    </row>
    <row r="28" spans="1:13" x14ac:dyDescent="0.25">
      <c r="L28">
        <f t="shared" si="6"/>
        <v>0</v>
      </c>
      <c r="M28" t="e">
        <f t="shared" si="7"/>
        <v>#DIV/0!</v>
      </c>
    </row>
    <row r="29" spans="1:13" x14ac:dyDescent="0.25">
      <c r="L29">
        <f t="shared" si="6"/>
        <v>0</v>
      </c>
      <c r="M29" t="e">
        <f t="shared" si="7"/>
        <v>#DIV/0!</v>
      </c>
    </row>
    <row r="30" spans="1:13" x14ac:dyDescent="0.25">
      <c r="L30">
        <f t="shared" si="6"/>
        <v>0</v>
      </c>
      <c r="M30" t="e">
        <f t="shared" si="7"/>
        <v>#DIV/0!</v>
      </c>
    </row>
    <row r="31" spans="1:13" x14ac:dyDescent="0.25">
      <c r="L31">
        <f t="shared" si="6"/>
        <v>0</v>
      </c>
      <c r="M31" t="e">
        <f t="shared" si="7"/>
        <v>#DIV/0!</v>
      </c>
    </row>
    <row r="32" spans="1:13" x14ac:dyDescent="0.25">
      <c r="L32">
        <f t="shared" si="6"/>
        <v>0</v>
      </c>
      <c r="M32" t="e">
        <f t="shared" si="7"/>
        <v>#DIV/0!</v>
      </c>
    </row>
  </sheetData>
  <pageMargins left="0.7" right="0.7" top="0.75" bottom="0.75" header="0.3" footer="0.3"/>
  <pageSetup orientation="portrait" r:id="rId1"/>
  <headerFooter>
    <oddFooter>&amp;L&amp;Z&amp;F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DFB44-C1B3-4791-ACA6-8D948EDAD559}">
  <dimension ref="A1:L16"/>
  <sheetViews>
    <sheetView workbookViewId="0">
      <selection activeCell="L20" sqref="L20"/>
    </sheetView>
  </sheetViews>
  <sheetFormatPr defaultRowHeight="15" x14ac:dyDescent="0.25"/>
  <cols>
    <col min="10" max="10" width="26.42578125" bestFit="1" customWidth="1"/>
    <col min="11" max="11" width="14.42578125" bestFit="1" customWidth="1"/>
  </cols>
  <sheetData>
    <row r="1" spans="1:12" x14ac:dyDescent="0.25">
      <c r="A1" t="s">
        <v>7</v>
      </c>
      <c r="J1" t="s">
        <v>18</v>
      </c>
    </row>
    <row r="2" spans="1:12" x14ac:dyDescent="0.25">
      <c r="B2" t="s">
        <v>8</v>
      </c>
    </row>
    <row r="3" spans="1:12" x14ac:dyDescent="0.25">
      <c r="C3" t="s">
        <v>12</v>
      </c>
      <c r="J3" t="s">
        <v>17</v>
      </c>
      <c r="K3" t="s">
        <v>22</v>
      </c>
    </row>
    <row r="4" spans="1:12" x14ac:dyDescent="0.25">
      <c r="C4" t="s">
        <v>9</v>
      </c>
      <c r="J4" t="s">
        <v>19</v>
      </c>
    </row>
    <row r="5" spans="1:12" x14ac:dyDescent="0.25">
      <c r="C5" t="s">
        <v>10</v>
      </c>
      <c r="J5" s="4" t="s">
        <v>20</v>
      </c>
    </row>
    <row r="6" spans="1:12" x14ac:dyDescent="0.25">
      <c r="J6" s="5" t="s">
        <v>21</v>
      </c>
      <c r="K6">
        <f>65*60/90</f>
        <v>43.333333333333336</v>
      </c>
      <c r="L6" t="s">
        <v>25</v>
      </c>
    </row>
    <row r="9" spans="1:12" x14ac:dyDescent="0.25">
      <c r="B9" t="s">
        <v>11</v>
      </c>
      <c r="C9" t="s">
        <v>13</v>
      </c>
      <c r="J9" t="s">
        <v>23</v>
      </c>
      <c r="K9" t="s">
        <v>26</v>
      </c>
    </row>
    <row r="10" spans="1:12" x14ac:dyDescent="0.25">
      <c r="C10" t="s">
        <v>9</v>
      </c>
      <c r="J10" t="s">
        <v>24</v>
      </c>
      <c r="K10" t="s">
        <v>27</v>
      </c>
    </row>
    <row r="11" spans="1:12" x14ac:dyDescent="0.25">
      <c r="C11" t="s">
        <v>14</v>
      </c>
      <c r="K11">
        <f>60*60/192</f>
        <v>18.75</v>
      </c>
      <c r="L11" t="s">
        <v>25</v>
      </c>
    </row>
    <row r="12" spans="1:12" x14ac:dyDescent="0.25">
      <c r="C12" t="s">
        <v>15</v>
      </c>
      <c r="L12" t="s">
        <v>28</v>
      </c>
    </row>
    <row r="16" spans="1:12" x14ac:dyDescent="0.25">
      <c r="B1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Stacie Johnson</dc:creator>
  <cp:lastModifiedBy>Matt Lutz</cp:lastModifiedBy>
  <cp:lastPrinted>2018-08-17T16:01:31Z</cp:lastPrinted>
  <dcterms:created xsi:type="dcterms:W3CDTF">2018-08-17T15:57:45Z</dcterms:created>
  <dcterms:modified xsi:type="dcterms:W3CDTF">2020-11-17T21:52:32Z</dcterms:modified>
</cp:coreProperties>
</file>