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Lutz\1. Programming\Automation\SheetMetalAutomation\Automation Information\"/>
    </mc:Choice>
  </mc:AlternateContent>
  <xr:revisionPtr revIDLastSave="0" documentId="13_ncr:1_{56984E20-2A9F-4E91-B52A-D1FE53E4BE65}" xr6:coauthVersionLast="45" xr6:coauthVersionMax="45" xr10:uidLastSave="{00000000-0000-0000-0000-000000000000}"/>
  <bookViews>
    <workbookView xWindow="-120" yWindow="-120" windowWidth="29040" windowHeight="15840" xr2:uid="{5EBBCEDD-5E05-4438-9FC9-ED3C3419C6C6}"/>
  </bookViews>
  <sheets>
    <sheet name="Sheet1" sheetId="1" r:id="rId1"/>
    <sheet name="Trending 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2" l="1" a="1"/>
  <c r="C13" i="2" s="1"/>
  <c r="H35" i="2"/>
  <c r="H34" i="2"/>
  <c r="H33" i="2"/>
  <c r="H37" i="2"/>
  <c r="H36" i="2"/>
  <c r="H39" i="2" l="1"/>
  <c r="V153" i="1"/>
  <c r="V126" i="1"/>
  <c r="V45" i="1" l="1"/>
  <c r="V42" i="1"/>
  <c r="K123" i="1" l="1"/>
  <c r="O123" i="1"/>
  <c r="K126" i="1"/>
  <c r="O126" i="1"/>
  <c r="K129" i="1"/>
  <c r="O129" i="1"/>
  <c r="K132" i="1"/>
  <c r="O132" i="1"/>
  <c r="K135" i="1"/>
  <c r="O135" i="1"/>
  <c r="K138" i="1"/>
  <c r="O138" i="1"/>
  <c r="K141" i="1"/>
  <c r="O141" i="1"/>
  <c r="K144" i="1"/>
  <c r="O144" i="1"/>
  <c r="K147" i="1"/>
  <c r="O147" i="1"/>
  <c r="K150" i="1"/>
  <c r="O150" i="1"/>
  <c r="K153" i="1"/>
  <c r="O153" i="1"/>
  <c r="K156" i="1"/>
  <c r="O156" i="1"/>
  <c r="K159" i="1"/>
  <c r="O159" i="1"/>
  <c r="O9" i="1" l="1"/>
  <c r="O12" i="1"/>
  <c r="O15" i="1"/>
  <c r="O18" i="1"/>
  <c r="O21" i="1"/>
  <c r="O24" i="1"/>
  <c r="O27" i="1"/>
  <c r="O30" i="1"/>
  <c r="O33" i="1"/>
  <c r="O36" i="1"/>
  <c r="O39" i="1"/>
  <c r="O42" i="1"/>
  <c r="O45" i="1"/>
  <c r="O48" i="1"/>
  <c r="O51" i="1"/>
  <c r="O54" i="1"/>
  <c r="O57" i="1"/>
  <c r="O60" i="1"/>
  <c r="O63" i="1"/>
  <c r="O66" i="1"/>
  <c r="O69" i="1"/>
  <c r="O72" i="1"/>
  <c r="O75" i="1"/>
  <c r="O78" i="1"/>
  <c r="O81" i="1"/>
  <c r="O84" i="1"/>
  <c r="O87" i="1"/>
  <c r="O90" i="1"/>
  <c r="O93" i="1"/>
  <c r="O96" i="1"/>
  <c r="O99" i="1"/>
  <c r="O102" i="1"/>
  <c r="O105" i="1"/>
  <c r="O108" i="1"/>
  <c r="O111" i="1"/>
  <c r="O117" i="1"/>
  <c r="O6" i="1"/>
  <c r="O3" i="1"/>
  <c r="K6" i="1" l="1"/>
  <c r="K9" i="1"/>
  <c r="K12" i="1"/>
  <c r="K15" i="1"/>
  <c r="K18" i="1"/>
  <c r="K21" i="1"/>
  <c r="K24" i="1"/>
  <c r="K27" i="1"/>
  <c r="K30" i="1"/>
  <c r="K33" i="1"/>
  <c r="K36" i="1"/>
  <c r="K39" i="1"/>
  <c r="K42" i="1"/>
  <c r="K45" i="1"/>
  <c r="K48" i="1"/>
  <c r="K51" i="1"/>
  <c r="K54" i="1"/>
  <c r="K57" i="1"/>
  <c r="K60" i="1"/>
  <c r="K63" i="1"/>
  <c r="K66" i="1"/>
  <c r="K69" i="1"/>
  <c r="K72" i="1"/>
  <c r="K75" i="1"/>
  <c r="K78" i="1"/>
  <c r="K81" i="1"/>
  <c r="K84" i="1"/>
  <c r="K87" i="1"/>
  <c r="K90" i="1"/>
  <c r="K93" i="1"/>
  <c r="K96" i="1"/>
  <c r="K99" i="1"/>
  <c r="K102" i="1"/>
  <c r="K105" i="1"/>
  <c r="K108" i="1"/>
  <c r="K111" i="1"/>
  <c r="K114" i="1"/>
  <c r="K117" i="1"/>
  <c r="K120" i="1"/>
  <c r="K3" i="1"/>
  <c r="F42" i="1"/>
  <c r="F43" i="1"/>
  <c r="F44" i="1"/>
  <c r="F45" i="1"/>
  <c r="F46" i="1"/>
  <c r="F47" i="1"/>
  <c r="G42" i="1" l="1"/>
  <c r="H42" i="1" s="1"/>
  <c r="G45" i="1"/>
  <c r="H45" i="1" s="1"/>
  <c r="P45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G105" i="1" s="1"/>
  <c r="H105" i="1" s="1"/>
  <c r="P105" i="1" s="1"/>
  <c r="F106" i="1"/>
  <c r="F107" i="1"/>
  <c r="F108" i="1"/>
  <c r="F109" i="1"/>
  <c r="F110" i="1"/>
  <c r="F111" i="1"/>
  <c r="G111" i="1" s="1"/>
  <c r="H111" i="1" s="1"/>
  <c r="P111" i="1" s="1"/>
  <c r="F112" i="1"/>
  <c r="F113" i="1"/>
  <c r="F114" i="1"/>
  <c r="F115" i="1"/>
  <c r="F116" i="1"/>
  <c r="F117" i="1"/>
  <c r="G117" i="1" s="1"/>
  <c r="H117" i="1" s="1"/>
  <c r="P117" i="1" s="1"/>
  <c r="F118" i="1"/>
  <c r="F119" i="1"/>
  <c r="F120" i="1"/>
  <c r="F121" i="1"/>
  <c r="F122" i="1"/>
  <c r="F123" i="1"/>
  <c r="G123" i="1" s="1"/>
  <c r="H123" i="1" s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G141" i="1" s="1"/>
  <c r="H141" i="1" s="1"/>
  <c r="F142" i="1"/>
  <c r="F143" i="1"/>
  <c r="F144" i="1"/>
  <c r="F145" i="1"/>
  <c r="F146" i="1"/>
  <c r="F147" i="1"/>
  <c r="G147" i="1" s="1"/>
  <c r="H147" i="1" s="1"/>
  <c r="F148" i="1"/>
  <c r="F149" i="1"/>
  <c r="F150" i="1"/>
  <c r="F151" i="1"/>
  <c r="F152" i="1"/>
  <c r="F153" i="1"/>
  <c r="F154" i="1"/>
  <c r="F155" i="1"/>
  <c r="F156" i="1"/>
  <c r="G156" i="1" s="1"/>
  <c r="H156" i="1" s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4" i="1"/>
  <c r="F3" i="1"/>
  <c r="G126" i="1" l="1"/>
  <c r="H126" i="1" s="1"/>
  <c r="G159" i="1"/>
  <c r="H159" i="1" s="1"/>
  <c r="L159" i="1" s="1"/>
  <c r="M159" i="1" s="1"/>
  <c r="G153" i="1"/>
  <c r="H153" i="1" s="1"/>
  <c r="P153" i="1" s="1"/>
  <c r="L42" i="1"/>
  <c r="M42" i="1" s="1"/>
  <c r="P42" i="1"/>
  <c r="G129" i="1"/>
  <c r="H129" i="1" s="1"/>
  <c r="L123" i="1"/>
  <c r="M123" i="1" s="1"/>
  <c r="P123" i="1"/>
  <c r="L156" i="1"/>
  <c r="M156" i="1" s="1"/>
  <c r="P156" i="1"/>
  <c r="P141" i="1"/>
  <c r="L141" i="1"/>
  <c r="M141" i="1" s="1"/>
  <c r="L147" i="1"/>
  <c r="M147" i="1" s="1"/>
  <c r="P147" i="1"/>
  <c r="G150" i="1"/>
  <c r="H150" i="1" s="1"/>
  <c r="L150" i="1" s="1"/>
  <c r="M150" i="1" s="1"/>
  <c r="G144" i="1"/>
  <c r="H144" i="1" s="1"/>
  <c r="L144" i="1" s="1"/>
  <c r="M144" i="1" s="1"/>
  <c r="G138" i="1"/>
  <c r="H138" i="1" s="1"/>
  <c r="L138" i="1" s="1"/>
  <c r="G135" i="1"/>
  <c r="H135" i="1" s="1"/>
  <c r="L135" i="1" s="1"/>
  <c r="M135" i="1" s="1"/>
  <c r="G132" i="1"/>
  <c r="H132" i="1" s="1"/>
  <c r="L132" i="1" s="1"/>
  <c r="M132" i="1" s="1"/>
  <c r="L126" i="1"/>
  <c r="M126" i="1" s="1"/>
  <c r="P126" i="1"/>
  <c r="L117" i="1"/>
  <c r="M117" i="1" s="1"/>
  <c r="L105" i="1"/>
  <c r="M105" i="1" s="1"/>
  <c r="L111" i="1"/>
  <c r="M111" i="1" s="1"/>
  <c r="L45" i="1"/>
  <c r="M45" i="1" s="1"/>
  <c r="G114" i="1"/>
  <c r="H114" i="1" s="1"/>
  <c r="P114" i="1" s="1"/>
  <c r="G102" i="1"/>
  <c r="H102" i="1" s="1"/>
  <c r="P102" i="1" s="1"/>
  <c r="G90" i="1"/>
  <c r="H90" i="1" s="1"/>
  <c r="P90" i="1" s="1"/>
  <c r="G78" i="1"/>
  <c r="H78" i="1" s="1"/>
  <c r="P78" i="1" s="1"/>
  <c r="G60" i="1"/>
  <c r="H60" i="1" s="1"/>
  <c r="P60" i="1" s="1"/>
  <c r="G48" i="1"/>
  <c r="H48" i="1" s="1"/>
  <c r="P48" i="1" s="1"/>
  <c r="G30" i="1"/>
  <c r="H30" i="1" s="1"/>
  <c r="P30" i="1" s="1"/>
  <c r="G18" i="1"/>
  <c r="H18" i="1" s="1"/>
  <c r="P18" i="1" s="1"/>
  <c r="G6" i="1"/>
  <c r="H6" i="1" s="1"/>
  <c r="P6" i="1" s="1"/>
  <c r="G99" i="1"/>
  <c r="H99" i="1" s="1"/>
  <c r="P99" i="1" s="1"/>
  <c r="G87" i="1"/>
  <c r="H87" i="1" s="1"/>
  <c r="P87" i="1" s="1"/>
  <c r="G75" i="1"/>
  <c r="H75" i="1" s="1"/>
  <c r="P75" i="1" s="1"/>
  <c r="G69" i="1"/>
  <c r="H69" i="1" s="1"/>
  <c r="P69" i="1" s="1"/>
  <c r="G57" i="1"/>
  <c r="H57" i="1" s="1"/>
  <c r="P57" i="1" s="1"/>
  <c r="G39" i="1"/>
  <c r="H39" i="1" s="1"/>
  <c r="P39" i="1" s="1"/>
  <c r="G27" i="1"/>
  <c r="H27" i="1" s="1"/>
  <c r="P27" i="1" s="1"/>
  <c r="G15" i="1"/>
  <c r="H15" i="1" s="1"/>
  <c r="P15" i="1" s="1"/>
  <c r="G120" i="1"/>
  <c r="G108" i="1"/>
  <c r="H108" i="1" s="1"/>
  <c r="P108" i="1" s="1"/>
  <c r="G96" i="1"/>
  <c r="H96" i="1" s="1"/>
  <c r="P96" i="1" s="1"/>
  <c r="G84" i="1"/>
  <c r="H84" i="1" s="1"/>
  <c r="P84" i="1" s="1"/>
  <c r="G72" i="1"/>
  <c r="H72" i="1" s="1"/>
  <c r="P72" i="1" s="1"/>
  <c r="G66" i="1"/>
  <c r="H66" i="1" s="1"/>
  <c r="P66" i="1" s="1"/>
  <c r="G54" i="1"/>
  <c r="H54" i="1" s="1"/>
  <c r="P54" i="1" s="1"/>
  <c r="G36" i="1"/>
  <c r="H36" i="1" s="1"/>
  <c r="P36" i="1" s="1"/>
  <c r="G24" i="1"/>
  <c r="H24" i="1" s="1"/>
  <c r="P24" i="1" s="1"/>
  <c r="G12" i="1"/>
  <c r="H12" i="1" s="1"/>
  <c r="P12" i="1" s="1"/>
  <c r="G93" i="1"/>
  <c r="H93" i="1" s="1"/>
  <c r="P93" i="1" s="1"/>
  <c r="G81" i="1"/>
  <c r="H81" i="1" s="1"/>
  <c r="P81" i="1" s="1"/>
  <c r="G63" i="1"/>
  <c r="H63" i="1" s="1"/>
  <c r="P63" i="1" s="1"/>
  <c r="G51" i="1"/>
  <c r="H51" i="1" s="1"/>
  <c r="P51" i="1" s="1"/>
  <c r="G33" i="1"/>
  <c r="H33" i="1" s="1"/>
  <c r="P33" i="1" s="1"/>
  <c r="G21" i="1"/>
  <c r="H21" i="1" s="1"/>
  <c r="P21" i="1" s="1"/>
  <c r="G9" i="1"/>
  <c r="H9" i="1" s="1"/>
  <c r="P9" i="1" s="1"/>
  <c r="G3" i="1"/>
  <c r="H3" i="1" s="1"/>
  <c r="P3" i="1" s="1"/>
  <c r="M138" i="1" l="1"/>
  <c r="V138" i="1"/>
  <c r="P159" i="1"/>
  <c r="L153" i="1"/>
  <c r="M153" i="1" s="1"/>
  <c r="L129" i="1"/>
  <c r="M129" i="1" s="1"/>
  <c r="P129" i="1"/>
  <c r="P150" i="1"/>
  <c r="P144" i="1"/>
  <c r="P138" i="1"/>
  <c r="P135" i="1"/>
  <c r="P132" i="1"/>
  <c r="L3" i="1"/>
  <c r="M3" i="1" s="1"/>
  <c r="L36" i="1"/>
  <c r="M36" i="1" s="1"/>
  <c r="L54" i="1"/>
  <c r="M54" i="1" s="1"/>
  <c r="L84" i="1"/>
  <c r="M84" i="1" s="1"/>
  <c r="L6" i="1"/>
  <c r="M6" i="1" s="1"/>
  <c r="L9" i="1"/>
  <c r="M9" i="1" s="1"/>
  <c r="L96" i="1"/>
  <c r="M96" i="1" s="1"/>
  <c r="L18" i="1"/>
  <c r="M18" i="1" s="1"/>
  <c r="L72" i="1"/>
  <c r="M72" i="1" s="1"/>
  <c r="L21" i="1"/>
  <c r="M21" i="1" s="1"/>
  <c r="L30" i="1"/>
  <c r="L63" i="1"/>
  <c r="L48" i="1"/>
  <c r="L69" i="1"/>
  <c r="M69" i="1" s="1"/>
  <c r="L87" i="1"/>
  <c r="M87" i="1" s="1"/>
  <c r="H120" i="1"/>
  <c r="L81" i="1"/>
  <c r="L15" i="1"/>
  <c r="M15" i="1" s="1"/>
  <c r="L60" i="1"/>
  <c r="L114" i="1"/>
  <c r="L75" i="1"/>
  <c r="M75" i="1" s="1"/>
  <c r="L66" i="1"/>
  <c r="M66" i="1" s="1"/>
  <c r="L99" i="1"/>
  <c r="M99" i="1" s="1"/>
  <c r="L33" i="1"/>
  <c r="L51" i="1"/>
  <c r="L108" i="1"/>
  <c r="M108" i="1" s="1"/>
  <c r="L93" i="1"/>
  <c r="L27" i="1"/>
  <c r="M27" i="1" s="1"/>
  <c r="L78" i="1"/>
  <c r="L12" i="1"/>
  <c r="M12" i="1" s="1"/>
  <c r="L39" i="1"/>
  <c r="M39" i="1" s="1"/>
  <c r="L90" i="1"/>
  <c r="L24" i="1"/>
  <c r="M24" i="1" s="1"/>
  <c r="L57" i="1"/>
  <c r="M57" i="1" s="1"/>
  <c r="L102" i="1"/>
  <c r="M114" i="1" l="1"/>
  <c r="V114" i="1"/>
  <c r="M51" i="1"/>
  <c r="V51" i="1"/>
  <c r="M102" i="1"/>
  <c r="V102" i="1"/>
  <c r="M30" i="1"/>
  <c r="V30" i="1"/>
  <c r="M90" i="1"/>
  <c r="V90" i="1"/>
  <c r="M33" i="1"/>
  <c r="V33" i="1"/>
  <c r="M60" i="1"/>
  <c r="V60" i="1"/>
  <c r="M48" i="1"/>
  <c r="V48" i="1"/>
  <c r="M63" i="1"/>
  <c r="V63" i="1"/>
  <c r="M78" i="1"/>
  <c r="V78" i="1"/>
  <c r="M81" i="1"/>
  <c r="V81" i="1"/>
  <c r="M93" i="1"/>
  <c r="V93" i="1"/>
  <c r="L120" i="1"/>
  <c r="M120" i="1" s="1"/>
  <c r="P1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<sst xmlns="http://schemas.openxmlformats.org/spreadsheetml/2006/main" count="226" uniqueCount="55">
  <si>
    <t>Part No</t>
  </si>
  <si>
    <t>Total Time</t>
  </si>
  <si>
    <t>Pieces</t>
  </si>
  <si>
    <t>Time Per Part</t>
  </si>
  <si>
    <t>Machine Time</t>
  </si>
  <si>
    <t>-----Automated Time</t>
  </si>
  <si>
    <t>Time</t>
  </si>
  <si>
    <t>Accuracy</t>
  </si>
  <si>
    <t>Comment</t>
  </si>
  <si>
    <t>Gas</t>
  </si>
  <si>
    <t>Oxy</t>
  </si>
  <si>
    <t>Nit</t>
  </si>
  <si>
    <t>-</t>
  </si>
  <si>
    <t>Gauge</t>
  </si>
  <si>
    <t>Average</t>
  </si>
  <si>
    <t>seconds per MM</t>
  </si>
  <si>
    <t>Part Inner (mm)</t>
  </si>
  <si>
    <t>Part Outer (mm)</t>
  </si>
  <si>
    <t>Part Total Length (mm)</t>
  </si>
  <si>
    <t>Total Seconds</t>
  </si>
  <si>
    <t>12GA</t>
  </si>
  <si>
    <t>11GA</t>
  </si>
  <si>
    <t>8GA</t>
  </si>
  <si>
    <t>18GA</t>
  </si>
  <si>
    <t>14GA</t>
  </si>
  <si>
    <t>EXTOL</t>
  </si>
  <si>
    <t>1/2</t>
  </si>
  <si>
    <t>1/4</t>
  </si>
  <si>
    <t>22GA</t>
  </si>
  <si>
    <t>20GA</t>
  </si>
  <si>
    <t>Time (Seconds)</t>
  </si>
  <si>
    <t>5/8</t>
  </si>
  <si>
    <t>5/16</t>
  </si>
  <si>
    <t>3/16</t>
  </si>
  <si>
    <t>16GA</t>
  </si>
  <si>
    <t>ERROR DUE TO CIRCULAR PATTERN</t>
  </si>
  <si>
    <t>ERROR CIRCULAR FEATURE</t>
  </si>
  <si>
    <t>22ga</t>
  </si>
  <si>
    <t>20ga</t>
  </si>
  <si>
    <t>18ga</t>
  </si>
  <si>
    <t>16ga</t>
  </si>
  <si>
    <t>14ga</t>
  </si>
  <si>
    <t>1/2in</t>
  </si>
  <si>
    <t>5/8in</t>
  </si>
  <si>
    <t>12ga</t>
  </si>
  <si>
    <t>11ga</t>
  </si>
  <si>
    <t>8ga</t>
  </si>
  <si>
    <t>3/16in</t>
  </si>
  <si>
    <t>7ga</t>
  </si>
  <si>
    <t>1/4in</t>
  </si>
  <si>
    <t>5/16in</t>
  </si>
  <si>
    <t>3/8in</t>
  </si>
  <si>
    <r>
      <t>0.0000314678x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- 0.0005520518x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+ 0.0033298201x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- 0.0069388032x + 0.0094833929</t>
    </r>
  </si>
  <si>
    <t>MM Value</t>
  </si>
  <si>
    <t>End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</si>
</sst>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.00"/>
    <numFmt numFmtId="165" formatCode="0.00000"/>
    <numFmt numFmtId="170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2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right"/>
    </xf>
    <xf numFmtId="164" fontId="0" fillId="2" borderId="1" xfId="0" applyNumberFormat="1" applyFill="1" applyBorder="1"/>
    <xf numFmtId="21" fontId="0" fillId="0" borderId="1" xfId="0" quotePrefix="1" applyNumberFormat="1" applyBorder="1" applyAlignment="1">
      <alignment horizontal="center"/>
    </xf>
    <xf numFmtId="1" fontId="0" fillId="0" borderId="1" xfId="0" quotePrefix="1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45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wrapText="1"/>
    </xf>
    <xf numFmtId="165" fontId="0" fillId="0" borderId="1" xfId="0" applyNumberFormat="1" applyBorder="1"/>
    <xf numFmtId="0" fontId="0" fillId="0" borderId="2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45" fontId="0" fillId="2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NumberFormat="1" applyBorder="1" applyAlignment="1">
      <alignment horizontal="center" wrapText="1"/>
    </xf>
    <xf numFmtId="0" fontId="0" fillId="0" borderId="6" xfId="0" applyNumberFormat="1" applyBorder="1" applyAlignment="1">
      <alignment horizontal="center" wrapText="1"/>
    </xf>
    <xf numFmtId="0" fontId="0" fillId="0" borderId="7" xfId="0" applyNumberFormat="1" applyBorder="1" applyAlignment="1">
      <alignment horizontal="center" wrapText="1"/>
    </xf>
    <xf numFmtId="0" fontId="0" fillId="0" borderId="8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9" xfId="0" applyNumberFormat="1" applyBorder="1" applyAlignment="1">
      <alignment horizontal="center" wrapText="1"/>
    </xf>
    <xf numFmtId="0" fontId="0" fillId="0" borderId="10" xfId="0" applyNumberFormat="1" applyBorder="1" applyAlignment="1">
      <alignment horizontal="center" wrapText="1"/>
    </xf>
    <xf numFmtId="0" fontId="0" fillId="0" borderId="11" xfId="0" applyNumberFormat="1" applyBorder="1" applyAlignment="1">
      <alignment horizontal="center" wrapText="1"/>
    </xf>
    <xf numFmtId="0" fontId="0" fillId="0" borderId="12" xfId="0" applyNumberFormat="1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 vertical="center"/>
    </xf>
    <xf numFmtId="21" fontId="0" fillId="4" borderId="1" xfId="0" quotePrefix="1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'Trending Graph'!$A$1:$A$15</c:f>
              <c:strCache>
                <c:ptCount val="15"/>
                <c:pt idx="0">
                  <c:v>22ga</c:v>
                </c:pt>
                <c:pt idx="1">
                  <c:v>20ga</c:v>
                </c:pt>
                <c:pt idx="2">
                  <c:v>18ga</c:v>
                </c:pt>
                <c:pt idx="3">
                  <c:v>16ga</c:v>
                </c:pt>
                <c:pt idx="4">
                  <c:v>14ga</c:v>
                </c:pt>
                <c:pt idx="5">
                  <c:v>12ga</c:v>
                </c:pt>
                <c:pt idx="6">
                  <c:v>11ga</c:v>
                </c:pt>
                <c:pt idx="7">
                  <c:v>8ga</c:v>
                </c:pt>
                <c:pt idx="8">
                  <c:v>3/16in</c:v>
                </c:pt>
                <c:pt idx="9">
                  <c:v>7ga</c:v>
                </c:pt>
                <c:pt idx="10">
                  <c:v>1/4in</c:v>
                </c:pt>
                <c:pt idx="11">
                  <c:v>5/16in</c:v>
                </c:pt>
                <c:pt idx="12">
                  <c:v>3/8in</c:v>
                </c:pt>
                <c:pt idx="13">
                  <c:v>1/2in</c:v>
                </c:pt>
                <c:pt idx="14">
                  <c:v>5/8in</c:v>
                </c:pt>
              </c:strCache>
            </c:strRef>
          </c:cat>
          <c:val>
            <c:numRef>
              <c:f>'Trending Graph'!$C$1:$C$15</c:f>
              <c:numCache>
                <c:formatCode>General</c:formatCode>
                <c:ptCount val="15"/>
                <c:pt idx="0">
                  <c:v>1.2120000000000001E-2</c:v>
                </c:pt>
                <c:pt idx="1">
                  <c:v>1.089E-2</c:v>
                </c:pt>
                <c:pt idx="2">
                  <c:v>1.26E-2</c:v>
                </c:pt>
                <c:pt idx="3">
                  <c:v>1.661E-2</c:v>
                </c:pt>
                <c:pt idx="4">
                  <c:v>1.508E-2</c:v>
                </c:pt>
                <c:pt idx="5">
                  <c:v>2.1239999999999998E-2</c:v>
                </c:pt>
                <c:pt idx="6">
                  <c:v>2.094E-2</c:v>
                </c:pt>
                <c:pt idx="7">
                  <c:v>2.5999999999999999E-2</c:v>
                </c:pt>
                <c:pt idx="8">
                  <c:v>3.687E-2</c:v>
                </c:pt>
                <c:pt idx="9">
                  <c:v>3.687E-2</c:v>
                </c:pt>
                <c:pt idx="10">
                  <c:v>2.8549999999999999E-2</c:v>
                </c:pt>
                <c:pt idx="11">
                  <c:v>8.584E-2</c:v>
                </c:pt>
                <c:pt idx="12">
                  <c:v>7.524920016449857E-2</c:v>
                </c:pt>
                <c:pt idx="14">
                  <c:v>0.19994999999999999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A-4419-A29C-060EC48B7D8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'Trending Graph'!$A$1:$A$15</c:f>
              <c:strCache>
                <c:ptCount val="15"/>
                <c:pt idx="0">
                  <c:v>22ga</c:v>
                </c:pt>
                <c:pt idx="1">
                  <c:v>20ga</c:v>
                </c:pt>
                <c:pt idx="2">
                  <c:v>18ga</c:v>
                </c:pt>
                <c:pt idx="3">
                  <c:v>16ga</c:v>
                </c:pt>
                <c:pt idx="4">
                  <c:v>14ga</c:v>
                </c:pt>
                <c:pt idx="5">
                  <c:v>12ga</c:v>
                </c:pt>
                <c:pt idx="6">
                  <c:v>11ga</c:v>
                </c:pt>
                <c:pt idx="7">
                  <c:v>8ga</c:v>
                </c:pt>
                <c:pt idx="8">
                  <c:v>3/16in</c:v>
                </c:pt>
                <c:pt idx="9">
                  <c:v>7ga</c:v>
                </c:pt>
                <c:pt idx="10">
                  <c:v>1/4in</c:v>
                </c:pt>
                <c:pt idx="11">
                  <c:v>5/16in</c:v>
                </c:pt>
                <c:pt idx="12">
                  <c:v>3/8in</c:v>
                </c:pt>
                <c:pt idx="13">
                  <c:v>1/2in</c:v>
                </c:pt>
                <c:pt idx="14">
                  <c:v>5/8in</c:v>
                </c:pt>
              </c:strCache>
            </c:strRef>
          </c:cat>
          <c:val>
            <c:numRef>
              <c:f>'Trending Graph'!$D$1:$D$15</c:f>
              <c:numCache>
                <c:formatCode>General</c:formatCode>
                <c:ptCount val="15"/>
                <c:pt idx="0">
                  <c:v>5.5300000000000002E-3</c:v>
                </c:pt>
                <c:pt idx="1">
                  <c:v>4.3499999999999997E-3</c:v>
                </c:pt>
                <c:pt idx="2">
                  <c:v>6.8399999999999997E-3</c:v>
                </c:pt>
                <c:pt idx="3">
                  <c:v>8.6899999999999998E-3</c:v>
                </c:pt>
                <c:pt idx="4">
                  <c:v>6.3200000000000001E-3</c:v>
                </c:pt>
                <c:pt idx="5">
                  <c:v>1.125E-2</c:v>
                </c:pt>
                <c:pt idx="6">
                  <c:v>9.5200000000000007E-3</c:v>
                </c:pt>
                <c:pt idx="7">
                  <c:v>1.3429999999999999E-2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A-4419-A29C-060EC48B7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61727"/>
        <c:axId val="276980287"/>
      </c:lineChart>
      <c:catAx>
        <c:axId val="49826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80287"/>
        <c:crosses val="autoZero"/>
        <c:auto val="1"/>
        <c:lblAlgn val="ctr"/>
        <c:lblOffset val="100"/>
        <c:noMultiLvlLbl val="0"/>
      </c:catAx>
      <c:valAx>
        <c:axId val="27698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6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</xdr:row>
      <xdr:rowOff>28575</xdr:rowOff>
    </xdr:from>
    <xdr:to>
      <xdr:col>18</xdr:col>
      <xdr:colOff>228600</xdr:colOff>
      <xdr:row>26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10301-C0C5-4B19-9800-2B20C4347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904D-76DD-4352-AFF7-9A4C27559F9A}">
  <dimension ref="A1:V343"/>
  <sheetViews>
    <sheetView tabSelected="1" zoomScaleNormal="100" workbookViewId="0">
      <pane ySplit="2" topLeftCell="A84" activePane="bottomLeft" state="frozen"/>
      <selection pane="bottomLeft" activeCell="Q93" sqref="Q93:U95"/>
    </sheetView>
  </sheetViews>
  <sheetFormatPr defaultRowHeight="15" x14ac:dyDescent="0.25"/>
  <cols>
    <col min="1" max="1" width="7.5703125" style="13" bestFit="1" customWidth="1"/>
    <col min="2" max="2" width="4.42578125" style="7" bestFit="1" customWidth="1"/>
    <col min="3" max="3" width="6.5703125" style="7" bestFit="1" customWidth="1"/>
    <col min="4" max="4" width="10.28515625" style="2" bestFit="1" customWidth="1"/>
    <col min="5" max="5" width="6.7109375" style="3" bestFit="1" customWidth="1"/>
    <col min="6" max="6" width="12.85546875" style="4" bestFit="1" customWidth="1"/>
    <col min="7" max="7" width="14.7109375" style="12" customWidth="1"/>
    <col min="8" max="8" width="14.7109375" style="11" customWidth="1"/>
    <col min="9" max="9" width="16.42578125" style="10" bestFit="1" customWidth="1"/>
    <col min="10" max="10" width="16.42578125" style="10" customWidth="1"/>
    <col min="11" max="11" width="21.5703125" style="8" bestFit="1" customWidth="1"/>
    <col min="12" max="12" width="15.5703125" style="9" bestFit="1" customWidth="1"/>
    <col min="13" max="13" width="15.5703125" style="8" customWidth="1"/>
    <col min="14" max="14" width="19.7109375" style="14" bestFit="1" customWidth="1"/>
    <col min="15" max="15" width="19.7109375" style="11" customWidth="1"/>
    <col min="16" max="16" width="12" style="15" bestFit="1" customWidth="1"/>
    <col min="17" max="17" width="9" style="16" customWidth="1"/>
    <col min="18" max="21" width="9.140625" style="16"/>
    <col min="22" max="16384" width="9.140625" style="1"/>
  </cols>
  <sheetData>
    <row r="1" spans="1:22" x14ac:dyDescent="0.25">
      <c r="A1" s="50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4" t="s">
        <v>5</v>
      </c>
      <c r="O1" s="54"/>
      <c r="P1" s="54"/>
      <c r="Q1" s="54"/>
      <c r="R1" s="54"/>
      <c r="S1" s="54"/>
      <c r="T1" s="54"/>
      <c r="U1" s="54"/>
    </row>
    <row r="2" spans="1:22" x14ac:dyDescent="0.25">
      <c r="A2" s="13" t="s">
        <v>0</v>
      </c>
      <c r="B2" s="7" t="s">
        <v>9</v>
      </c>
      <c r="C2" s="7" t="s">
        <v>13</v>
      </c>
      <c r="D2" s="2" t="s">
        <v>1</v>
      </c>
      <c r="E2" s="3" t="s">
        <v>2</v>
      </c>
      <c r="F2" s="4" t="s">
        <v>3</v>
      </c>
      <c r="G2" s="12" t="s">
        <v>14</v>
      </c>
      <c r="H2" s="11" t="s">
        <v>19</v>
      </c>
      <c r="I2" s="10" t="s">
        <v>16</v>
      </c>
      <c r="J2" s="10" t="s">
        <v>17</v>
      </c>
      <c r="K2" s="8" t="s">
        <v>18</v>
      </c>
      <c r="L2" s="9" t="s">
        <v>15</v>
      </c>
      <c r="N2" s="14" t="s">
        <v>6</v>
      </c>
      <c r="O2" s="11" t="s">
        <v>30</v>
      </c>
      <c r="P2" s="15" t="s">
        <v>7</v>
      </c>
      <c r="Q2" s="55" t="s">
        <v>8</v>
      </c>
      <c r="R2" s="55"/>
      <c r="S2" s="55"/>
      <c r="T2" s="55"/>
      <c r="U2" s="55"/>
    </row>
    <row r="3" spans="1:22" x14ac:dyDescent="0.25">
      <c r="A3" s="38">
        <v>116235</v>
      </c>
      <c r="B3" s="21" t="s">
        <v>10</v>
      </c>
      <c r="C3" s="21" t="s">
        <v>21</v>
      </c>
      <c r="D3" s="2">
        <v>1.1574074074074075E-2</v>
      </c>
      <c r="E3" s="3">
        <v>30</v>
      </c>
      <c r="F3" s="4">
        <f>D3/E3</f>
        <v>3.858024691358025E-4</v>
      </c>
      <c r="G3" s="25">
        <f>AVERAGE(F3:F5)</f>
        <v>3.8122427983539091E-4</v>
      </c>
      <c r="H3" s="26">
        <f t="shared" ref="H3" si="0">G3*86400</f>
        <v>32.937777777777775</v>
      </c>
      <c r="I3" s="29">
        <v>656.98</v>
      </c>
      <c r="J3" s="29">
        <v>829.84</v>
      </c>
      <c r="K3" s="30">
        <f>SUM(I3:J5)</f>
        <v>1486.8200000000002</v>
      </c>
      <c r="L3" s="31">
        <f>H3/K3</f>
        <v>2.2153171048128067E-2</v>
      </c>
      <c r="M3" s="32">
        <f>L3*K3</f>
        <v>32.937777777777775</v>
      </c>
      <c r="N3" s="53">
        <v>3.2407407407407406E-4</v>
      </c>
      <c r="O3" s="26">
        <f>ROUNDUP(N3*86400,0)</f>
        <v>28</v>
      </c>
      <c r="P3" s="22">
        <f>O3/H3</f>
        <v>0.850087707461881</v>
      </c>
      <c r="Q3" s="41"/>
      <c r="R3" s="42"/>
      <c r="S3" s="42"/>
      <c r="T3" s="42"/>
      <c r="U3" s="43"/>
    </row>
    <row r="4" spans="1:22" x14ac:dyDescent="0.25">
      <c r="A4" s="39"/>
      <c r="B4" s="19"/>
      <c r="C4" s="19"/>
      <c r="D4" s="2">
        <v>3.875E-2</v>
      </c>
      <c r="E4" s="3">
        <v>100</v>
      </c>
      <c r="F4" s="4">
        <f>D4/E4</f>
        <v>3.8749999999999999E-4</v>
      </c>
      <c r="G4" s="25"/>
      <c r="H4" s="27"/>
      <c r="I4" s="29"/>
      <c r="J4" s="29"/>
      <c r="K4" s="30"/>
      <c r="L4" s="31"/>
      <c r="M4" s="33"/>
      <c r="N4" s="53"/>
      <c r="O4" s="27"/>
      <c r="P4" s="23"/>
      <c r="Q4" s="44"/>
      <c r="R4" s="45"/>
      <c r="S4" s="45"/>
      <c r="T4" s="45"/>
      <c r="U4" s="46"/>
    </row>
    <row r="5" spans="1:22" x14ac:dyDescent="0.25">
      <c r="A5" s="40"/>
      <c r="B5" s="20"/>
      <c r="C5" s="20"/>
      <c r="D5" s="2">
        <v>3.7037037037037035E-4</v>
      </c>
      <c r="E5" s="3">
        <v>1</v>
      </c>
      <c r="F5" s="4">
        <f t="shared" ref="F5:F71" si="1">D5/E5</f>
        <v>3.7037037037037035E-4</v>
      </c>
      <c r="G5" s="25"/>
      <c r="H5" s="28"/>
      <c r="I5" s="29"/>
      <c r="J5" s="29"/>
      <c r="K5" s="30"/>
      <c r="L5" s="31"/>
      <c r="M5" s="34"/>
      <c r="N5" s="53"/>
      <c r="O5" s="28"/>
      <c r="P5" s="24"/>
      <c r="Q5" s="47"/>
      <c r="R5" s="48"/>
      <c r="S5" s="48"/>
      <c r="T5" s="48"/>
      <c r="U5" s="49"/>
    </row>
    <row r="6" spans="1:22" x14ac:dyDescent="0.25">
      <c r="A6" s="38">
        <v>123498</v>
      </c>
      <c r="B6" s="21" t="s">
        <v>10</v>
      </c>
      <c r="C6" s="21" t="s">
        <v>22</v>
      </c>
      <c r="D6" s="2">
        <v>2.199074074074074E-4</v>
      </c>
      <c r="E6" s="3">
        <v>1</v>
      </c>
      <c r="F6" s="4">
        <f t="shared" si="1"/>
        <v>2.199074074074074E-4</v>
      </c>
      <c r="G6" s="25">
        <f t="shared" ref="G6" si="2">AVERAGE(F6:F8)</f>
        <v>2.2343732488660023E-4</v>
      </c>
      <c r="H6" s="26">
        <f t="shared" ref="H6" si="3">G6*86400</f>
        <v>19.304984870202262</v>
      </c>
      <c r="I6" s="29">
        <v>230.12</v>
      </c>
      <c r="J6" s="29">
        <v>473.49</v>
      </c>
      <c r="K6" s="30">
        <f t="shared" ref="K6" si="4">SUM(I6:J8)</f>
        <v>703.61</v>
      </c>
      <c r="L6" s="31">
        <f t="shared" ref="L6" si="5">H6/K6</f>
        <v>2.7437053012609628E-2</v>
      </c>
      <c r="M6" s="32">
        <f t="shared" ref="M6" si="6">L6*K6</f>
        <v>19.304984870202262</v>
      </c>
      <c r="N6" s="35">
        <v>2.0069444444444442E-4</v>
      </c>
      <c r="O6" s="26">
        <f>ROUNDUP(N6*86400,0)</f>
        <v>18</v>
      </c>
      <c r="P6" s="22">
        <f t="shared" ref="P6" si="7">O6/H6</f>
        <v>0.9324016631467793</v>
      </c>
      <c r="Q6" s="41"/>
      <c r="R6" s="42"/>
      <c r="S6" s="42"/>
      <c r="T6" s="42"/>
      <c r="U6" s="43"/>
    </row>
    <row r="7" spans="1:22" x14ac:dyDescent="0.25">
      <c r="A7" s="39"/>
      <c r="B7" s="19"/>
      <c r="C7" s="19"/>
      <c r="D7" s="2">
        <v>2.0520833333333332E-2</v>
      </c>
      <c r="E7" s="3">
        <v>91</v>
      </c>
      <c r="F7" s="4">
        <f t="shared" si="1"/>
        <v>2.2550366300366298E-4</v>
      </c>
      <c r="G7" s="25"/>
      <c r="H7" s="27"/>
      <c r="I7" s="29"/>
      <c r="J7" s="29"/>
      <c r="K7" s="30"/>
      <c r="L7" s="31"/>
      <c r="M7" s="33"/>
      <c r="N7" s="36"/>
      <c r="O7" s="27"/>
      <c r="P7" s="23"/>
      <c r="Q7" s="44"/>
      <c r="R7" s="45"/>
      <c r="S7" s="45"/>
      <c r="T7" s="45"/>
      <c r="U7" s="46"/>
      <c r="V7" s="17"/>
    </row>
    <row r="8" spans="1:22" x14ac:dyDescent="0.25">
      <c r="A8" s="39"/>
      <c r="B8" s="20"/>
      <c r="C8" s="20"/>
      <c r="D8" s="2">
        <v>6.7245370370370372E-2</v>
      </c>
      <c r="E8" s="3">
        <v>299</v>
      </c>
      <c r="F8" s="4">
        <f t="shared" si="1"/>
        <v>2.2490090424873033E-4</v>
      </c>
      <c r="G8" s="25"/>
      <c r="H8" s="28"/>
      <c r="I8" s="29"/>
      <c r="J8" s="29"/>
      <c r="K8" s="30"/>
      <c r="L8" s="31"/>
      <c r="M8" s="34"/>
      <c r="N8" s="37"/>
      <c r="O8" s="28"/>
      <c r="P8" s="24"/>
      <c r="Q8" s="47"/>
      <c r="R8" s="48"/>
      <c r="S8" s="48"/>
      <c r="T8" s="48"/>
      <c r="U8" s="49"/>
    </row>
    <row r="9" spans="1:22" x14ac:dyDescent="0.25">
      <c r="A9" s="39"/>
      <c r="B9" s="21" t="s">
        <v>11</v>
      </c>
      <c r="C9" s="21" t="s">
        <v>22</v>
      </c>
      <c r="D9" s="2">
        <v>1.273148148148148E-4</v>
      </c>
      <c r="E9" s="3">
        <v>1</v>
      </c>
      <c r="F9" s="4">
        <f t="shared" si="1"/>
        <v>1.273148148148148E-4</v>
      </c>
      <c r="G9" s="25">
        <f t="shared" ref="G9" si="8">AVERAGE(F9:F11)</f>
        <v>1.2926133850046893E-4</v>
      </c>
      <c r="H9" s="26">
        <f t="shared" ref="H9" si="9">G9*86400</f>
        <v>11.168179646440516</v>
      </c>
      <c r="I9" s="29">
        <v>230.12</v>
      </c>
      <c r="J9" s="29">
        <v>473.49</v>
      </c>
      <c r="K9" s="30">
        <f t="shared" ref="K9" si="10">SUM(I9:J11)</f>
        <v>703.61</v>
      </c>
      <c r="L9" s="31">
        <f t="shared" ref="L9" si="11">H9/K9</f>
        <v>1.587268464979252E-2</v>
      </c>
      <c r="M9" s="32">
        <f t="shared" ref="M9" si="12">L9*K9</f>
        <v>11.168179646440516</v>
      </c>
      <c r="N9" s="35"/>
      <c r="O9" s="26">
        <f t="shared" ref="O9" si="13">ROUNDUP(N9*86400,0)</f>
        <v>0</v>
      </c>
      <c r="P9" s="22">
        <f t="shared" ref="P9" si="14">O9/H9</f>
        <v>0</v>
      </c>
      <c r="Q9" s="41"/>
      <c r="R9" s="42"/>
      <c r="S9" s="42"/>
      <c r="T9" s="42"/>
      <c r="U9" s="43"/>
      <c r="V9" s="17"/>
    </row>
    <row r="10" spans="1:22" x14ac:dyDescent="0.25">
      <c r="A10" s="39"/>
      <c r="B10" s="19"/>
      <c r="C10" s="19"/>
      <c r="D10" s="2">
        <v>1.1863425925925925E-2</v>
      </c>
      <c r="E10" s="3">
        <v>91</v>
      </c>
      <c r="F10" s="4">
        <f t="shared" si="1"/>
        <v>1.3036731786731786E-4</v>
      </c>
      <c r="G10" s="25"/>
      <c r="H10" s="27"/>
      <c r="I10" s="29"/>
      <c r="J10" s="29"/>
      <c r="K10" s="30"/>
      <c r="L10" s="31"/>
      <c r="M10" s="33"/>
      <c r="N10" s="36"/>
      <c r="O10" s="27"/>
      <c r="P10" s="23"/>
      <c r="Q10" s="44"/>
      <c r="R10" s="45"/>
      <c r="S10" s="45"/>
      <c r="T10" s="45"/>
      <c r="U10" s="46"/>
    </row>
    <row r="11" spans="1:22" x14ac:dyDescent="0.25">
      <c r="A11" s="40"/>
      <c r="B11" s="20"/>
      <c r="C11" s="20"/>
      <c r="D11" s="2">
        <v>3.8900462962962963E-2</v>
      </c>
      <c r="E11" s="3">
        <v>299</v>
      </c>
      <c r="F11" s="4">
        <f t="shared" si="1"/>
        <v>1.3010188281927413E-4</v>
      </c>
      <c r="G11" s="25"/>
      <c r="H11" s="28"/>
      <c r="I11" s="29"/>
      <c r="J11" s="29"/>
      <c r="K11" s="30"/>
      <c r="L11" s="31"/>
      <c r="M11" s="34"/>
      <c r="N11" s="37"/>
      <c r="O11" s="28"/>
      <c r="P11" s="24"/>
      <c r="Q11" s="47"/>
      <c r="R11" s="48"/>
      <c r="S11" s="48"/>
      <c r="T11" s="48"/>
      <c r="U11" s="49"/>
    </row>
    <row r="12" spans="1:22" x14ac:dyDescent="0.25">
      <c r="A12" s="38">
        <v>124322</v>
      </c>
      <c r="B12" s="21" t="s">
        <v>10</v>
      </c>
      <c r="C12" s="21" t="s">
        <v>22</v>
      </c>
      <c r="D12" s="2">
        <v>5.3240740740740744E-4</v>
      </c>
      <c r="E12" s="3">
        <v>1</v>
      </c>
      <c r="F12" s="4">
        <f t="shared" si="1"/>
        <v>5.3240740740740744E-4</v>
      </c>
      <c r="G12" s="25">
        <f t="shared" ref="G12" si="15">AVERAGE(F12:F14)</f>
        <v>5.5146977627597781E-4</v>
      </c>
      <c r="H12" s="26">
        <f t="shared" ref="H12" si="16">G12*86400</f>
        <v>47.646988670244482</v>
      </c>
      <c r="I12" s="29">
        <v>87.96</v>
      </c>
      <c r="J12" s="29">
        <v>1851.45</v>
      </c>
      <c r="K12" s="30">
        <f t="shared" ref="K12" si="17">SUM(I12:J14)</f>
        <v>1939.41</v>
      </c>
      <c r="L12" s="31">
        <f t="shared" ref="L12" si="18">H12/K12</f>
        <v>2.4567775081207419E-2</v>
      </c>
      <c r="M12" s="32">
        <f t="shared" ref="M12" si="19">L12*K12</f>
        <v>47.646988670244482</v>
      </c>
      <c r="N12" s="35">
        <v>4.8275462962962964E-4</v>
      </c>
      <c r="O12" s="26">
        <f t="shared" ref="O12" si="20">ROUNDUP(N12*86400,0)</f>
        <v>42</v>
      </c>
      <c r="P12" s="22">
        <f t="shared" ref="P12" si="21">O12/H12</f>
        <v>0.88148277933520225</v>
      </c>
      <c r="Q12" s="41"/>
      <c r="R12" s="42"/>
      <c r="S12" s="42"/>
      <c r="T12" s="42"/>
      <c r="U12" s="43"/>
    </row>
    <row r="13" spans="1:22" x14ac:dyDescent="0.25">
      <c r="A13" s="39"/>
      <c r="B13" s="19"/>
      <c r="C13" s="19"/>
      <c r="D13" s="2">
        <v>7.3148148148148148E-3</v>
      </c>
      <c r="E13" s="3">
        <v>13</v>
      </c>
      <c r="F13" s="4">
        <f t="shared" si="1"/>
        <v>5.6267806267806266E-4</v>
      </c>
      <c r="G13" s="25"/>
      <c r="H13" s="27"/>
      <c r="I13" s="29"/>
      <c r="J13" s="29"/>
      <c r="K13" s="30"/>
      <c r="L13" s="31"/>
      <c r="M13" s="33"/>
      <c r="N13" s="36"/>
      <c r="O13" s="27"/>
      <c r="P13" s="23"/>
      <c r="Q13" s="44"/>
      <c r="R13" s="45"/>
      <c r="S13" s="45"/>
      <c r="T13" s="45"/>
      <c r="U13" s="46"/>
    </row>
    <row r="14" spans="1:22" x14ac:dyDescent="0.25">
      <c r="A14" s="39"/>
      <c r="B14" s="20"/>
      <c r="C14" s="20"/>
      <c r="D14" s="2">
        <v>2.4050925925925924E-2</v>
      </c>
      <c r="E14" s="3">
        <v>43</v>
      </c>
      <c r="F14" s="4">
        <f t="shared" si="1"/>
        <v>5.5932385874246334E-4</v>
      </c>
      <c r="G14" s="25"/>
      <c r="H14" s="28"/>
      <c r="I14" s="29"/>
      <c r="J14" s="29"/>
      <c r="K14" s="30"/>
      <c r="L14" s="31"/>
      <c r="M14" s="34"/>
      <c r="N14" s="37"/>
      <c r="O14" s="28"/>
      <c r="P14" s="24"/>
      <c r="Q14" s="47"/>
      <c r="R14" s="48"/>
      <c r="S14" s="48"/>
      <c r="T14" s="48"/>
      <c r="U14" s="49"/>
    </row>
    <row r="15" spans="1:22" x14ac:dyDescent="0.25">
      <c r="A15" s="39"/>
      <c r="B15" s="21" t="s">
        <v>11</v>
      </c>
      <c r="C15" s="21" t="s">
        <v>22</v>
      </c>
      <c r="D15" s="2">
        <v>2.3148148148148146E-4</v>
      </c>
      <c r="E15" s="3">
        <v>1</v>
      </c>
      <c r="F15" s="4">
        <f t="shared" si="1"/>
        <v>2.3148148148148146E-4</v>
      </c>
      <c r="G15" s="25">
        <f t="shared" ref="G15" si="22">AVERAGE(F15:F17)</f>
        <v>2.4673413723801319E-4</v>
      </c>
      <c r="H15" s="26">
        <f t="shared" ref="H15" si="23">G15*86400</f>
        <v>21.31782945736434</v>
      </c>
      <c r="I15" s="29">
        <v>87.96</v>
      </c>
      <c r="J15" s="29">
        <v>1851.45</v>
      </c>
      <c r="K15" s="30">
        <f t="shared" ref="K15" si="24">SUM(I15:J17)</f>
        <v>1939.41</v>
      </c>
      <c r="L15" s="31">
        <f t="shared" ref="L15" si="25">H15/K15</f>
        <v>1.0991914787159156E-2</v>
      </c>
      <c r="M15" s="32">
        <f t="shared" ref="M15" si="26">L15*K15</f>
        <v>21.31782945736434</v>
      </c>
      <c r="N15" s="35"/>
      <c r="O15" s="26">
        <f t="shared" ref="O15" si="27">ROUNDUP(N15*86400,0)</f>
        <v>0</v>
      </c>
      <c r="P15" s="22">
        <f t="shared" ref="P15" si="28">O15/H15</f>
        <v>0</v>
      </c>
      <c r="Q15" s="41"/>
      <c r="R15" s="42"/>
      <c r="S15" s="42"/>
      <c r="T15" s="42"/>
      <c r="U15" s="43"/>
    </row>
    <row r="16" spans="1:22" x14ac:dyDescent="0.25">
      <c r="A16" s="39"/>
      <c r="B16" s="19"/>
      <c r="C16" s="19"/>
      <c r="D16" s="2">
        <v>3.3101851851851851E-3</v>
      </c>
      <c r="E16" s="3">
        <v>13</v>
      </c>
      <c r="F16" s="4">
        <f t="shared" si="1"/>
        <v>2.5462962962962961E-4</v>
      </c>
      <c r="G16" s="25"/>
      <c r="H16" s="27"/>
      <c r="I16" s="29"/>
      <c r="J16" s="29"/>
      <c r="K16" s="30"/>
      <c r="L16" s="31"/>
      <c r="M16" s="33"/>
      <c r="N16" s="36"/>
      <c r="O16" s="27"/>
      <c r="P16" s="23"/>
      <c r="Q16" s="44"/>
      <c r="R16" s="45"/>
      <c r="S16" s="45"/>
      <c r="T16" s="45"/>
      <c r="U16" s="46"/>
    </row>
    <row r="17" spans="1:22" x14ac:dyDescent="0.25">
      <c r="A17" s="40"/>
      <c r="B17" s="20"/>
      <c r="C17" s="20"/>
      <c r="D17" s="2">
        <v>1.0925925925925924E-2</v>
      </c>
      <c r="E17" s="3">
        <v>43</v>
      </c>
      <c r="F17" s="4">
        <f t="shared" si="1"/>
        <v>2.5409130060292847E-4</v>
      </c>
      <c r="G17" s="25"/>
      <c r="H17" s="28"/>
      <c r="I17" s="29"/>
      <c r="J17" s="29"/>
      <c r="K17" s="30"/>
      <c r="L17" s="31"/>
      <c r="M17" s="34"/>
      <c r="N17" s="37"/>
      <c r="O17" s="28"/>
      <c r="P17" s="24"/>
      <c r="Q17" s="47"/>
      <c r="R17" s="48"/>
      <c r="S17" s="48"/>
      <c r="T17" s="48"/>
      <c r="U17" s="49"/>
    </row>
    <row r="18" spans="1:22" x14ac:dyDescent="0.25">
      <c r="A18" s="38">
        <v>125017</v>
      </c>
      <c r="B18" s="21" t="s">
        <v>10</v>
      </c>
      <c r="C18" s="21" t="s">
        <v>21</v>
      </c>
      <c r="D18" s="2">
        <v>1.6203703703703703E-4</v>
      </c>
      <c r="E18" s="3">
        <v>1</v>
      </c>
      <c r="F18" s="4">
        <f t="shared" si="1"/>
        <v>1.6203703703703703E-4</v>
      </c>
      <c r="G18" s="25">
        <f t="shared" ref="G18" si="29">AVERAGE(F18:F20)</f>
        <v>1.7213572779769016E-4</v>
      </c>
      <c r="H18" s="26">
        <f t="shared" ref="H18" si="30">G18*86400</f>
        <v>14.872526881720431</v>
      </c>
      <c r="I18" s="29">
        <v>0</v>
      </c>
      <c r="J18" s="29">
        <v>809.08</v>
      </c>
      <c r="K18" s="30">
        <f t="shared" ref="K18" si="31">SUM(I18:J20)</f>
        <v>809.08</v>
      </c>
      <c r="L18" s="31">
        <f t="shared" ref="L18" si="32">H18/K18</f>
        <v>1.8382022645128331E-2</v>
      </c>
      <c r="M18" s="32">
        <f t="shared" ref="M18" si="33">L18*K18</f>
        <v>14.872526881720431</v>
      </c>
      <c r="N18" s="35">
        <v>1.591435185185185E-4</v>
      </c>
      <c r="O18" s="26">
        <f t="shared" ref="O18" si="34">ROUNDUP(N18*86400,0)</f>
        <v>14</v>
      </c>
      <c r="P18" s="22">
        <f t="shared" ref="P18" si="35">O18/H18</f>
        <v>0.94133297665826787</v>
      </c>
      <c r="Q18" s="41"/>
      <c r="R18" s="42"/>
      <c r="S18" s="42"/>
      <c r="T18" s="42"/>
      <c r="U18" s="43"/>
      <c r="V18" s="17"/>
    </row>
    <row r="19" spans="1:22" x14ac:dyDescent="0.25">
      <c r="A19" s="39"/>
      <c r="B19" s="19"/>
      <c r="C19" s="19"/>
      <c r="D19" s="2">
        <v>1.0995370370370371E-2</v>
      </c>
      <c r="E19" s="3">
        <v>62</v>
      </c>
      <c r="F19" s="4">
        <f t="shared" si="1"/>
        <v>1.773446833930705E-4</v>
      </c>
      <c r="G19" s="25"/>
      <c r="H19" s="27"/>
      <c r="I19" s="29"/>
      <c r="J19" s="29"/>
      <c r="K19" s="30"/>
      <c r="L19" s="31"/>
      <c r="M19" s="33"/>
      <c r="N19" s="36"/>
      <c r="O19" s="27"/>
      <c r="P19" s="23"/>
      <c r="Q19" s="44"/>
      <c r="R19" s="45"/>
      <c r="S19" s="45"/>
      <c r="T19" s="45"/>
      <c r="U19" s="46"/>
    </row>
    <row r="20" spans="1:22" x14ac:dyDescent="0.25">
      <c r="A20" s="39"/>
      <c r="B20" s="20"/>
      <c r="C20" s="20"/>
      <c r="D20" s="2">
        <v>3.5405092592592592E-2</v>
      </c>
      <c r="E20" s="3">
        <v>200</v>
      </c>
      <c r="F20" s="4">
        <f t="shared" si="1"/>
        <v>1.7702546296296295E-4</v>
      </c>
      <c r="G20" s="25"/>
      <c r="H20" s="28"/>
      <c r="I20" s="29"/>
      <c r="J20" s="29"/>
      <c r="K20" s="30"/>
      <c r="L20" s="31"/>
      <c r="M20" s="34"/>
      <c r="N20" s="37"/>
      <c r="O20" s="28"/>
      <c r="P20" s="24"/>
      <c r="Q20" s="47"/>
      <c r="R20" s="48"/>
      <c r="S20" s="48"/>
      <c r="T20" s="48"/>
      <c r="U20" s="49"/>
    </row>
    <row r="21" spans="1:22" x14ac:dyDescent="0.25">
      <c r="A21" s="39"/>
      <c r="B21" s="21" t="s">
        <v>11</v>
      </c>
      <c r="C21" s="21" t="s">
        <v>21</v>
      </c>
      <c r="D21" s="2">
        <v>6.9444444444444444E-5</v>
      </c>
      <c r="E21" s="3">
        <v>1</v>
      </c>
      <c r="F21" s="4">
        <f t="shared" si="1"/>
        <v>6.9444444444444444E-5</v>
      </c>
      <c r="G21" s="25">
        <f t="shared" ref="G21" si="36">AVERAGE(F21:F23)</f>
        <v>7.4855012943050576E-5</v>
      </c>
      <c r="H21" s="26">
        <f t="shared" ref="H21" si="37">G21*86400</f>
        <v>6.4674731182795702</v>
      </c>
      <c r="I21" s="29">
        <v>0</v>
      </c>
      <c r="J21" s="29">
        <v>809.08</v>
      </c>
      <c r="K21" s="30">
        <f t="shared" ref="K21" si="38">SUM(I21:J23)</f>
        <v>809.08</v>
      </c>
      <c r="L21" s="31">
        <f t="shared" ref="L21" si="39">H21/K21</f>
        <v>7.9936138803079673E-3</v>
      </c>
      <c r="M21" s="32">
        <f t="shared" ref="M21" si="40">L21*K21</f>
        <v>6.4674731182795702</v>
      </c>
      <c r="N21" s="35"/>
      <c r="O21" s="26">
        <f t="shared" ref="O21" si="41">ROUNDUP(N21*86400,0)</f>
        <v>0</v>
      </c>
      <c r="P21" s="22">
        <f t="shared" ref="P21" si="42">O21/H21</f>
        <v>0</v>
      </c>
      <c r="Q21" s="41"/>
      <c r="R21" s="42"/>
      <c r="S21" s="42"/>
      <c r="T21" s="42"/>
      <c r="U21" s="43"/>
      <c r="V21" s="17"/>
    </row>
    <row r="22" spans="1:22" x14ac:dyDescent="0.25">
      <c r="A22" s="39"/>
      <c r="B22" s="19"/>
      <c r="C22" s="19"/>
      <c r="D22" s="2">
        <v>4.7916666666666672E-3</v>
      </c>
      <c r="E22" s="3">
        <v>62</v>
      </c>
      <c r="F22" s="4">
        <f t="shared" si="1"/>
        <v>7.7284946236559146E-5</v>
      </c>
      <c r="G22" s="25"/>
      <c r="H22" s="27"/>
      <c r="I22" s="29"/>
      <c r="J22" s="29"/>
      <c r="K22" s="30"/>
      <c r="L22" s="31"/>
      <c r="M22" s="33"/>
      <c r="N22" s="36"/>
      <c r="O22" s="27"/>
      <c r="P22" s="23"/>
      <c r="Q22" s="44"/>
      <c r="R22" s="45"/>
      <c r="S22" s="45"/>
      <c r="T22" s="45"/>
      <c r="U22" s="46"/>
    </row>
    <row r="23" spans="1:22" x14ac:dyDescent="0.25">
      <c r="A23" s="40"/>
      <c r="B23" s="20"/>
      <c r="C23" s="20"/>
      <c r="D23" s="2">
        <v>1.556712962962963E-2</v>
      </c>
      <c r="E23" s="3">
        <v>200</v>
      </c>
      <c r="F23" s="4">
        <f t="shared" si="1"/>
        <v>7.7835648148148152E-5</v>
      </c>
      <c r="G23" s="25"/>
      <c r="H23" s="28"/>
      <c r="I23" s="29"/>
      <c r="J23" s="29"/>
      <c r="K23" s="30"/>
      <c r="L23" s="31"/>
      <c r="M23" s="34"/>
      <c r="N23" s="37"/>
      <c r="O23" s="28"/>
      <c r="P23" s="24"/>
      <c r="Q23" s="47"/>
      <c r="R23" s="48"/>
      <c r="S23" s="48"/>
      <c r="T23" s="48"/>
      <c r="U23" s="49"/>
    </row>
    <row r="24" spans="1:22" x14ac:dyDescent="0.25">
      <c r="A24" s="38">
        <v>124249</v>
      </c>
      <c r="B24" s="21" t="s">
        <v>10</v>
      </c>
      <c r="C24" s="21" t="s">
        <v>21</v>
      </c>
      <c r="D24" s="2">
        <v>2.199074074074074E-4</v>
      </c>
      <c r="E24" s="3">
        <v>1</v>
      </c>
      <c r="F24" s="4">
        <f t="shared" si="1"/>
        <v>2.199074074074074E-4</v>
      </c>
      <c r="G24" s="25">
        <f t="shared" ref="G24" si="43">AVERAGE(F24:F26)</f>
        <v>2.2984182098765432E-4</v>
      </c>
      <c r="H24" s="26">
        <f t="shared" ref="H24" si="44">G24*86400</f>
        <v>19.858333333333334</v>
      </c>
      <c r="I24" s="29">
        <v>42.93</v>
      </c>
      <c r="J24" s="29">
        <v>802.45</v>
      </c>
      <c r="K24" s="30">
        <f t="shared" ref="K24" si="45">SUM(I24:J26)</f>
        <v>845.38</v>
      </c>
      <c r="L24" s="31">
        <f t="shared" ref="L24" si="46">H24/K24</f>
        <v>2.3490422453019157E-2</v>
      </c>
      <c r="M24" s="32">
        <f t="shared" ref="M24" si="47">L24*K24</f>
        <v>19.858333333333334</v>
      </c>
      <c r="N24" s="35">
        <v>1.1876157407407406E-3</v>
      </c>
      <c r="O24" s="26">
        <f t="shared" ref="O24" si="48">ROUNDUP(N24*86400,0)</f>
        <v>103</v>
      </c>
      <c r="P24" s="22">
        <f t="shared" ref="P24" si="49">O24/H24</f>
        <v>5.1867394041124628</v>
      </c>
      <c r="Q24" s="41"/>
      <c r="R24" s="42"/>
      <c r="S24" s="42"/>
      <c r="T24" s="42"/>
      <c r="U24" s="43"/>
    </row>
    <row r="25" spans="1:22" x14ac:dyDescent="0.25">
      <c r="A25" s="39"/>
      <c r="B25" s="19"/>
      <c r="C25" s="19"/>
      <c r="D25" s="2">
        <v>1.1319444444444444E-2</v>
      </c>
      <c r="E25" s="3">
        <v>48</v>
      </c>
      <c r="F25" s="4">
        <f t="shared" si="1"/>
        <v>2.3582175925925927E-4</v>
      </c>
      <c r="G25" s="25"/>
      <c r="H25" s="27"/>
      <c r="I25" s="29"/>
      <c r="J25" s="29"/>
      <c r="K25" s="30"/>
      <c r="L25" s="31"/>
      <c r="M25" s="33"/>
      <c r="N25" s="36"/>
      <c r="O25" s="27"/>
      <c r="P25" s="23"/>
      <c r="Q25" s="44"/>
      <c r="R25" s="45"/>
      <c r="S25" s="45"/>
      <c r="T25" s="45"/>
      <c r="U25" s="46"/>
    </row>
    <row r="26" spans="1:22" x14ac:dyDescent="0.25">
      <c r="A26" s="39"/>
      <c r="B26" s="20"/>
      <c r="C26" s="20"/>
      <c r="D26" s="2">
        <v>3.9745370370370368E-2</v>
      </c>
      <c r="E26" s="3">
        <v>170</v>
      </c>
      <c r="F26" s="4">
        <f t="shared" si="1"/>
        <v>2.3379629629629629E-4</v>
      </c>
      <c r="G26" s="25"/>
      <c r="H26" s="28"/>
      <c r="I26" s="29"/>
      <c r="J26" s="29"/>
      <c r="K26" s="30"/>
      <c r="L26" s="31"/>
      <c r="M26" s="34"/>
      <c r="N26" s="37"/>
      <c r="O26" s="28"/>
      <c r="P26" s="24"/>
      <c r="Q26" s="47"/>
      <c r="R26" s="48"/>
      <c r="S26" s="48"/>
      <c r="T26" s="48"/>
      <c r="U26" s="49"/>
    </row>
    <row r="27" spans="1:22" x14ac:dyDescent="0.25">
      <c r="A27" s="39"/>
      <c r="B27" s="21" t="s">
        <v>11</v>
      </c>
      <c r="C27" s="21" t="s">
        <v>21</v>
      </c>
      <c r="D27" s="2">
        <v>1.0416666666666667E-4</v>
      </c>
      <c r="E27" s="3">
        <v>1</v>
      </c>
      <c r="F27" s="4">
        <f t="shared" si="1"/>
        <v>1.0416666666666667E-4</v>
      </c>
      <c r="G27" s="25">
        <f t="shared" ref="G27" si="50">AVERAGE(F27:F29)</f>
        <v>1.0806156953522151E-4</v>
      </c>
      <c r="H27" s="26">
        <f t="shared" ref="H27" si="51">G27*86400</f>
        <v>9.3365196078431385</v>
      </c>
      <c r="I27" s="29">
        <v>42.93</v>
      </c>
      <c r="J27" s="29">
        <v>802.45</v>
      </c>
      <c r="K27" s="30">
        <f t="shared" ref="K27" si="52">SUM(I27:J29)</f>
        <v>845.38</v>
      </c>
      <c r="L27" s="31">
        <f t="shared" ref="L27" si="53">H27/K27</f>
        <v>1.104416902202931E-2</v>
      </c>
      <c r="M27" s="32">
        <f t="shared" ref="M27" si="54">L27*K27</f>
        <v>9.3365196078431385</v>
      </c>
      <c r="N27" s="35"/>
      <c r="O27" s="26">
        <f t="shared" ref="O27" si="55">ROUNDUP(N27*86400,0)</f>
        <v>0</v>
      </c>
      <c r="P27" s="22">
        <f t="shared" ref="P27" si="56">O27/H27</f>
        <v>0</v>
      </c>
      <c r="Q27" s="41"/>
      <c r="R27" s="42"/>
      <c r="S27" s="42"/>
      <c r="T27" s="42"/>
      <c r="U27" s="43"/>
    </row>
    <row r="28" spans="1:22" x14ac:dyDescent="0.25">
      <c r="A28" s="39"/>
      <c r="B28" s="19"/>
      <c r="C28" s="19"/>
      <c r="D28" s="2">
        <v>5.3125000000000004E-3</v>
      </c>
      <c r="E28" s="3">
        <v>48</v>
      </c>
      <c r="F28" s="4">
        <f t="shared" si="1"/>
        <v>1.1067708333333334E-4</v>
      </c>
      <c r="G28" s="25"/>
      <c r="H28" s="27"/>
      <c r="I28" s="29"/>
      <c r="J28" s="29"/>
      <c r="K28" s="30"/>
      <c r="L28" s="31"/>
      <c r="M28" s="33"/>
      <c r="N28" s="36"/>
      <c r="O28" s="27"/>
      <c r="P28" s="23"/>
      <c r="Q28" s="44"/>
      <c r="R28" s="45"/>
      <c r="S28" s="45"/>
      <c r="T28" s="45"/>
      <c r="U28" s="46"/>
    </row>
    <row r="29" spans="1:22" x14ac:dyDescent="0.25">
      <c r="A29" s="40"/>
      <c r="B29" s="20"/>
      <c r="C29" s="20"/>
      <c r="D29" s="2">
        <v>1.8587962962962962E-2</v>
      </c>
      <c r="E29" s="3">
        <v>170</v>
      </c>
      <c r="F29" s="4">
        <f t="shared" si="1"/>
        <v>1.0934095860566449E-4</v>
      </c>
      <c r="G29" s="25"/>
      <c r="H29" s="28"/>
      <c r="I29" s="29"/>
      <c r="J29" s="29"/>
      <c r="K29" s="30"/>
      <c r="L29" s="31"/>
      <c r="M29" s="34"/>
      <c r="N29" s="37"/>
      <c r="O29" s="28"/>
      <c r="P29" s="24"/>
      <c r="Q29" s="47"/>
      <c r="R29" s="48"/>
      <c r="S29" s="48"/>
      <c r="T29" s="48"/>
      <c r="U29" s="49"/>
    </row>
    <row r="30" spans="1:22" x14ac:dyDescent="0.25">
      <c r="A30" s="38">
        <v>124770</v>
      </c>
      <c r="B30" s="21" t="s">
        <v>10</v>
      </c>
      <c r="C30" s="21" t="s">
        <v>20</v>
      </c>
      <c r="D30" s="2">
        <v>1.5046296296296297E-4</v>
      </c>
      <c r="E30" s="3">
        <v>1</v>
      </c>
      <c r="F30" s="4">
        <f t="shared" si="1"/>
        <v>1.5046296296296297E-4</v>
      </c>
      <c r="G30" s="25">
        <f t="shared" ref="G30" si="57">AVERAGE(F30:F32)</f>
        <v>1.5959142309450954E-4</v>
      </c>
      <c r="H30" s="26">
        <f t="shared" ref="H30" si="58">G30*86400</f>
        <v>13.788698955365625</v>
      </c>
      <c r="I30" s="29">
        <v>116.61</v>
      </c>
      <c r="J30" s="29">
        <v>601.51</v>
      </c>
      <c r="K30" s="30">
        <f t="shared" ref="K30" si="59">SUM(I30:J32)</f>
        <v>718.12</v>
      </c>
      <c r="L30" s="31">
        <f t="shared" ref="L30" si="60">H30/K30</f>
        <v>1.9201106995161844E-2</v>
      </c>
      <c r="M30" s="32">
        <f t="shared" ref="M30" si="61">L30*K30</f>
        <v>13.788698955365623</v>
      </c>
      <c r="N30" s="35">
        <v>1.5104166666666667E-4</v>
      </c>
      <c r="O30" s="26">
        <f t="shared" ref="O30" si="62">ROUNDUP(N30*86400,0)</f>
        <v>14</v>
      </c>
      <c r="P30" s="22">
        <f t="shared" ref="P30" si="63">O30/H30</f>
        <v>1.0153242191535519</v>
      </c>
      <c r="Q30" s="41"/>
      <c r="R30" s="42"/>
      <c r="S30" s="42"/>
      <c r="T30" s="42"/>
      <c r="U30" s="43"/>
      <c r="V30" s="17">
        <f>AVERAGE(L30,L36)</f>
        <v>2.1243641283292466E-2</v>
      </c>
    </row>
    <row r="31" spans="1:22" x14ac:dyDescent="0.25">
      <c r="A31" s="39"/>
      <c r="B31" s="19"/>
      <c r="C31" s="19"/>
      <c r="D31" s="2">
        <v>1.283564814814815E-2</v>
      </c>
      <c r="E31" s="3">
        <v>78</v>
      </c>
      <c r="F31" s="4">
        <f t="shared" si="1"/>
        <v>1.6455959164292499E-4</v>
      </c>
      <c r="G31" s="25"/>
      <c r="H31" s="27"/>
      <c r="I31" s="29"/>
      <c r="J31" s="29"/>
      <c r="K31" s="30"/>
      <c r="L31" s="31"/>
      <c r="M31" s="33"/>
      <c r="N31" s="36"/>
      <c r="O31" s="27"/>
      <c r="P31" s="23"/>
      <c r="Q31" s="44"/>
      <c r="R31" s="45"/>
      <c r="S31" s="45"/>
      <c r="T31" s="45"/>
      <c r="U31" s="46"/>
    </row>
    <row r="32" spans="1:22" x14ac:dyDescent="0.25">
      <c r="A32" s="39"/>
      <c r="B32" s="20"/>
      <c r="C32" s="20"/>
      <c r="D32" s="2">
        <v>3.9791666666666663E-2</v>
      </c>
      <c r="E32" s="3">
        <v>243</v>
      </c>
      <c r="F32" s="4">
        <f t="shared" si="1"/>
        <v>1.6375171467764059E-4</v>
      </c>
      <c r="G32" s="25"/>
      <c r="H32" s="28"/>
      <c r="I32" s="29"/>
      <c r="J32" s="29"/>
      <c r="K32" s="30"/>
      <c r="L32" s="31"/>
      <c r="M32" s="34"/>
      <c r="N32" s="37"/>
      <c r="O32" s="28"/>
      <c r="P32" s="24"/>
      <c r="Q32" s="47"/>
      <c r="R32" s="48"/>
      <c r="S32" s="48"/>
      <c r="T32" s="48"/>
      <c r="U32" s="49"/>
    </row>
    <row r="33" spans="1:22" x14ac:dyDescent="0.25">
      <c r="A33" s="39"/>
      <c r="B33" s="21" t="s">
        <v>11</v>
      </c>
      <c r="C33" s="21" t="s">
        <v>20</v>
      </c>
      <c r="D33" s="2">
        <v>5.7870370370370366E-5</v>
      </c>
      <c r="E33" s="3">
        <v>1</v>
      </c>
      <c r="F33" s="4">
        <f t="shared" si="1"/>
        <v>5.7870370370370366E-5</v>
      </c>
      <c r="G33" s="25">
        <f t="shared" ref="G33" si="64">AVERAGE(F33:F35)</f>
        <v>6.697745809542793E-5</v>
      </c>
      <c r="H33" s="26">
        <f t="shared" ref="H33" si="65">G33*86400</f>
        <v>5.7868523794449729</v>
      </c>
      <c r="I33" s="29">
        <v>116.61</v>
      </c>
      <c r="J33" s="29">
        <v>601.51</v>
      </c>
      <c r="K33" s="30">
        <f t="shared" ref="K33" si="66">SUM(I33:J35)</f>
        <v>718.12</v>
      </c>
      <c r="L33" s="31">
        <f t="shared" ref="L33" si="67">H33/K33</f>
        <v>8.0583361825947927E-3</v>
      </c>
      <c r="M33" s="32">
        <f t="shared" ref="M33" si="68">L33*K33</f>
        <v>5.7868523794449729</v>
      </c>
      <c r="N33" s="35"/>
      <c r="O33" s="26">
        <f t="shared" ref="O33" si="69">ROUNDUP(N33*86400,0)</f>
        <v>0</v>
      </c>
      <c r="P33" s="22">
        <f t="shared" ref="P33" si="70">O33/H33</f>
        <v>0</v>
      </c>
      <c r="Q33" s="41"/>
      <c r="R33" s="42"/>
      <c r="S33" s="42"/>
      <c r="T33" s="42"/>
      <c r="U33" s="43"/>
      <c r="V33" s="17">
        <f>AVERAGE(L33,L39)</f>
        <v>1.1254752750137483E-2</v>
      </c>
    </row>
    <row r="34" spans="1:22" x14ac:dyDescent="0.25">
      <c r="A34" s="39"/>
      <c r="B34" s="19"/>
      <c r="C34" s="19"/>
      <c r="D34" s="2">
        <v>5.5787037037037038E-3</v>
      </c>
      <c r="E34" s="3">
        <v>78</v>
      </c>
      <c r="F34" s="4">
        <f t="shared" si="1"/>
        <v>7.1521842355175692E-5</v>
      </c>
      <c r="G34" s="25"/>
      <c r="H34" s="27"/>
      <c r="I34" s="29"/>
      <c r="J34" s="29"/>
      <c r="K34" s="30"/>
      <c r="L34" s="31"/>
      <c r="M34" s="33"/>
      <c r="N34" s="36"/>
      <c r="O34" s="27"/>
      <c r="P34" s="23"/>
      <c r="Q34" s="44"/>
      <c r="R34" s="45"/>
      <c r="S34" s="45"/>
      <c r="T34" s="45"/>
      <c r="U34" s="46"/>
    </row>
    <row r="35" spans="1:22" x14ac:dyDescent="0.25">
      <c r="A35" s="40"/>
      <c r="B35" s="20"/>
      <c r="C35" s="20"/>
      <c r="D35" s="2">
        <v>1.7384259259259262E-2</v>
      </c>
      <c r="E35" s="3">
        <v>243</v>
      </c>
      <c r="F35" s="4">
        <f t="shared" si="1"/>
        <v>7.1540161560737712E-5</v>
      </c>
      <c r="G35" s="25"/>
      <c r="H35" s="28"/>
      <c r="I35" s="29"/>
      <c r="J35" s="29"/>
      <c r="K35" s="30"/>
      <c r="L35" s="31"/>
      <c r="M35" s="34"/>
      <c r="N35" s="37"/>
      <c r="O35" s="28"/>
      <c r="P35" s="24"/>
      <c r="Q35" s="47"/>
      <c r="R35" s="48"/>
      <c r="S35" s="48"/>
      <c r="T35" s="48"/>
      <c r="U35" s="49"/>
    </row>
    <row r="36" spans="1:22" x14ac:dyDescent="0.25">
      <c r="A36" s="38">
        <v>125025</v>
      </c>
      <c r="B36" s="21" t="s">
        <v>10</v>
      </c>
      <c r="C36" s="21" t="s">
        <v>20</v>
      </c>
      <c r="D36" s="2">
        <v>2.5462962962962961E-4</v>
      </c>
      <c r="E36" s="3">
        <v>1</v>
      </c>
      <c r="F36" s="4">
        <f t="shared" si="1"/>
        <v>2.5462962962962961E-4</v>
      </c>
      <c r="G36" s="25">
        <f t="shared" ref="G36" si="71">AVERAGE(F36:F38)</f>
        <v>2.5677051306308434E-4</v>
      </c>
      <c r="H36" s="26">
        <f t="shared" ref="H36" si="72">G36*86400</f>
        <v>22.184972328650488</v>
      </c>
      <c r="I36" s="29">
        <v>370.08</v>
      </c>
      <c r="J36" s="29">
        <v>582.63</v>
      </c>
      <c r="K36" s="30">
        <f t="shared" ref="K36" si="73">SUM(I36:J38)</f>
        <v>952.71</v>
      </c>
      <c r="L36" s="31">
        <f t="shared" ref="L36" si="74">H36/K36</f>
        <v>2.3286175571423085E-2</v>
      </c>
      <c r="M36" s="32">
        <f t="shared" ref="M36" si="75">L36*K36</f>
        <v>22.184972328650488</v>
      </c>
      <c r="N36" s="35">
        <v>2.3680555555555556E-4</v>
      </c>
      <c r="O36" s="26">
        <f t="shared" ref="O36" si="76">ROUNDUP(N36*86400,0)</f>
        <v>21</v>
      </c>
      <c r="P36" s="22">
        <f t="shared" ref="P36" si="77">O36/H36</f>
        <v>0.94658671144159279</v>
      </c>
      <c r="Q36" s="41"/>
      <c r="R36" s="42"/>
      <c r="S36" s="42"/>
      <c r="T36" s="42"/>
      <c r="U36" s="43"/>
    </row>
    <row r="37" spans="1:22" x14ac:dyDescent="0.25">
      <c r="A37" s="39"/>
      <c r="B37" s="19"/>
      <c r="C37" s="19"/>
      <c r="D37" s="2">
        <v>1.3935185185185184E-2</v>
      </c>
      <c r="E37" s="3">
        <v>54</v>
      </c>
      <c r="F37" s="4">
        <f t="shared" si="1"/>
        <v>2.5805898491083673E-4</v>
      </c>
      <c r="G37" s="25"/>
      <c r="H37" s="27"/>
      <c r="I37" s="29"/>
      <c r="J37" s="29"/>
      <c r="K37" s="30"/>
      <c r="L37" s="31"/>
      <c r="M37" s="33"/>
      <c r="N37" s="36"/>
      <c r="O37" s="27"/>
      <c r="P37" s="23"/>
      <c r="Q37" s="44"/>
      <c r="R37" s="45"/>
      <c r="S37" s="45"/>
      <c r="T37" s="45"/>
      <c r="U37" s="46"/>
    </row>
    <row r="38" spans="1:22" x14ac:dyDescent="0.25">
      <c r="A38" s="39"/>
      <c r="B38" s="20"/>
      <c r="C38" s="20"/>
      <c r="D38" s="2">
        <v>4.4826388888888895E-2</v>
      </c>
      <c r="E38" s="3">
        <v>174</v>
      </c>
      <c r="F38" s="4">
        <f t="shared" si="1"/>
        <v>2.5762292464878673E-4</v>
      </c>
      <c r="G38" s="25"/>
      <c r="H38" s="28"/>
      <c r="I38" s="29"/>
      <c r="J38" s="29"/>
      <c r="K38" s="30"/>
      <c r="L38" s="31"/>
      <c r="M38" s="34"/>
      <c r="N38" s="37"/>
      <c r="O38" s="28"/>
      <c r="P38" s="24"/>
      <c r="Q38" s="47"/>
      <c r="R38" s="48"/>
      <c r="S38" s="48"/>
      <c r="T38" s="48"/>
      <c r="U38" s="49"/>
    </row>
    <row r="39" spans="1:22" x14ac:dyDescent="0.25">
      <c r="A39" s="39"/>
      <c r="B39" s="21" t="s">
        <v>11</v>
      </c>
      <c r="C39" s="21" t="s">
        <v>20</v>
      </c>
      <c r="D39" s="2">
        <v>1.5046296296296297E-4</v>
      </c>
      <c r="E39" s="3">
        <v>1</v>
      </c>
      <c r="F39" s="4">
        <f t="shared" si="1"/>
        <v>1.5046296296296297E-4</v>
      </c>
      <c r="G39" s="25">
        <f t="shared" ref="G39" si="78">AVERAGE(F39:F41)</f>
        <v>1.5934923056304493E-4</v>
      </c>
      <c r="H39" s="26">
        <f t="shared" ref="H39" si="79">G39*86400</f>
        <v>13.767773520647081</v>
      </c>
      <c r="I39" s="29">
        <v>370.08</v>
      </c>
      <c r="J39" s="29">
        <v>582.63</v>
      </c>
      <c r="K39" s="30">
        <f t="shared" ref="K39" si="80">SUM(I39:J41)</f>
        <v>952.71</v>
      </c>
      <c r="L39" s="31">
        <f t="shared" ref="L39" si="81">H39/K39</f>
        <v>1.4451169317680175E-2</v>
      </c>
      <c r="M39" s="32">
        <f t="shared" ref="M39" si="82">L39*K39</f>
        <v>13.767773520647081</v>
      </c>
      <c r="N39" s="35"/>
      <c r="O39" s="26">
        <f t="shared" ref="O39" si="83">ROUNDUP(N39*86400,0)</f>
        <v>0</v>
      </c>
      <c r="P39" s="22">
        <f t="shared" ref="P39" si="84">O39/H39</f>
        <v>0</v>
      </c>
      <c r="Q39" s="41"/>
      <c r="R39" s="42"/>
      <c r="S39" s="42"/>
      <c r="T39" s="42"/>
      <c r="U39" s="43"/>
    </row>
    <row r="40" spans="1:22" x14ac:dyDescent="0.25">
      <c r="A40" s="39"/>
      <c r="B40" s="19"/>
      <c r="C40" s="19"/>
      <c r="D40" s="2">
        <v>8.8425925925925911E-3</v>
      </c>
      <c r="E40" s="3">
        <v>54</v>
      </c>
      <c r="F40" s="4">
        <f t="shared" si="1"/>
        <v>1.6375171467764057E-4</v>
      </c>
      <c r="G40" s="25"/>
      <c r="H40" s="27"/>
      <c r="I40" s="29"/>
      <c r="J40" s="29"/>
      <c r="K40" s="30"/>
      <c r="L40" s="31"/>
      <c r="M40" s="33"/>
      <c r="N40" s="36"/>
      <c r="O40" s="27"/>
      <c r="P40" s="23"/>
      <c r="Q40" s="44"/>
      <c r="R40" s="45"/>
      <c r="S40" s="45"/>
      <c r="T40" s="45"/>
      <c r="U40" s="46"/>
    </row>
    <row r="41" spans="1:22" x14ac:dyDescent="0.25">
      <c r="A41" s="40"/>
      <c r="B41" s="20"/>
      <c r="C41" s="20"/>
      <c r="D41" s="2">
        <v>2.8506944444444442E-2</v>
      </c>
      <c r="E41" s="3">
        <v>174</v>
      </c>
      <c r="F41" s="4">
        <f t="shared" si="1"/>
        <v>1.6383301404853127E-4</v>
      </c>
      <c r="G41" s="25"/>
      <c r="H41" s="28"/>
      <c r="I41" s="29"/>
      <c r="J41" s="29"/>
      <c r="K41" s="30"/>
      <c r="L41" s="31"/>
      <c r="M41" s="34"/>
      <c r="N41" s="37"/>
      <c r="O41" s="28"/>
      <c r="P41" s="24"/>
      <c r="Q41" s="47"/>
      <c r="R41" s="48"/>
      <c r="S41" s="48"/>
      <c r="T41" s="48"/>
      <c r="U41" s="49"/>
    </row>
    <row r="42" spans="1:22" x14ac:dyDescent="0.25">
      <c r="A42" s="38">
        <v>125061</v>
      </c>
      <c r="B42" s="21" t="s">
        <v>10</v>
      </c>
      <c r="C42" s="21" t="s">
        <v>23</v>
      </c>
      <c r="D42" s="2">
        <v>2.3148148148148146E-4</v>
      </c>
      <c r="E42" s="3">
        <v>1</v>
      </c>
      <c r="F42" s="4">
        <f t="shared" si="1"/>
        <v>2.3148148148148146E-4</v>
      </c>
      <c r="G42" s="25">
        <f t="shared" ref="G42" si="85">AVERAGE(F42:F44)</f>
        <v>2.40947930955647E-4</v>
      </c>
      <c r="H42" s="26">
        <f t="shared" ref="H42" si="86">G42*86400</f>
        <v>20.817901234567902</v>
      </c>
      <c r="I42" s="29">
        <v>529.1</v>
      </c>
      <c r="J42" s="29">
        <v>1070</v>
      </c>
      <c r="K42" s="30">
        <f t="shared" ref="K42" si="87">SUM(I42:J44)</f>
        <v>1599.1</v>
      </c>
      <c r="L42" s="31">
        <f t="shared" ref="L42" si="88">H42/K42</f>
        <v>1.3018511184146021E-2</v>
      </c>
      <c r="M42" s="32">
        <f t="shared" ref="M42" si="89">L42*K42</f>
        <v>20.817901234567902</v>
      </c>
      <c r="N42" s="35">
        <v>2.4108796296296294E-4</v>
      </c>
      <c r="O42" s="26">
        <f t="shared" ref="O42" si="90">ROUNDUP(N42*86400,0)</f>
        <v>21</v>
      </c>
      <c r="P42" s="22">
        <f t="shared" ref="P42" si="91">O42/H42</f>
        <v>1.0087472201630838</v>
      </c>
      <c r="Q42" s="41"/>
      <c r="R42" s="42"/>
      <c r="S42" s="42"/>
      <c r="T42" s="42"/>
      <c r="U42" s="43"/>
      <c r="V42" s="17">
        <f>AVERAGE(L42,L72)</f>
        <v>1.2597150556271815E-2</v>
      </c>
    </row>
    <row r="43" spans="1:22" x14ac:dyDescent="0.25">
      <c r="A43" s="39"/>
      <c r="B43" s="19"/>
      <c r="C43" s="19"/>
      <c r="D43" s="2">
        <v>8.8310185185185176E-3</v>
      </c>
      <c r="E43" s="3">
        <v>36</v>
      </c>
      <c r="F43" s="4">
        <f t="shared" si="1"/>
        <v>2.4530606995884773E-4</v>
      </c>
      <c r="G43" s="25"/>
      <c r="H43" s="27"/>
      <c r="I43" s="29"/>
      <c r="J43" s="29"/>
      <c r="K43" s="30"/>
      <c r="L43" s="31"/>
      <c r="M43" s="33"/>
      <c r="N43" s="36"/>
      <c r="O43" s="27"/>
      <c r="P43" s="23"/>
      <c r="Q43" s="44"/>
      <c r="R43" s="45"/>
      <c r="S43" s="45"/>
      <c r="T43" s="45"/>
      <c r="U43" s="46"/>
    </row>
    <row r="44" spans="1:22" x14ac:dyDescent="0.25">
      <c r="A44" s="39"/>
      <c r="B44" s="20"/>
      <c r="C44" s="20"/>
      <c r="D44" s="2">
        <v>2.6574074074074073E-2</v>
      </c>
      <c r="E44" s="3">
        <v>108</v>
      </c>
      <c r="F44" s="4">
        <f t="shared" si="1"/>
        <v>2.4605624142661181E-4</v>
      </c>
      <c r="G44" s="25"/>
      <c r="H44" s="28"/>
      <c r="I44" s="29"/>
      <c r="J44" s="29"/>
      <c r="K44" s="30"/>
      <c r="L44" s="31"/>
      <c r="M44" s="34"/>
      <c r="N44" s="37"/>
      <c r="O44" s="28"/>
      <c r="P44" s="24"/>
      <c r="Q44" s="47"/>
      <c r="R44" s="48"/>
      <c r="S44" s="48"/>
      <c r="T44" s="48"/>
      <c r="U44" s="49"/>
    </row>
    <row r="45" spans="1:22" x14ac:dyDescent="0.25">
      <c r="A45" s="39"/>
      <c r="B45" s="21" t="s">
        <v>11</v>
      </c>
      <c r="C45" s="21" t="s">
        <v>23</v>
      </c>
      <c r="D45" s="2">
        <v>1.273148148148148E-4</v>
      </c>
      <c r="E45" s="3">
        <v>1</v>
      </c>
      <c r="F45" s="4">
        <f t="shared" si="1"/>
        <v>1.273148148148148E-4</v>
      </c>
      <c r="G45" s="25">
        <f t="shared" ref="G45" si="92">AVERAGE(F45:F47)</f>
        <v>1.384959419295839E-4</v>
      </c>
      <c r="H45" s="26">
        <f t="shared" ref="H45" si="93">G45*86400</f>
        <v>11.966049382716049</v>
      </c>
      <c r="I45" s="29">
        <v>529.1</v>
      </c>
      <c r="J45" s="29">
        <v>1070</v>
      </c>
      <c r="K45" s="30">
        <f t="shared" ref="K45" si="94">SUM(I45:J47)</f>
        <v>1599.1</v>
      </c>
      <c r="L45" s="31">
        <f t="shared" ref="L45" si="95">H45/K45</f>
        <v>7.4829900460984611E-3</v>
      </c>
      <c r="M45" s="32">
        <f t="shared" ref="M45" si="96">L45*K45</f>
        <v>11.966049382716049</v>
      </c>
      <c r="N45" s="35"/>
      <c r="O45" s="26">
        <f t="shared" ref="O45" si="97">ROUNDUP(N45*86400,0)</f>
        <v>0</v>
      </c>
      <c r="P45" s="22">
        <f t="shared" ref="P45" si="98">O45/H45</f>
        <v>0</v>
      </c>
      <c r="Q45" s="41"/>
      <c r="R45" s="42"/>
      <c r="S45" s="42"/>
      <c r="T45" s="42"/>
      <c r="U45" s="43"/>
      <c r="V45" s="17">
        <f>AVERAGE(L45,L75)</f>
        <v>6.8383977770665981E-3</v>
      </c>
    </row>
    <row r="46" spans="1:22" x14ac:dyDescent="0.25">
      <c r="A46" s="39"/>
      <c r="B46" s="19"/>
      <c r="C46" s="19"/>
      <c r="D46" s="2">
        <v>5.185185185185185E-3</v>
      </c>
      <c r="E46" s="3">
        <v>36</v>
      </c>
      <c r="F46" s="4">
        <f t="shared" si="1"/>
        <v>1.440329218106996E-4</v>
      </c>
      <c r="G46" s="25"/>
      <c r="H46" s="27"/>
      <c r="I46" s="29"/>
      <c r="J46" s="29"/>
      <c r="K46" s="30"/>
      <c r="L46" s="31"/>
      <c r="M46" s="33"/>
      <c r="N46" s="36"/>
      <c r="O46" s="27"/>
      <c r="P46" s="23"/>
      <c r="Q46" s="44"/>
      <c r="R46" s="45"/>
      <c r="S46" s="45"/>
      <c r="T46" s="45"/>
      <c r="U46" s="46"/>
    </row>
    <row r="47" spans="1:22" x14ac:dyDescent="0.25">
      <c r="A47" s="40"/>
      <c r="B47" s="20"/>
      <c r="C47" s="20"/>
      <c r="D47" s="2">
        <v>1.556712962962963E-2</v>
      </c>
      <c r="E47" s="3">
        <v>108</v>
      </c>
      <c r="F47" s="4">
        <f t="shared" si="1"/>
        <v>1.4414008916323733E-4</v>
      </c>
      <c r="G47" s="25"/>
      <c r="H47" s="28"/>
      <c r="I47" s="29"/>
      <c r="J47" s="29"/>
      <c r="K47" s="30"/>
      <c r="L47" s="31"/>
      <c r="M47" s="34"/>
      <c r="N47" s="37"/>
      <c r="O47" s="28"/>
      <c r="P47" s="24"/>
      <c r="Q47" s="47"/>
      <c r="R47" s="48"/>
      <c r="S47" s="48"/>
      <c r="T47" s="48"/>
      <c r="U47" s="49"/>
    </row>
    <row r="48" spans="1:22" x14ac:dyDescent="0.25">
      <c r="A48" s="38">
        <v>124768</v>
      </c>
      <c r="B48" s="21" t="s">
        <v>10</v>
      </c>
      <c r="C48" s="21" t="s">
        <v>24</v>
      </c>
      <c r="D48" s="2">
        <v>1.9675925925925926E-4</v>
      </c>
      <c r="E48" s="3">
        <v>1</v>
      </c>
      <c r="F48" s="4">
        <f t="shared" si="1"/>
        <v>1.9675925925925926E-4</v>
      </c>
      <c r="G48" s="25">
        <f t="shared" ref="G48" si="99">AVERAGE(F48:F50)</f>
        <v>2.0727696942974722E-4</v>
      </c>
      <c r="H48" s="26">
        <f t="shared" ref="H48" si="100">G48*86400</f>
        <v>17.908730158730162</v>
      </c>
      <c r="I48" s="29">
        <v>304.62</v>
      </c>
      <c r="J48" s="29">
        <v>827.92</v>
      </c>
      <c r="K48" s="30">
        <f t="shared" ref="K48" si="101">SUM(I48:J50)</f>
        <v>1132.54</v>
      </c>
      <c r="L48" s="31">
        <f t="shared" ref="L48" si="102">H48/K48</f>
        <v>1.5812889751117103E-2</v>
      </c>
      <c r="M48" s="32">
        <f t="shared" ref="M48" si="103">L48*K48</f>
        <v>17.908730158730162</v>
      </c>
      <c r="N48" s="35">
        <v>3.2581018518518511E-4</v>
      </c>
      <c r="O48" s="26">
        <f t="shared" ref="O48" si="104">ROUNDUP(N48*86400,0)</f>
        <v>29</v>
      </c>
      <c r="P48" s="22">
        <f t="shared" ref="P48" si="105">O48/H48</f>
        <v>1.6193219587857299</v>
      </c>
      <c r="Q48" s="41"/>
      <c r="R48" s="42"/>
      <c r="S48" s="42"/>
      <c r="T48" s="42"/>
      <c r="U48" s="43"/>
      <c r="V48" s="17">
        <f>AVERAGE(L48,L54)</f>
        <v>1.5076323965268489E-2</v>
      </c>
    </row>
    <row r="49" spans="1:22" x14ac:dyDescent="0.25">
      <c r="A49" s="39"/>
      <c r="B49" s="19"/>
      <c r="C49" s="19"/>
      <c r="D49" s="2">
        <v>5.9490740740740745E-3</v>
      </c>
      <c r="E49" s="3">
        <v>28</v>
      </c>
      <c r="F49" s="4">
        <f t="shared" si="1"/>
        <v>2.1246693121693122E-4</v>
      </c>
      <c r="G49" s="25"/>
      <c r="H49" s="27"/>
      <c r="I49" s="29"/>
      <c r="J49" s="29"/>
      <c r="K49" s="30"/>
      <c r="L49" s="31"/>
      <c r="M49" s="33"/>
      <c r="N49" s="36"/>
      <c r="O49" s="27"/>
      <c r="P49" s="23"/>
      <c r="Q49" s="44"/>
      <c r="R49" s="45"/>
      <c r="S49" s="45"/>
      <c r="T49" s="45"/>
      <c r="U49" s="46"/>
    </row>
    <row r="50" spans="1:22" x14ac:dyDescent="0.25">
      <c r="A50" s="39"/>
      <c r="B50" s="20"/>
      <c r="C50" s="20"/>
      <c r="D50" s="2">
        <v>1.7858796296296296E-2</v>
      </c>
      <c r="E50" s="3">
        <v>84</v>
      </c>
      <c r="F50" s="4">
        <f t="shared" si="1"/>
        <v>2.1260471781305116E-4</v>
      </c>
      <c r="G50" s="25"/>
      <c r="H50" s="28"/>
      <c r="I50" s="29"/>
      <c r="J50" s="29"/>
      <c r="K50" s="30"/>
      <c r="L50" s="31"/>
      <c r="M50" s="34"/>
      <c r="N50" s="37"/>
      <c r="O50" s="28"/>
      <c r="P50" s="24"/>
      <c r="Q50" s="47"/>
      <c r="R50" s="48"/>
      <c r="S50" s="48"/>
      <c r="T50" s="48"/>
      <c r="U50" s="49"/>
    </row>
    <row r="51" spans="1:22" x14ac:dyDescent="0.25">
      <c r="A51" s="39"/>
      <c r="B51" s="21" t="s">
        <v>11</v>
      </c>
      <c r="C51" s="21" t="s">
        <v>24</v>
      </c>
      <c r="D51" s="2">
        <v>8.1018518518518516E-5</v>
      </c>
      <c r="E51" s="3">
        <v>1</v>
      </c>
      <c r="F51" s="4">
        <f t="shared" si="1"/>
        <v>8.1018518518518516E-5</v>
      </c>
      <c r="G51" s="25">
        <f t="shared" ref="G51" si="106">AVERAGE(F51:F53)</f>
        <v>8.2855673133450908E-5</v>
      </c>
      <c r="H51" s="26">
        <f t="shared" ref="H51" si="107">G51*86400</f>
        <v>7.1587301587301582</v>
      </c>
      <c r="I51" s="29">
        <v>304.62</v>
      </c>
      <c r="J51" s="29">
        <v>827.92</v>
      </c>
      <c r="K51" s="30">
        <f t="shared" ref="K51" si="108">SUM(I51:J53)</f>
        <v>1132.54</v>
      </c>
      <c r="L51" s="31">
        <f t="shared" ref="L51" si="109">H51/K51</f>
        <v>6.3209512765378343E-3</v>
      </c>
      <c r="M51" s="32">
        <f t="shared" ref="M51" si="110">L51*K51</f>
        <v>7.1587301587301591</v>
      </c>
      <c r="N51" s="35"/>
      <c r="O51" s="26">
        <f t="shared" ref="O51" si="111">ROUNDUP(N51*86400,0)</f>
        <v>0</v>
      </c>
      <c r="P51" s="22">
        <f t="shared" ref="P51" si="112">O51/H51</f>
        <v>0</v>
      </c>
      <c r="Q51" s="41"/>
      <c r="R51" s="42"/>
      <c r="S51" s="42"/>
      <c r="T51" s="42"/>
      <c r="U51" s="43"/>
      <c r="V51" s="17">
        <f>AVERAGE(L51,L57)</f>
        <v>6.3226735938435048E-3</v>
      </c>
    </row>
    <row r="52" spans="1:22" x14ac:dyDescent="0.25">
      <c r="A52" s="39"/>
      <c r="B52" s="19"/>
      <c r="C52" s="19"/>
      <c r="D52" s="2">
        <v>2.3379629629629631E-3</v>
      </c>
      <c r="E52" s="3">
        <v>28</v>
      </c>
      <c r="F52" s="4">
        <f t="shared" si="1"/>
        <v>8.3498677248677257E-5</v>
      </c>
      <c r="G52" s="25"/>
      <c r="H52" s="27"/>
      <c r="I52" s="29"/>
      <c r="J52" s="29"/>
      <c r="K52" s="30"/>
      <c r="L52" s="31"/>
      <c r="M52" s="33"/>
      <c r="N52" s="36"/>
      <c r="O52" s="27"/>
      <c r="P52" s="23"/>
      <c r="Q52" s="44"/>
      <c r="R52" s="45"/>
      <c r="S52" s="45"/>
      <c r="T52" s="45"/>
      <c r="U52" s="46"/>
    </row>
    <row r="53" spans="1:22" x14ac:dyDescent="0.25">
      <c r="A53" s="40"/>
      <c r="B53" s="20"/>
      <c r="C53" s="20"/>
      <c r="D53" s="2">
        <v>7.0601851851851841E-3</v>
      </c>
      <c r="E53" s="3">
        <v>84</v>
      </c>
      <c r="F53" s="4">
        <f t="shared" si="1"/>
        <v>8.4049823633156951E-5</v>
      </c>
      <c r="G53" s="25"/>
      <c r="H53" s="28"/>
      <c r="I53" s="29"/>
      <c r="J53" s="29"/>
      <c r="K53" s="30"/>
      <c r="L53" s="31"/>
      <c r="M53" s="34"/>
      <c r="N53" s="37"/>
      <c r="O53" s="28"/>
      <c r="P53" s="24"/>
      <c r="Q53" s="47"/>
      <c r="R53" s="48"/>
      <c r="S53" s="48"/>
      <c r="T53" s="48"/>
      <c r="U53" s="49"/>
    </row>
    <row r="54" spans="1:22" x14ac:dyDescent="0.25">
      <c r="A54" s="38">
        <v>123864</v>
      </c>
      <c r="B54" s="21" t="s">
        <v>10</v>
      </c>
      <c r="C54" s="21" t="s">
        <v>24</v>
      </c>
      <c r="D54" s="2">
        <v>2.6620370370370372E-4</v>
      </c>
      <c r="E54" s="3">
        <v>1</v>
      </c>
      <c r="F54" s="4">
        <f t="shared" si="1"/>
        <v>2.6620370370370372E-4</v>
      </c>
      <c r="G54" s="25">
        <f t="shared" ref="G54" si="113">AVERAGE(F54:F56)</f>
        <v>2.7904771090534977E-4</v>
      </c>
      <c r="H54" s="26">
        <f t="shared" ref="H54" si="114">G54*86400</f>
        <v>24.109722222222221</v>
      </c>
      <c r="I54" s="29">
        <v>18.850000000000001</v>
      </c>
      <c r="J54" s="29">
        <v>1662.47</v>
      </c>
      <c r="K54" s="30">
        <f t="shared" ref="K54" si="115">SUM(I54:J56)</f>
        <v>1681.32</v>
      </c>
      <c r="L54" s="31">
        <f t="shared" ref="L54" si="116">H54/K54</f>
        <v>1.4339758179419874E-2</v>
      </c>
      <c r="M54" s="32">
        <f t="shared" ref="M54" si="117">L54*K54</f>
        <v>24.109722222222221</v>
      </c>
      <c r="N54" s="35">
        <v>2.4085648148148146E-4</v>
      </c>
      <c r="O54" s="26">
        <f t="shared" ref="O54" si="118">ROUNDUP(N54*86400,0)</f>
        <v>21</v>
      </c>
      <c r="P54" s="22">
        <f t="shared" ref="P54" si="119">O54/H54</f>
        <v>0.87101791577855869</v>
      </c>
      <c r="Q54" s="41"/>
      <c r="R54" s="42"/>
      <c r="S54" s="42"/>
      <c r="T54" s="42"/>
      <c r="U54" s="43"/>
    </row>
    <row r="55" spans="1:22" x14ac:dyDescent="0.25">
      <c r="A55" s="39"/>
      <c r="B55" s="19"/>
      <c r="C55" s="19"/>
      <c r="D55" s="2">
        <v>4.5949074074074078E-3</v>
      </c>
      <c r="E55" s="3">
        <v>16</v>
      </c>
      <c r="F55" s="4">
        <f t="shared" si="1"/>
        <v>2.8718171296296299E-4</v>
      </c>
      <c r="G55" s="25"/>
      <c r="H55" s="27"/>
      <c r="I55" s="29"/>
      <c r="J55" s="29"/>
      <c r="K55" s="30"/>
      <c r="L55" s="31"/>
      <c r="M55" s="33"/>
      <c r="N55" s="36"/>
      <c r="O55" s="27"/>
      <c r="P55" s="23"/>
      <c r="Q55" s="44"/>
      <c r="R55" s="45"/>
      <c r="S55" s="45"/>
      <c r="T55" s="45"/>
      <c r="U55" s="46"/>
    </row>
    <row r="56" spans="1:22" x14ac:dyDescent="0.25">
      <c r="A56" s="39"/>
      <c r="B56" s="20"/>
      <c r="C56" s="20"/>
      <c r="D56" s="2">
        <v>1.7025462962962961E-2</v>
      </c>
      <c r="E56" s="3">
        <v>60</v>
      </c>
      <c r="F56" s="4">
        <f t="shared" si="1"/>
        <v>2.837577160493827E-4</v>
      </c>
      <c r="G56" s="25"/>
      <c r="H56" s="28"/>
      <c r="I56" s="29"/>
      <c r="J56" s="29"/>
      <c r="K56" s="30"/>
      <c r="L56" s="31"/>
      <c r="M56" s="34"/>
      <c r="N56" s="37"/>
      <c r="O56" s="28"/>
      <c r="P56" s="24"/>
      <c r="Q56" s="47"/>
      <c r="R56" s="48"/>
      <c r="S56" s="48"/>
      <c r="T56" s="48"/>
      <c r="U56" s="49"/>
    </row>
    <row r="57" spans="1:22" x14ac:dyDescent="0.25">
      <c r="A57" s="39"/>
      <c r="B57" s="21" t="s">
        <v>11</v>
      </c>
      <c r="C57" s="21" t="s">
        <v>24</v>
      </c>
      <c r="D57" s="2">
        <v>1.1574074074074073E-4</v>
      </c>
      <c r="E57" s="3">
        <v>1</v>
      </c>
      <c r="F57" s="4">
        <f t="shared" si="1"/>
        <v>1.1574074074074073E-4</v>
      </c>
      <c r="G57" s="25">
        <f t="shared" ref="G57" si="120">AVERAGE(F57:F59)</f>
        <v>1.2307098765432098E-4</v>
      </c>
      <c r="H57" s="26">
        <f t="shared" ref="H57" si="121">G57*86400</f>
        <v>10.633333333333333</v>
      </c>
      <c r="I57" s="29">
        <v>18.850000000000001</v>
      </c>
      <c r="J57" s="29">
        <v>1662.47</v>
      </c>
      <c r="K57" s="30">
        <f t="shared" ref="K57" si="122">SUM(I57:J59)</f>
        <v>1681.32</v>
      </c>
      <c r="L57" s="31">
        <f t="shared" ref="L57" si="123">H57/K57</f>
        <v>6.3243959111491761E-3</v>
      </c>
      <c r="M57" s="32">
        <f t="shared" ref="M57" si="124">L57*K57</f>
        <v>10.633333333333333</v>
      </c>
      <c r="N57" s="35"/>
      <c r="O57" s="26">
        <f t="shared" ref="O57" si="125">ROUNDUP(N57*86400,0)</f>
        <v>0</v>
      </c>
      <c r="P57" s="22">
        <f t="shared" ref="P57" si="126">O57/H57</f>
        <v>0</v>
      </c>
      <c r="Q57" s="41"/>
      <c r="R57" s="42"/>
      <c r="S57" s="42"/>
      <c r="T57" s="42"/>
      <c r="U57" s="43"/>
    </row>
    <row r="58" spans="1:22" x14ac:dyDescent="0.25">
      <c r="A58" s="39"/>
      <c r="B58" s="19"/>
      <c r="C58" s="19"/>
      <c r="D58" s="2">
        <v>2.0370370370370373E-3</v>
      </c>
      <c r="E58" s="3">
        <v>16</v>
      </c>
      <c r="F58" s="4">
        <f t="shared" si="1"/>
        <v>1.2731481481481483E-4</v>
      </c>
      <c r="G58" s="25"/>
      <c r="H58" s="27"/>
      <c r="I58" s="29"/>
      <c r="J58" s="29"/>
      <c r="K58" s="30"/>
      <c r="L58" s="31"/>
      <c r="M58" s="33"/>
      <c r="N58" s="36"/>
      <c r="O58" s="27"/>
      <c r="P58" s="23"/>
      <c r="Q58" s="44"/>
      <c r="R58" s="45"/>
      <c r="S58" s="45"/>
      <c r="T58" s="45"/>
      <c r="U58" s="46"/>
    </row>
    <row r="59" spans="1:22" x14ac:dyDescent="0.25">
      <c r="A59" s="40"/>
      <c r="B59" s="20"/>
      <c r="C59" s="20"/>
      <c r="D59" s="2">
        <v>7.5694444444444446E-3</v>
      </c>
      <c r="E59" s="3">
        <v>60</v>
      </c>
      <c r="F59" s="4">
        <f t="shared" si="1"/>
        <v>1.261574074074074E-4</v>
      </c>
      <c r="G59" s="25"/>
      <c r="H59" s="28"/>
      <c r="I59" s="29"/>
      <c r="J59" s="29"/>
      <c r="K59" s="30"/>
      <c r="L59" s="31"/>
      <c r="M59" s="34"/>
      <c r="N59" s="37"/>
      <c r="O59" s="28"/>
      <c r="P59" s="24"/>
      <c r="Q59" s="47"/>
      <c r="R59" s="48"/>
      <c r="S59" s="48"/>
      <c r="T59" s="48"/>
      <c r="U59" s="49"/>
    </row>
    <row r="60" spans="1:22" x14ac:dyDescent="0.25">
      <c r="A60" s="38">
        <v>124477</v>
      </c>
      <c r="B60" s="21" t="s">
        <v>10</v>
      </c>
      <c r="C60" s="21" t="s">
        <v>34</v>
      </c>
      <c r="D60" s="2">
        <v>2.6620370370370372E-4</v>
      </c>
      <c r="E60" s="3">
        <v>1</v>
      </c>
      <c r="F60" s="4">
        <f t="shared" si="1"/>
        <v>2.6620370370370372E-4</v>
      </c>
      <c r="G60" s="25">
        <f t="shared" ref="G60" si="127">AVERAGE(F60:F62)</f>
        <v>2.9284818672839513E-4</v>
      </c>
      <c r="H60" s="26">
        <f t="shared" ref="H60" si="128">G60*86400</f>
        <v>25.302083333333339</v>
      </c>
      <c r="I60" s="29">
        <v>177.46</v>
      </c>
      <c r="J60" s="29">
        <v>1295.3399999999999</v>
      </c>
      <c r="K60" s="30">
        <f t="shared" ref="K60" si="129">SUM(I60:J62)</f>
        <v>1472.8</v>
      </c>
      <c r="L60" s="31">
        <f t="shared" ref="L60" si="130">H60/K60</f>
        <v>1.7179578580481625E-2</v>
      </c>
      <c r="M60" s="32">
        <f t="shared" ref="M60" si="131">L60*K60</f>
        <v>25.302083333333336</v>
      </c>
      <c r="N60" s="35">
        <v>2.4374999999999996E-4</v>
      </c>
      <c r="O60" s="26">
        <f t="shared" ref="O60" si="132">ROUNDUP(N60*86400,0)</f>
        <v>22</v>
      </c>
      <c r="P60" s="22">
        <f t="shared" ref="P60" si="133">O60/H60</f>
        <v>0.86949361877315745</v>
      </c>
      <c r="Q60" s="41"/>
      <c r="R60" s="42"/>
      <c r="S60" s="42"/>
      <c r="T60" s="42"/>
      <c r="U60" s="43"/>
      <c r="V60" s="17">
        <f>AVERAGE(L60,L66)</f>
        <v>1.6606387701298152E-2</v>
      </c>
    </row>
    <row r="61" spans="1:22" x14ac:dyDescent="0.25">
      <c r="A61" s="39"/>
      <c r="B61" s="19"/>
      <c r="C61" s="19"/>
      <c r="D61" s="2">
        <v>2.5231481481481481E-3</v>
      </c>
      <c r="E61" s="3">
        <v>8</v>
      </c>
      <c r="F61" s="4">
        <f t="shared" si="1"/>
        <v>3.1539351851851851E-4</v>
      </c>
      <c r="G61" s="25"/>
      <c r="H61" s="27"/>
      <c r="I61" s="29"/>
      <c r="J61" s="29"/>
      <c r="K61" s="30"/>
      <c r="L61" s="31"/>
      <c r="M61" s="33"/>
      <c r="N61" s="36"/>
      <c r="O61" s="27"/>
      <c r="P61" s="23"/>
      <c r="Q61" s="44"/>
      <c r="R61" s="45"/>
      <c r="S61" s="45"/>
      <c r="T61" s="45"/>
      <c r="U61" s="46"/>
    </row>
    <row r="62" spans="1:22" x14ac:dyDescent="0.25">
      <c r="A62" s="39"/>
      <c r="B62" s="20"/>
      <c r="C62" s="20"/>
      <c r="D62" s="2">
        <v>9.5023148148148159E-3</v>
      </c>
      <c r="E62" s="3">
        <v>32</v>
      </c>
      <c r="F62" s="4">
        <f t="shared" si="1"/>
        <v>2.96947337962963E-4</v>
      </c>
      <c r="G62" s="25"/>
      <c r="H62" s="28"/>
      <c r="I62" s="29"/>
      <c r="J62" s="29"/>
      <c r="K62" s="30"/>
      <c r="L62" s="31"/>
      <c r="M62" s="34"/>
      <c r="N62" s="37"/>
      <c r="O62" s="28"/>
      <c r="P62" s="24"/>
      <c r="Q62" s="47"/>
      <c r="R62" s="48"/>
      <c r="S62" s="48"/>
      <c r="T62" s="48"/>
      <c r="U62" s="49"/>
    </row>
    <row r="63" spans="1:22" x14ac:dyDescent="0.25">
      <c r="A63" s="39"/>
      <c r="B63" s="7" t="s">
        <v>11</v>
      </c>
      <c r="C63" s="21" t="s">
        <v>34</v>
      </c>
      <c r="D63" s="2">
        <v>1.5046296296296297E-4</v>
      </c>
      <c r="E63" s="3">
        <v>1</v>
      </c>
      <c r="F63" s="4">
        <f t="shared" si="1"/>
        <v>1.5046296296296297E-4</v>
      </c>
      <c r="G63" s="25">
        <f t="shared" ref="G63" si="134">AVERAGE(F63:F65)</f>
        <v>1.5769675925925925E-4</v>
      </c>
      <c r="H63" s="26">
        <f t="shared" ref="H63" si="135">G63*86400</f>
        <v>13.625</v>
      </c>
      <c r="I63" s="29">
        <v>177.46</v>
      </c>
      <c r="J63" s="29">
        <v>1295.3399999999999</v>
      </c>
      <c r="K63" s="30">
        <f t="shared" ref="K63" si="136">SUM(I63:J65)</f>
        <v>1472.8</v>
      </c>
      <c r="L63" s="31">
        <f t="shared" ref="L63" si="137">H63/K63</f>
        <v>9.2510863661053773E-3</v>
      </c>
      <c r="M63" s="32">
        <f t="shared" ref="M63" si="138">L63*K63</f>
        <v>13.625</v>
      </c>
      <c r="N63" s="35"/>
      <c r="O63" s="26">
        <f t="shared" ref="O63" si="139">ROUNDUP(N63*86400,0)</f>
        <v>0</v>
      </c>
      <c r="P63" s="22">
        <f t="shared" ref="P63" si="140">O63/H63</f>
        <v>0</v>
      </c>
      <c r="Q63" s="41"/>
      <c r="R63" s="42"/>
      <c r="S63" s="42"/>
      <c r="T63" s="42"/>
      <c r="U63" s="43"/>
      <c r="V63" s="17">
        <f>AVERAGE(L63,L69)</f>
        <v>8.6937466404442033E-3</v>
      </c>
    </row>
    <row r="64" spans="1:22" x14ac:dyDescent="0.25">
      <c r="A64" s="39"/>
      <c r="B64" s="7" t="s">
        <v>11</v>
      </c>
      <c r="C64" s="19"/>
      <c r="D64" s="2">
        <v>1.2962962962962963E-3</v>
      </c>
      <c r="E64" s="3">
        <v>8</v>
      </c>
      <c r="F64" s="4">
        <f t="shared" si="1"/>
        <v>1.6203703703703703E-4</v>
      </c>
      <c r="G64" s="25"/>
      <c r="H64" s="27"/>
      <c r="I64" s="29"/>
      <c r="J64" s="29"/>
      <c r="K64" s="30"/>
      <c r="L64" s="31"/>
      <c r="M64" s="33"/>
      <c r="N64" s="36"/>
      <c r="O64" s="27"/>
      <c r="P64" s="23"/>
      <c r="Q64" s="44"/>
      <c r="R64" s="45"/>
      <c r="S64" s="45"/>
      <c r="T64" s="45"/>
      <c r="U64" s="46"/>
    </row>
    <row r="65" spans="1:22" x14ac:dyDescent="0.25">
      <c r="A65" s="40"/>
      <c r="B65" s="7" t="s">
        <v>11</v>
      </c>
      <c r="C65" s="20"/>
      <c r="D65" s="2">
        <v>5.138888888888889E-3</v>
      </c>
      <c r="E65" s="3">
        <v>32</v>
      </c>
      <c r="F65" s="4">
        <f t="shared" si="1"/>
        <v>1.6059027777777778E-4</v>
      </c>
      <c r="G65" s="25"/>
      <c r="H65" s="28"/>
      <c r="I65" s="29"/>
      <c r="J65" s="29"/>
      <c r="K65" s="30"/>
      <c r="L65" s="31"/>
      <c r="M65" s="34"/>
      <c r="N65" s="37"/>
      <c r="O65" s="28"/>
      <c r="P65" s="24"/>
      <c r="Q65" s="47"/>
      <c r="R65" s="48"/>
      <c r="S65" s="48"/>
      <c r="T65" s="48"/>
      <c r="U65" s="49"/>
    </row>
    <row r="66" spans="1:22" x14ac:dyDescent="0.25">
      <c r="A66" s="38">
        <v>123866</v>
      </c>
      <c r="B66" s="7" t="s">
        <v>10</v>
      </c>
      <c r="C66" s="21" t="s">
        <v>34</v>
      </c>
      <c r="D66" s="2">
        <v>4.5138888888888892E-4</v>
      </c>
      <c r="E66" s="3">
        <v>1</v>
      </c>
      <c r="F66" s="4">
        <f t="shared" si="1"/>
        <v>4.5138888888888892E-4</v>
      </c>
      <c r="G66" s="25">
        <f t="shared" ref="G66" si="141">AVERAGE(F66:F68)</f>
        <v>4.876114540466392E-4</v>
      </c>
      <c r="H66" s="26">
        <f t="shared" ref="H66" si="142">G66*86400</f>
        <v>42.129629629629626</v>
      </c>
      <c r="I66" s="29">
        <v>566.74</v>
      </c>
      <c r="J66" s="29">
        <v>2060.91</v>
      </c>
      <c r="K66" s="30">
        <f t="shared" ref="K66" si="143">SUM(I66:J68)</f>
        <v>2627.6499999999996</v>
      </c>
      <c r="L66" s="31">
        <f t="shared" ref="L66" si="144">H66/K66</f>
        <v>1.6033196822114678E-2</v>
      </c>
      <c r="M66" s="32">
        <f t="shared" ref="M66" si="145">L66*K66</f>
        <v>42.129629629629626</v>
      </c>
      <c r="N66" s="35">
        <v>4.1712962962962965E-4</v>
      </c>
      <c r="O66" s="26">
        <f t="shared" ref="O66" si="146">ROUNDUP(N66*86400,0)</f>
        <v>37</v>
      </c>
      <c r="P66" s="22">
        <f t="shared" ref="P66" si="147">O66/H66</f>
        <v>0.87824175824175832</v>
      </c>
      <c r="Q66" s="41"/>
      <c r="R66" s="42"/>
      <c r="S66" s="42"/>
      <c r="T66" s="42"/>
      <c r="U66" s="43"/>
    </row>
    <row r="67" spans="1:22" x14ac:dyDescent="0.25">
      <c r="A67" s="39"/>
      <c r="B67" s="7" t="s">
        <v>10</v>
      </c>
      <c r="C67" s="19"/>
      <c r="D67" s="2">
        <v>2.1064814814814813E-3</v>
      </c>
      <c r="E67" s="3">
        <v>4</v>
      </c>
      <c r="F67" s="4">
        <f t="shared" si="1"/>
        <v>5.2662037037037033E-4</v>
      </c>
      <c r="G67" s="25"/>
      <c r="H67" s="27"/>
      <c r="I67" s="29"/>
      <c r="J67" s="29"/>
      <c r="K67" s="30"/>
      <c r="L67" s="31"/>
      <c r="M67" s="33"/>
      <c r="N67" s="36"/>
      <c r="O67" s="27"/>
      <c r="P67" s="23"/>
      <c r="Q67" s="44"/>
      <c r="R67" s="45"/>
      <c r="S67" s="45"/>
      <c r="T67" s="45"/>
      <c r="U67" s="46"/>
    </row>
    <row r="68" spans="1:22" x14ac:dyDescent="0.25">
      <c r="A68" s="39"/>
      <c r="B68" s="7" t="s">
        <v>10</v>
      </c>
      <c r="C68" s="20"/>
      <c r="D68" s="2">
        <v>8.726851851851852E-3</v>
      </c>
      <c r="E68" s="3">
        <v>18</v>
      </c>
      <c r="F68" s="4">
        <f t="shared" si="1"/>
        <v>4.8482510288065845E-4</v>
      </c>
      <c r="G68" s="25"/>
      <c r="H68" s="28"/>
      <c r="I68" s="29"/>
      <c r="J68" s="29"/>
      <c r="K68" s="30"/>
      <c r="L68" s="31"/>
      <c r="M68" s="34"/>
      <c r="N68" s="37"/>
      <c r="O68" s="28"/>
      <c r="P68" s="24"/>
      <c r="Q68" s="47"/>
      <c r="R68" s="48"/>
      <c r="S68" s="48"/>
      <c r="T68" s="48"/>
      <c r="U68" s="49"/>
    </row>
    <row r="69" spans="1:22" x14ac:dyDescent="0.25">
      <c r="A69" s="39"/>
      <c r="B69" s="7" t="s">
        <v>11</v>
      </c>
      <c r="C69" s="21" t="s">
        <v>34</v>
      </c>
      <c r="D69" s="2">
        <v>2.3148148148148146E-4</v>
      </c>
      <c r="E69" s="3">
        <v>1</v>
      </c>
      <c r="F69" s="4">
        <f t="shared" si="1"/>
        <v>2.3148148148148146E-4</v>
      </c>
      <c r="G69" s="25">
        <f t="shared" ref="G69" si="148">AVERAGE(F69:F71)</f>
        <v>2.4744941700960221E-4</v>
      </c>
      <c r="H69" s="26">
        <f t="shared" ref="H69" si="149">G69*86400</f>
        <v>21.37962962962963</v>
      </c>
      <c r="I69" s="29">
        <v>566.74</v>
      </c>
      <c r="J69" s="29">
        <v>2060.91</v>
      </c>
      <c r="K69" s="30">
        <f t="shared" ref="K69" si="150">SUM(I69:J71)</f>
        <v>2627.6499999999996</v>
      </c>
      <c r="L69" s="31">
        <f t="shared" ref="L69" si="151">H69/K69</f>
        <v>8.1364069147830311E-3</v>
      </c>
      <c r="M69" s="32">
        <f t="shared" ref="M69" si="152">L69*K69</f>
        <v>21.37962962962963</v>
      </c>
      <c r="N69" s="35"/>
      <c r="O69" s="26">
        <f t="shared" ref="O69" si="153">ROUNDUP(N69*86400,0)</f>
        <v>0</v>
      </c>
      <c r="P69" s="22">
        <f t="shared" ref="P69" si="154">O69/H69</f>
        <v>0</v>
      </c>
      <c r="Q69" s="41"/>
      <c r="R69" s="42"/>
      <c r="S69" s="42"/>
      <c r="T69" s="42"/>
      <c r="U69" s="43"/>
    </row>
    <row r="70" spans="1:22" x14ac:dyDescent="0.25">
      <c r="A70" s="39"/>
      <c r="B70" s="7" t="s">
        <v>11</v>
      </c>
      <c r="C70" s="19"/>
      <c r="D70" s="2">
        <v>1.0300925925925926E-3</v>
      </c>
      <c r="E70" s="3">
        <v>4</v>
      </c>
      <c r="F70" s="4">
        <f t="shared" si="1"/>
        <v>2.5752314814814816E-4</v>
      </c>
      <c r="G70" s="25"/>
      <c r="H70" s="27"/>
      <c r="I70" s="29"/>
      <c r="J70" s="29"/>
      <c r="K70" s="30"/>
      <c r="L70" s="31"/>
      <c r="M70" s="33"/>
      <c r="N70" s="36"/>
      <c r="O70" s="27"/>
      <c r="P70" s="23"/>
      <c r="Q70" s="44"/>
      <c r="R70" s="45"/>
      <c r="S70" s="45"/>
      <c r="T70" s="45"/>
      <c r="U70" s="46"/>
    </row>
    <row r="71" spans="1:22" x14ac:dyDescent="0.25">
      <c r="A71" s="40"/>
      <c r="B71" s="7" t="s">
        <v>11</v>
      </c>
      <c r="C71" s="20"/>
      <c r="D71" s="2">
        <v>4.5601851851851853E-3</v>
      </c>
      <c r="E71" s="3">
        <v>18</v>
      </c>
      <c r="F71" s="4">
        <f t="shared" si="1"/>
        <v>2.5334362139917696E-4</v>
      </c>
      <c r="G71" s="25"/>
      <c r="H71" s="28"/>
      <c r="I71" s="29"/>
      <c r="J71" s="29"/>
      <c r="K71" s="30"/>
      <c r="L71" s="31"/>
      <c r="M71" s="34"/>
      <c r="N71" s="37"/>
      <c r="O71" s="28"/>
      <c r="P71" s="24"/>
      <c r="Q71" s="47"/>
      <c r="R71" s="48"/>
      <c r="S71" s="48"/>
      <c r="T71" s="48"/>
      <c r="U71" s="49"/>
    </row>
    <row r="72" spans="1:22" x14ac:dyDescent="0.25">
      <c r="A72" s="38">
        <v>122594</v>
      </c>
      <c r="B72" s="7" t="s">
        <v>10</v>
      </c>
      <c r="C72" s="21" t="s">
        <v>23</v>
      </c>
      <c r="D72" s="2">
        <v>2.5462962962962961E-4</v>
      </c>
      <c r="E72" s="3">
        <v>1</v>
      </c>
      <c r="F72" s="4">
        <f t="shared" ref="F72:F132" si="155">D72/E72</f>
        <v>2.5462962962962961E-4</v>
      </c>
      <c r="G72" s="25">
        <f t="shared" ref="G72" si="156">AVERAGE(F72:F74)</f>
        <v>2.7372134038800705E-4</v>
      </c>
      <c r="H72" s="26">
        <f t="shared" ref="H72" si="157">G72*86400</f>
        <v>23.64952380952381</v>
      </c>
      <c r="I72" s="29">
        <v>467.68</v>
      </c>
      <c r="J72" s="29">
        <v>1474.66</v>
      </c>
      <c r="K72" s="30">
        <f t="shared" ref="K72" si="158">SUM(I72:J74)</f>
        <v>1942.3400000000001</v>
      </c>
      <c r="L72" s="31">
        <f t="shared" ref="L72" si="159">H72/K72</f>
        <v>1.2175789928397606E-2</v>
      </c>
      <c r="M72" s="32">
        <f t="shared" ref="M72" si="160">L72*K72</f>
        <v>23.64952380952381</v>
      </c>
      <c r="N72" s="35">
        <v>4.4513888888888885E-4</v>
      </c>
      <c r="O72" s="26">
        <f t="shared" ref="O72" si="161">ROUNDUP(N72*86400,0)</f>
        <v>39</v>
      </c>
      <c r="P72" s="22">
        <f t="shared" ref="P72" si="162">O72/H72</f>
        <v>1.6490818298969072</v>
      </c>
      <c r="Q72" s="41"/>
      <c r="R72" s="42"/>
      <c r="S72" s="42"/>
      <c r="T72" s="42"/>
      <c r="U72" s="43"/>
    </row>
    <row r="73" spans="1:22" x14ac:dyDescent="0.25">
      <c r="A73" s="39"/>
      <c r="B73" s="7" t="s">
        <v>10</v>
      </c>
      <c r="C73" s="19"/>
      <c r="D73" s="2">
        <v>1.9791666666666668E-3</v>
      </c>
      <c r="E73" s="3">
        <v>7</v>
      </c>
      <c r="F73" s="4">
        <f t="shared" si="155"/>
        <v>2.8273809523809529E-4</v>
      </c>
      <c r="G73" s="25"/>
      <c r="H73" s="27"/>
      <c r="I73" s="29"/>
      <c r="J73" s="29"/>
      <c r="K73" s="30"/>
      <c r="L73" s="31"/>
      <c r="M73" s="33"/>
      <c r="N73" s="36"/>
      <c r="O73" s="27"/>
      <c r="P73" s="23"/>
      <c r="Q73" s="44"/>
      <c r="R73" s="45"/>
      <c r="S73" s="45"/>
      <c r="T73" s="45"/>
      <c r="U73" s="46"/>
    </row>
    <row r="74" spans="1:22" x14ac:dyDescent="0.25">
      <c r="A74" s="39"/>
      <c r="B74" s="7" t="s">
        <v>10</v>
      </c>
      <c r="C74" s="20"/>
      <c r="D74" s="2">
        <v>7.0949074074074074E-3</v>
      </c>
      <c r="E74" s="3">
        <v>25</v>
      </c>
      <c r="F74" s="4">
        <f t="shared" si="155"/>
        <v>2.8379629629629631E-4</v>
      </c>
      <c r="G74" s="25"/>
      <c r="H74" s="28"/>
      <c r="I74" s="29"/>
      <c r="J74" s="29"/>
      <c r="K74" s="30"/>
      <c r="L74" s="31"/>
      <c r="M74" s="34"/>
      <c r="N74" s="37"/>
      <c r="O74" s="28"/>
      <c r="P74" s="24"/>
      <c r="Q74" s="47"/>
      <c r="R74" s="48"/>
      <c r="S74" s="48"/>
      <c r="T74" s="48"/>
      <c r="U74" s="49"/>
    </row>
    <row r="75" spans="1:22" x14ac:dyDescent="0.25">
      <c r="A75" s="39"/>
      <c r="B75" s="7" t="s">
        <v>11</v>
      </c>
      <c r="C75" s="21" t="s">
        <v>23</v>
      </c>
      <c r="D75" s="2">
        <v>1.273148148148148E-4</v>
      </c>
      <c r="E75" s="3">
        <v>1</v>
      </c>
      <c r="F75" s="4">
        <f t="shared" si="155"/>
        <v>1.273148148148148E-4</v>
      </c>
      <c r="G75" s="25">
        <f t="shared" ref="G75" si="163">AVERAGE(F75:F77)</f>
        <v>1.3924162257495591E-4</v>
      </c>
      <c r="H75" s="26">
        <f t="shared" ref="H75" si="164">G75*86400</f>
        <v>12.03047619047619</v>
      </c>
      <c r="I75" s="29">
        <v>467.68</v>
      </c>
      <c r="J75" s="29">
        <v>1474.66</v>
      </c>
      <c r="K75" s="30">
        <f t="shared" ref="K75" si="165">SUM(I75:J77)</f>
        <v>1942.3400000000001</v>
      </c>
      <c r="L75" s="31">
        <f t="shared" ref="L75" si="166">H75/K75</f>
        <v>6.193805508034736E-3</v>
      </c>
      <c r="M75" s="32">
        <f t="shared" ref="M75" si="167">L75*K75</f>
        <v>12.03047619047619</v>
      </c>
      <c r="N75" s="35"/>
      <c r="O75" s="26">
        <f t="shared" ref="O75" si="168">ROUNDUP(N75*86400,0)</f>
        <v>0</v>
      </c>
      <c r="P75" s="22">
        <f t="shared" ref="P75" si="169">O75/H75</f>
        <v>0</v>
      </c>
      <c r="Q75" s="41"/>
      <c r="R75" s="42"/>
      <c r="S75" s="42"/>
      <c r="T75" s="42"/>
      <c r="U75" s="43"/>
    </row>
    <row r="76" spans="1:22" x14ac:dyDescent="0.25">
      <c r="A76" s="39"/>
      <c r="B76" s="7" t="s">
        <v>11</v>
      </c>
      <c r="C76" s="19"/>
      <c r="D76" s="2">
        <v>1.0185185185185186E-3</v>
      </c>
      <c r="E76" s="3">
        <v>7</v>
      </c>
      <c r="F76" s="4">
        <f t="shared" si="155"/>
        <v>1.4550264550264552E-4</v>
      </c>
      <c r="G76" s="25"/>
      <c r="H76" s="27"/>
      <c r="I76" s="29"/>
      <c r="J76" s="29"/>
      <c r="K76" s="30"/>
      <c r="L76" s="31"/>
      <c r="M76" s="33"/>
      <c r="N76" s="36"/>
      <c r="O76" s="27"/>
      <c r="P76" s="23"/>
      <c r="Q76" s="44"/>
      <c r="R76" s="45"/>
      <c r="S76" s="45"/>
      <c r="T76" s="45"/>
      <c r="U76" s="46"/>
    </row>
    <row r="77" spans="1:22" x14ac:dyDescent="0.25">
      <c r="A77" s="40"/>
      <c r="B77" s="7" t="s">
        <v>11</v>
      </c>
      <c r="C77" s="20"/>
      <c r="D77" s="2">
        <v>3.6226851851851854E-3</v>
      </c>
      <c r="E77" s="3">
        <v>25</v>
      </c>
      <c r="F77" s="4">
        <f t="shared" si="155"/>
        <v>1.4490740740740743E-4</v>
      </c>
      <c r="G77" s="25"/>
      <c r="H77" s="28"/>
      <c r="I77" s="29"/>
      <c r="J77" s="29"/>
      <c r="K77" s="30"/>
      <c r="L77" s="31"/>
      <c r="M77" s="34"/>
      <c r="N77" s="37"/>
      <c r="O77" s="28"/>
      <c r="P77" s="24"/>
      <c r="Q77" s="47"/>
      <c r="R77" s="48"/>
      <c r="S77" s="48"/>
      <c r="T77" s="48"/>
      <c r="U77" s="49"/>
    </row>
    <row r="78" spans="1:22" x14ac:dyDescent="0.25">
      <c r="A78" s="38">
        <v>122775</v>
      </c>
      <c r="B78" s="7" t="s">
        <v>10</v>
      </c>
      <c r="C78" s="21" t="s">
        <v>29</v>
      </c>
      <c r="D78" s="2">
        <v>3.2407407407407406E-4</v>
      </c>
      <c r="E78" s="3">
        <v>1</v>
      </c>
      <c r="F78" s="4">
        <f t="shared" si="155"/>
        <v>3.2407407407407406E-4</v>
      </c>
      <c r="G78" s="25">
        <f t="shared" ref="G78" si="170">AVERAGE(F78:F80)</f>
        <v>3.5789609053497938E-4</v>
      </c>
      <c r="H78" s="26">
        <f t="shared" ref="H78" si="171">G78*86400</f>
        <v>30.922222222222217</v>
      </c>
      <c r="I78" s="29">
        <v>165.66</v>
      </c>
      <c r="J78" s="29">
        <v>2759.41</v>
      </c>
      <c r="K78" s="30">
        <f t="shared" ref="K78" si="172">SUM(I78:J80)</f>
        <v>2925.0699999999997</v>
      </c>
      <c r="L78" s="31">
        <f t="shared" ref="L78" si="173">H78/K78</f>
        <v>1.0571446913141299E-2</v>
      </c>
      <c r="M78" s="32">
        <f t="shared" ref="M78" si="174">L78*K78</f>
        <v>30.922222222222214</v>
      </c>
      <c r="N78" s="35">
        <v>3.6354166666666669E-4</v>
      </c>
      <c r="O78" s="26">
        <f t="shared" ref="O78" si="175">ROUNDUP(N78*86400,0)</f>
        <v>32</v>
      </c>
      <c r="P78" s="22">
        <f t="shared" ref="P78" si="176">O78/H78</f>
        <v>1.0348544735896517</v>
      </c>
      <c r="Q78" s="41"/>
      <c r="R78" s="42"/>
      <c r="S78" s="42"/>
      <c r="T78" s="42"/>
      <c r="U78" s="43"/>
      <c r="V78" s="17">
        <f>AVERAGE(L78,L84)</f>
        <v>1.089451013691378E-2</v>
      </c>
    </row>
    <row r="79" spans="1:22" x14ac:dyDescent="0.25">
      <c r="A79" s="39"/>
      <c r="B79" s="7" t="s">
        <v>10</v>
      </c>
      <c r="C79" s="19"/>
      <c r="D79" s="2">
        <v>1.1342592592592591E-3</v>
      </c>
      <c r="E79" s="3">
        <v>3</v>
      </c>
      <c r="F79" s="4">
        <f t="shared" si="155"/>
        <v>3.7808641975308637E-4</v>
      </c>
      <c r="G79" s="25"/>
      <c r="H79" s="27"/>
      <c r="I79" s="29"/>
      <c r="J79" s="29"/>
      <c r="K79" s="30"/>
      <c r="L79" s="31"/>
      <c r="M79" s="33"/>
      <c r="N79" s="36"/>
      <c r="O79" s="27"/>
      <c r="P79" s="23"/>
      <c r="Q79" s="44"/>
      <c r="R79" s="45"/>
      <c r="S79" s="45"/>
      <c r="T79" s="45"/>
      <c r="U79" s="46"/>
    </row>
    <row r="80" spans="1:22" x14ac:dyDescent="0.25">
      <c r="A80" s="39"/>
      <c r="B80" s="7" t="s">
        <v>10</v>
      </c>
      <c r="C80" s="20"/>
      <c r="D80" s="2">
        <v>3.7152777777777774E-3</v>
      </c>
      <c r="E80" s="3">
        <v>10</v>
      </c>
      <c r="F80" s="4">
        <f t="shared" si="155"/>
        <v>3.7152777777777775E-4</v>
      </c>
      <c r="G80" s="25"/>
      <c r="H80" s="28"/>
      <c r="I80" s="29"/>
      <c r="J80" s="29"/>
      <c r="K80" s="30"/>
      <c r="L80" s="31"/>
      <c r="M80" s="34"/>
      <c r="N80" s="37"/>
      <c r="O80" s="28"/>
      <c r="P80" s="24"/>
      <c r="Q80" s="47"/>
      <c r="R80" s="48"/>
      <c r="S80" s="48"/>
      <c r="T80" s="48"/>
      <c r="U80" s="49"/>
    </row>
    <row r="81" spans="1:22" x14ac:dyDescent="0.25">
      <c r="A81" s="39"/>
      <c r="B81" s="7" t="s">
        <v>11</v>
      </c>
      <c r="C81" s="21" t="s">
        <v>29</v>
      </c>
      <c r="D81" s="2">
        <v>1.273148148148148E-4</v>
      </c>
      <c r="E81" s="3">
        <v>1</v>
      </c>
      <c r="F81" s="4">
        <f t="shared" si="155"/>
        <v>1.273148148148148E-4</v>
      </c>
      <c r="G81" s="25">
        <f t="shared" ref="G81" si="177">AVERAGE(F81:F83)</f>
        <v>1.5174897119341564E-4</v>
      </c>
      <c r="H81" s="26">
        <f t="shared" ref="H81" si="178">G81*86400</f>
        <v>13.111111111111112</v>
      </c>
      <c r="I81" s="29">
        <v>165.66</v>
      </c>
      <c r="J81" s="29">
        <v>2759.41</v>
      </c>
      <c r="K81" s="30">
        <f t="shared" ref="K81" si="179">SUM(I81:J83)</f>
        <v>2925.0699999999997</v>
      </c>
      <c r="L81" s="31">
        <f t="shared" ref="L81" si="180">H81/K81</f>
        <v>4.4823238798083857E-3</v>
      </c>
      <c r="M81" s="32">
        <f t="shared" ref="M81" si="181">L81*K81</f>
        <v>13.111111111111114</v>
      </c>
      <c r="N81" s="35"/>
      <c r="O81" s="26">
        <f t="shared" ref="O81" si="182">ROUNDUP(N81*86400,0)</f>
        <v>0</v>
      </c>
      <c r="P81" s="22">
        <f t="shared" ref="P81" si="183">O81/H81</f>
        <v>0</v>
      </c>
      <c r="Q81" s="41"/>
      <c r="R81" s="42"/>
      <c r="S81" s="42"/>
      <c r="T81" s="42"/>
      <c r="U81" s="43"/>
      <c r="V81" s="17">
        <f>AVERAGE(L81,L87)</f>
        <v>4.3500657317132102E-3</v>
      </c>
    </row>
    <row r="82" spans="1:22" x14ac:dyDescent="0.25">
      <c r="A82" s="39"/>
      <c r="B82" s="7" t="s">
        <v>11</v>
      </c>
      <c r="C82" s="19"/>
      <c r="D82" s="2">
        <v>4.9768518518518521E-4</v>
      </c>
      <c r="E82" s="3">
        <v>3</v>
      </c>
      <c r="F82" s="4">
        <f t="shared" si="155"/>
        <v>1.6589506172839507E-4</v>
      </c>
      <c r="G82" s="25"/>
      <c r="H82" s="27"/>
      <c r="I82" s="29"/>
      <c r="J82" s="29"/>
      <c r="K82" s="30"/>
      <c r="L82" s="31"/>
      <c r="M82" s="33"/>
      <c r="N82" s="36"/>
      <c r="O82" s="27"/>
      <c r="P82" s="23"/>
      <c r="Q82" s="44"/>
      <c r="R82" s="45"/>
      <c r="S82" s="45"/>
      <c r="T82" s="45"/>
      <c r="U82" s="46"/>
    </row>
    <row r="83" spans="1:22" x14ac:dyDescent="0.25">
      <c r="A83" s="40"/>
      <c r="B83" s="7" t="s">
        <v>11</v>
      </c>
      <c r="C83" s="20"/>
      <c r="D83" s="2">
        <v>1.6203703703703703E-3</v>
      </c>
      <c r="E83" s="3">
        <v>10</v>
      </c>
      <c r="F83" s="4">
        <f t="shared" si="155"/>
        <v>1.6203703703703703E-4</v>
      </c>
      <c r="G83" s="25"/>
      <c r="H83" s="28"/>
      <c r="I83" s="29"/>
      <c r="J83" s="29"/>
      <c r="K83" s="30"/>
      <c r="L83" s="31"/>
      <c r="M83" s="34"/>
      <c r="N83" s="37"/>
      <c r="O83" s="28"/>
      <c r="P83" s="24"/>
      <c r="Q83" s="47"/>
      <c r="R83" s="48"/>
      <c r="S83" s="48"/>
      <c r="T83" s="48"/>
      <c r="U83" s="49"/>
    </row>
    <row r="84" spans="1:22" x14ac:dyDescent="0.25">
      <c r="A84" s="38">
        <v>120427</v>
      </c>
      <c r="B84" s="7" t="s">
        <v>10</v>
      </c>
      <c r="C84" s="21" t="s">
        <v>29</v>
      </c>
      <c r="D84" s="2">
        <v>3.7037037037037035E-4</v>
      </c>
      <c r="E84" s="3">
        <v>1</v>
      </c>
      <c r="F84" s="4">
        <f t="shared" si="155"/>
        <v>3.7037037037037035E-4</v>
      </c>
      <c r="G84" s="25">
        <f t="shared" ref="G84" si="184">AVERAGE(F84:F86)</f>
        <v>4.8225308641975306E-4</v>
      </c>
      <c r="H84" s="26">
        <f t="shared" ref="H84" si="185">G84*86400</f>
        <v>41.666666666666664</v>
      </c>
      <c r="I84" s="29">
        <v>72.84</v>
      </c>
      <c r="J84" s="29">
        <v>3641.57</v>
      </c>
      <c r="K84" s="30">
        <f t="shared" ref="K84" si="186">SUM(I84:J86)</f>
        <v>3714.4100000000003</v>
      </c>
      <c r="L84" s="31">
        <f t="shared" ref="L84" si="187">H84/K84</f>
        <v>1.1217573360686262E-2</v>
      </c>
      <c r="M84" s="32">
        <f t="shared" ref="M84" si="188">L84*K84</f>
        <v>41.666666666666664</v>
      </c>
      <c r="N84" s="35">
        <v>4.4236111111111109E-4</v>
      </c>
      <c r="O84" s="26">
        <f t="shared" ref="O84" si="189">ROUNDUP(N84*86400,0)</f>
        <v>39</v>
      </c>
      <c r="P84" s="22">
        <f t="shared" ref="P84" si="190">O84/H84</f>
        <v>0.93600000000000005</v>
      </c>
      <c r="Q84" s="41"/>
      <c r="R84" s="42"/>
      <c r="S84" s="42"/>
      <c r="T84" s="42"/>
      <c r="U84" s="43"/>
    </row>
    <row r="85" spans="1:22" x14ac:dyDescent="0.25">
      <c r="A85" s="39"/>
      <c r="B85" s="7" t="s">
        <v>10</v>
      </c>
      <c r="C85" s="19"/>
      <c r="D85" s="2">
        <v>6.134259259259259E-4</v>
      </c>
      <c r="E85" s="3">
        <v>1</v>
      </c>
      <c r="F85" s="4">
        <f t="shared" si="155"/>
        <v>6.134259259259259E-4</v>
      </c>
      <c r="G85" s="25"/>
      <c r="H85" s="27"/>
      <c r="I85" s="29"/>
      <c r="J85" s="29"/>
      <c r="K85" s="30"/>
      <c r="L85" s="31"/>
      <c r="M85" s="33"/>
      <c r="N85" s="36"/>
      <c r="O85" s="27"/>
      <c r="P85" s="23"/>
      <c r="Q85" s="44"/>
      <c r="R85" s="45"/>
      <c r="S85" s="45"/>
      <c r="T85" s="45"/>
      <c r="U85" s="46"/>
    </row>
    <row r="86" spans="1:22" x14ac:dyDescent="0.25">
      <c r="A86" s="39"/>
      <c r="B86" s="7" t="s">
        <v>10</v>
      </c>
      <c r="C86" s="20"/>
      <c r="D86" s="2">
        <v>2.3148148148148151E-3</v>
      </c>
      <c r="E86" s="3">
        <v>5</v>
      </c>
      <c r="F86" s="4">
        <f t="shared" si="155"/>
        <v>4.6296296296296303E-4</v>
      </c>
      <c r="G86" s="25"/>
      <c r="H86" s="28"/>
      <c r="I86" s="29"/>
      <c r="J86" s="29"/>
      <c r="K86" s="30"/>
      <c r="L86" s="31"/>
      <c r="M86" s="34"/>
      <c r="N86" s="37"/>
      <c r="O86" s="28"/>
      <c r="P86" s="24"/>
      <c r="Q86" s="47"/>
      <c r="R86" s="48"/>
      <c r="S86" s="48"/>
      <c r="T86" s="48"/>
      <c r="U86" s="49"/>
    </row>
    <row r="87" spans="1:22" x14ac:dyDescent="0.25">
      <c r="A87" s="39"/>
      <c r="B87" s="7" t="s">
        <v>11</v>
      </c>
      <c r="C87" s="21" t="s">
        <v>29</v>
      </c>
      <c r="D87" s="2">
        <v>1.273148148148148E-4</v>
      </c>
      <c r="E87" s="3">
        <v>1</v>
      </c>
      <c r="F87" s="4">
        <f t="shared" si="155"/>
        <v>1.273148148148148E-4</v>
      </c>
      <c r="G87" s="25">
        <f t="shared" ref="G87" si="191">AVERAGE(F87:F89)</f>
        <v>1.8132716049382714E-4</v>
      </c>
      <c r="H87" s="26">
        <f t="shared" ref="H87" si="192">G87*86400</f>
        <v>15.666666666666664</v>
      </c>
      <c r="I87" s="29">
        <v>72.84</v>
      </c>
      <c r="J87" s="29">
        <v>3641.57</v>
      </c>
      <c r="K87" s="30">
        <f t="shared" ref="K87" si="193">SUM(I87:J89)</f>
        <v>3714.4100000000003</v>
      </c>
      <c r="L87" s="31">
        <f t="shared" ref="L87" si="194">H87/K87</f>
        <v>4.2178075836180346E-3</v>
      </c>
      <c r="M87" s="32">
        <f t="shared" ref="M87" si="195">L87*K87</f>
        <v>15.666666666666666</v>
      </c>
      <c r="N87" s="35"/>
      <c r="O87" s="26">
        <f t="shared" ref="O87" si="196">ROUNDUP(N87*86400,0)</f>
        <v>0</v>
      </c>
      <c r="P87" s="22">
        <f t="shared" ref="P87" si="197">O87/H87</f>
        <v>0</v>
      </c>
      <c r="Q87" s="41"/>
      <c r="R87" s="42"/>
      <c r="S87" s="42"/>
      <c r="T87" s="42"/>
      <c r="U87" s="43"/>
    </row>
    <row r="88" spans="1:22" x14ac:dyDescent="0.25">
      <c r="A88" s="39"/>
      <c r="B88" s="7" t="s">
        <v>11</v>
      </c>
      <c r="C88" s="19"/>
      <c r="D88" s="2">
        <v>2.3148148148148146E-4</v>
      </c>
      <c r="E88" s="3">
        <v>1</v>
      </c>
      <c r="F88" s="4">
        <f t="shared" si="155"/>
        <v>2.3148148148148146E-4</v>
      </c>
      <c r="G88" s="25"/>
      <c r="H88" s="27"/>
      <c r="I88" s="29"/>
      <c r="J88" s="29"/>
      <c r="K88" s="30"/>
      <c r="L88" s="31"/>
      <c r="M88" s="33"/>
      <c r="N88" s="36"/>
      <c r="O88" s="27"/>
      <c r="P88" s="23"/>
      <c r="Q88" s="44"/>
      <c r="R88" s="45"/>
      <c r="S88" s="45"/>
      <c r="T88" s="45"/>
      <c r="U88" s="46"/>
    </row>
    <row r="89" spans="1:22" x14ac:dyDescent="0.25">
      <c r="A89" s="40"/>
      <c r="B89" s="7" t="s">
        <v>11</v>
      </c>
      <c r="C89" s="20"/>
      <c r="D89" s="2">
        <v>9.2592592592592585E-4</v>
      </c>
      <c r="E89" s="3">
        <v>5</v>
      </c>
      <c r="F89" s="4">
        <f t="shared" si="155"/>
        <v>1.8518518518518518E-4</v>
      </c>
      <c r="G89" s="25"/>
      <c r="H89" s="28"/>
      <c r="I89" s="29"/>
      <c r="J89" s="29"/>
      <c r="K89" s="30"/>
      <c r="L89" s="31"/>
      <c r="M89" s="34"/>
      <c r="N89" s="37"/>
      <c r="O89" s="28"/>
      <c r="P89" s="24"/>
      <c r="Q89" s="47"/>
      <c r="R89" s="48"/>
      <c r="S89" s="48"/>
      <c r="T89" s="48"/>
      <c r="U89" s="49"/>
    </row>
    <row r="90" spans="1:22" x14ac:dyDescent="0.25">
      <c r="A90" s="38">
        <v>108895</v>
      </c>
      <c r="B90" s="7" t="s">
        <v>10</v>
      </c>
      <c r="C90" s="21" t="s">
        <v>28</v>
      </c>
      <c r="D90" s="2">
        <v>2.3148148148148146E-4</v>
      </c>
      <c r="E90" s="3">
        <v>1</v>
      </c>
      <c r="F90" s="4">
        <f t="shared" si="155"/>
        <v>2.3148148148148146E-4</v>
      </c>
      <c r="G90" s="25">
        <f t="shared" ref="G90" si="198">AVERAGE(F90:F92)</f>
        <v>2.5368655692729766E-4</v>
      </c>
      <c r="H90" s="26">
        <f t="shared" ref="H90" si="199">G90*86400</f>
        <v>21.918518518518518</v>
      </c>
      <c r="I90" s="29">
        <v>207.96</v>
      </c>
      <c r="J90" s="29">
        <v>1729.77</v>
      </c>
      <c r="K90" s="30">
        <f t="shared" ref="K90" si="200">SUM(I90:J92)</f>
        <v>1937.73</v>
      </c>
      <c r="L90" s="31">
        <f t="shared" ref="L90" si="201">H90/K90</f>
        <v>1.1311440973984259E-2</v>
      </c>
      <c r="M90" s="32">
        <f t="shared" ref="M90" si="202">L90*K90</f>
        <v>21.918518518518518</v>
      </c>
      <c r="N90" s="35">
        <v>2.4930555555555551E-4</v>
      </c>
      <c r="O90" s="26">
        <f t="shared" ref="O90" si="203">ROUNDUP(N90*86400,0)</f>
        <v>22</v>
      </c>
      <c r="P90" s="22">
        <f t="shared" ref="P90" si="204">O90/H90</f>
        <v>1.0037174721189592</v>
      </c>
      <c r="Q90" s="41"/>
      <c r="R90" s="42"/>
      <c r="S90" s="42"/>
      <c r="T90" s="42"/>
      <c r="U90" s="43"/>
      <c r="V90" s="17">
        <f>AVERAGE(L90,L96)</f>
        <v>1.2124231042236382E-2</v>
      </c>
    </row>
    <row r="91" spans="1:22" x14ac:dyDescent="0.25">
      <c r="A91" s="39"/>
      <c r="B91" s="7" t="s">
        <v>10</v>
      </c>
      <c r="C91" s="19"/>
      <c r="D91" s="2">
        <v>1.3425925925925925E-3</v>
      </c>
      <c r="E91" s="3">
        <v>5</v>
      </c>
      <c r="F91" s="4">
        <f t="shared" si="155"/>
        <v>2.6851851851851852E-4</v>
      </c>
      <c r="G91" s="25"/>
      <c r="H91" s="27"/>
      <c r="I91" s="29"/>
      <c r="J91" s="29"/>
      <c r="K91" s="30"/>
      <c r="L91" s="31"/>
      <c r="M91" s="33"/>
      <c r="N91" s="36"/>
      <c r="O91" s="27"/>
      <c r="P91" s="23"/>
      <c r="Q91" s="44"/>
      <c r="R91" s="45"/>
      <c r="S91" s="45"/>
      <c r="T91" s="45"/>
      <c r="U91" s="46"/>
    </row>
    <row r="92" spans="1:22" x14ac:dyDescent="0.25">
      <c r="A92" s="39"/>
      <c r="B92" s="7" t="s">
        <v>10</v>
      </c>
      <c r="C92" s="20"/>
      <c r="D92" s="2">
        <v>4.6990740740740743E-3</v>
      </c>
      <c r="E92" s="3">
        <v>18</v>
      </c>
      <c r="F92" s="4">
        <f t="shared" si="155"/>
        <v>2.6105967078189304E-4</v>
      </c>
      <c r="G92" s="25"/>
      <c r="H92" s="28"/>
      <c r="I92" s="29"/>
      <c r="J92" s="29"/>
      <c r="K92" s="30"/>
      <c r="L92" s="31"/>
      <c r="M92" s="34"/>
      <c r="N92" s="37"/>
      <c r="O92" s="28"/>
      <c r="P92" s="24"/>
      <c r="Q92" s="47"/>
      <c r="R92" s="48"/>
      <c r="S92" s="48"/>
      <c r="T92" s="48"/>
      <c r="U92" s="49"/>
    </row>
    <row r="93" spans="1:22" x14ac:dyDescent="0.25">
      <c r="A93" s="39"/>
      <c r="B93" s="7" t="s">
        <v>11</v>
      </c>
      <c r="C93" s="21" t="s">
        <v>28</v>
      </c>
      <c r="D93" s="2">
        <v>9.2592592592592588E-5</v>
      </c>
      <c r="E93" s="3">
        <v>1</v>
      </c>
      <c r="F93" s="4">
        <f t="shared" si="155"/>
        <v>9.2592592592592588E-5</v>
      </c>
      <c r="G93" s="25">
        <f t="shared" ref="G93" si="205">AVERAGE(F93:F95)</f>
        <v>1.1042524005486969E-4</v>
      </c>
      <c r="H93" s="26">
        <f t="shared" ref="H93" si="206">G93*86400</f>
        <v>9.5407407407407412</v>
      </c>
      <c r="I93" s="29">
        <v>207.96</v>
      </c>
      <c r="J93" s="29">
        <v>1729.77</v>
      </c>
      <c r="K93" s="30">
        <f t="shared" ref="K93" si="207">SUM(I93:J95)</f>
        <v>1937.73</v>
      </c>
      <c r="L93" s="31">
        <f t="shared" ref="L93" si="208">H93/K93</f>
        <v>4.9236687984088295E-3</v>
      </c>
      <c r="M93" s="32">
        <f t="shared" ref="M93" si="209">L93*K93</f>
        <v>9.5407407407407412</v>
      </c>
      <c r="N93" s="35"/>
      <c r="O93" s="26">
        <f t="shared" ref="O93" si="210">ROUNDUP(N93*86400,0)</f>
        <v>0</v>
      </c>
      <c r="P93" s="22">
        <f t="shared" ref="P93" si="211">O93/H93</f>
        <v>0</v>
      </c>
      <c r="Q93" s="41"/>
      <c r="R93" s="42"/>
      <c r="S93" s="42"/>
      <c r="T93" s="42"/>
      <c r="U93" s="43"/>
      <c r="V93" s="17">
        <f>AVERAGE(L93,L99)</f>
        <v>5.5309246061959125E-3</v>
      </c>
    </row>
    <row r="94" spans="1:22" x14ac:dyDescent="0.25">
      <c r="A94" s="39"/>
      <c r="B94" s="7" t="s">
        <v>11</v>
      </c>
      <c r="C94" s="19"/>
      <c r="D94" s="2">
        <v>6.018518518518519E-4</v>
      </c>
      <c r="E94" s="3">
        <v>5</v>
      </c>
      <c r="F94" s="4">
        <f t="shared" si="155"/>
        <v>1.2037037037037037E-4</v>
      </c>
      <c r="G94" s="25"/>
      <c r="H94" s="27"/>
      <c r="I94" s="29"/>
      <c r="J94" s="29"/>
      <c r="K94" s="30"/>
      <c r="L94" s="31"/>
      <c r="M94" s="33"/>
      <c r="N94" s="36"/>
      <c r="O94" s="27"/>
      <c r="P94" s="23"/>
      <c r="Q94" s="44"/>
      <c r="R94" s="45"/>
      <c r="S94" s="45"/>
      <c r="T94" s="45"/>
      <c r="U94" s="46"/>
    </row>
    <row r="95" spans="1:22" x14ac:dyDescent="0.25">
      <c r="A95" s="40"/>
      <c r="B95" s="7" t="s">
        <v>11</v>
      </c>
      <c r="C95" s="20"/>
      <c r="D95" s="2">
        <v>2.1296296296296298E-3</v>
      </c>
      <c r="E95" s="3">
        <v>18</v>
      </c>
      <c r="F95" s="4">
        <f t="shared" si="155"/>
        <v>1.183127572016461E-4</v>
      </c>
      <c r="G95" s="25"/>
      <c r="H95" s="28"/>
      <c r="I95" s="29"/>
      <c r="J95" s="29"/>
      <c r="K95" s="30"/>
      <c r="L95" s="31"/>
      <c r="M95" s="34"/>
      <c r="N95" s="37"/>
      <c r="O95" s="28"/>
      <c r="P95" s="24"/>
      <c r="Q95" s="47"/>
      <c r="R95" s="48"/>
      <c r="S95" s="48"/>
      <c r="T95" s="48"/>
      <c r="U95" s="49"/>
    </row>
    <row r="96" spans="1:22" x14ac:dyDescent="0.25">
      <c r="A96" s="38">
        <v>84982</v>
      </c>
      <c r="B96" s="7" t="s">
        <v>10</v>
      </c>
      <c r="C96" s="21" t="s">
        <v>28</v>
      </c>
      <c r="D96" s="2">
        <v>1.273148148148148E-4</v>
      </c>
      <c r="E96" s="3">
        <v>1</v>
      </c>
      <c r="F96" s="4">
        <f t="shared" si="155"/>
        <v>1.273148148148148E-4</v>
      </c>
      <c r="G96" s="25">
        <f t="shared" ref="G96" si="212">AVERAGE(F96:F98)</f>
        <v>1.3989651416122003E-4</v>
      </c>
      <c r="H96" s="26">
        <f t="shared" ref="H96" si="213">G96*86400</f>
        <v>12.087058823529411</v>
      </c>
      <c r="I96" s="29">
        <v>48.77</v>
      </c>
      <c r="J96" s="29">
        <v>885.53</v>
      </c>
      <c r="K96" s="30">
        <f t="shared" ref="K96" si="214">SUM(I96:J98)</f>
        <v>934.3</v>
      </c>
      <c r="L96" s="31">
        <f t="shared" ref="L96" si="215">H96/K96</f>
        <v>1.2937021110488505E-2</v>
      </c>
      <c r="M96" s="32">
        <f t="shared" ref="M96" si="216">L96*K96</f>
        <v>12.087058823529411</v>
      </c>
      <c r="N96" s="35">
        <v>1.3240740740740739E-4</v>
      </c>
      <c r="O96" s="26">
        <f t="shared" ref="O96" si="217">ROUNDUP(N96*86400,0)</f>
        <v>12</v>
      </c>
      <c r="P96" s="22">
        <f t="shared" ref="P96" si="218">O96/H96</f>
        <v>0.99279735254039336</v>
      </c>
      <c r="Q96" s="41"/>
      <c r="R96" s="42"/>
      <c r="S96" s="42"/>
      <c r="T96" s="42"/>
      <c r="U96" s="43"/>
    </row>
    <row r="97" spans="1:22" x14ac:dyDescent="0.25">
      <c r="A97" s="39"/>
      <c r="B97" s="7" t="s">
        <v>10</v>
      </c>
      <c r="C97" s="19"/>
      <c r="D97" s="2">
        <v>3.6226851851851854E-3</v>
      </c>
      <c r="E97" s="3">
        <v>25</v>
      </c>
      <c r="F97" s="4">
        <f t="shared" si="155"/>
        <v>1.4490740740740743E-4</v>
      </c>
      <c r="G97" s="25"/>
      <c r="H97" s="27"/>
      <c r="I97" s="29"/>
      <c r="J97" s="29"/>
      <c r="K97" s="30"/>
      <c r="L97" s="31"/>
      <c r="M97" s="33"/>
      <c r="N97" s="36"/>
      <c r="O97" s="27"/>
      <c r="P97" s="23"/>
      <c r="Q97" s="44"/>
      <c r="R97" s="45"/>
      <c r="S97" s="45"/>
      <c r="T97" s="45"/>
      <c r="U97" s="46"/>
    </row>
    <row r="98" spans="1:22" x14ac:dyDescent="0.25">
      <c r="A98" s="39"/>
      <c r="B98" s="7" t="s">
        <v>10</v>
      </c>
      <c r="C98" s="20"/>
      <c r="D98" s="2">
        <v>1.2534722222222223E-2</v>
      </c>
      <c r="E98" s="3">
        <v>85</v>
      </c>
      <c r="F98" s="4">
        <f t="shared" si="155"/>
        <v>1.4746732026143792E-4</v>
      </c>
      <c r="G98" s="25"/>
      <c r="H98" s="28"/>
      <c r="I98" s="29"/>
      <c r="J98" s="29"/>
      <c r="K98" s="30"/>
      <c r="L98" s="31"/>
      <c r="M98" s="34"/>
      <c r="N98" s="37"/>
      <c r="O98" s="28"/>
      <c r="P98" s="24"/>
      <c r="Q98" s="47"/>
      <c r="R98" s="48"/>
      <c r="S98" s="48"/>
      <c r="T98" s="48"/>
      <c r="U98" s="49"/>
    </row>
    <row r="99" spans="1:22" x14ac:dyDescent="0.25">
      <c r="A99" s="39"/>
      <c r="B99" s="7" t="s">
        <v>11</v>
      </c>
      <c r="C99" s="21" t="s">
        <v>28</v>
      </c>
      <c r="D99" s="2">
        <v>5.7870370370370366E-5</v>
      </c>
      <c r="E99" s="3">
        <v>1</v>
      </c>
      <c r="F99" s="4">
        <f t="shared" si="155"/>
        <v>5.7870370370370366E-5</v>
      </c>
      <c r="G99" s="25">
        <f t="shared" ref="G99" si="219">AVERAGE(F99:F101)</f>
        <v>6.6376180101670288E-5</v>
      </c>
      <c r="H99" s="26">
        <f t="shared" ref="H99" si="220">G99*86400</f>
        <v>5.7349019607843132</v>
      </c>
      <c r="I99" s="29">
        <v>48.77</v>
      </c>
      <c r="J99" s="29">
        <v>885.53</v>
      </c>
      <c r="K99" s="30">
        <f t="shared" ref="K99" si="221">SUM(I99:J101)</f>
        <v>934.3</v>
      </c>
      <c r="L99" s="31">
        <f t="shared" ref="L99" si="222">H99/K99</f>
        <v>6.1381804139829963E-3</v>
      </c>
      <c r="M99" s="32">
        <f t="shared" ref="M99" si="223">L99*K99</f>
        <v>5.7349019607843132</v>
      </c>
      <c r="N99" s="35"/>
      <c r="O99" s="26">
        <f t="shared" ref="O99" si="224">ROUNDUP(N99*86400,0)</f>
        <v>0</v>
      </c>
      <c r="P99" s="22">
        <f t="shared" ref="P99" si="225">O99/H99</f>
        <v>0</v>
      </c>
      <c r="Q99" s="41"/>
      <c r="R99" s="42"/>
      <c r="S99" s="42"/>
      <c r="T99" s="42"/>
      <c r="U99" s="43"/>
    </row>
    <row r="100" spans="1:22" x14ac:dyDescent="0.25">
      <c r="A100" s="39"/>
      <c r="B100" s="7" t="s">
        <v>11</v>
      </c>
      <c r="C100" s="19"/>
      <c r="D100" s="2">
        <v>1.7476851851851852E-3</v>
      </c>
      <c r="E100" s="3">
        <v>25</v>
      </c>
      <c r="F100" s="4">
        <f t="shared" si="155"/>
        <v>6.9907407407407405E-5</v>
      </c>
      <c r="G100" s="25"/>
      <c r="H100" s="27"/>
      <c r="I100" s="29"/>
      <c r="J100" s="29"/>
      <c r="K100" s="30"/>
      <c r="L100" s="31"/>
      <c r="M100" s="33"/>
      <c r="N100" s="36"/>
      <c r="O100" s="27"/>
      <c r="P100" s="23"/>
      <c r="Q100" s="44"/>
      <c r="R100" s="45"/>
      <c r="S100" s="45"/>
      <c r="T100" s="45"/>
      <c r="U100" s="46"/>
    </row>
    <row r="101" spans="1:22" x14ac:dyDescent="0.25">
      <c r="A101" s="40"/>
      <c r="B101" s="7" t="s">
        <v>11</v>
      </c>
      <c r="C101" s="20"/>
      <c r="D101" s="2">
        <v>6.0648148148148145E-3</v>
      </c>
      <c r="E101" s="3">
        <v>85</v>
      </c>
      <c r="F101" s="4">
        <f t="shared" si="155"/>
        <v>7.1350762527233114E-5</v>
      </c>
      <c r="G101" s="25"/>
      <c r="H101" s="28"/>
      <c r="I101" s="29"/>
      <c r="J101" s="29"/>
      <c r="K101" s="30"/>
      <c r="L101" s="31"/>
      <c r="M101" s="34"/>
      <c r="N101" s="37"/>
      <c r="O101" s="28"/>
      <c r="P101" s="24"/>
      <c r="Q101" s="47"/>
      <c r="R101" s="48"/>
      <c r="S101" s="48"/>
      <c r="T101" s="48"/>
      <c r="U101" s="49"/>
    </row>
    <row r="102" spans="1:22" x14ac:dyDescent="0.25">
      <c r="A102" s="38">
        <v>124744</v>
      </c>
      <c r="B102" s="7" t="s">
        <v>10</v>
      </c>
      <c r="C102" s="18" t="s">
        <v>27</v>
      </c>
      <c r="D102" s="2">
        <v>9.2592592592592588E-5</v>
      </c>
      <c r="E102" s="3">
        <v>1</v>
      </c>
      <c r="F102" s="4">
        <f t="shared" si="155"/>
        <v>9.2592592592592588E-5</v>
      </c>
      <c r="G102" s="25">
        <f t="shared" ref="G102" si="226">AVERAGE(F102:F104)</f>
        <v>9.839267608993858E-5</v>
      </c>
      <c r="H102" s="26">
        <f t="shared" ref="H102" si="227">G102*86400</f>
        <v>8.5011272141706939</v>
      </c>
      <c r="I102" s="29">
        <v>85.45</v>
      </c>
      <c r="J102" s="29">
        <v>180.26</v>
      </c>
      <c r="K102" s="30">
        <f t="shared" ref="K102" si="228">SUM(I102:J104)</f>
        <v>265.70999999999998</v>
      </c>
      <c r="L102" s="31">
        <f t="shared" ref="L102" si="229">H102/K102</f>
        <v>3.1994005548043714E-2</v>
      </c>
      <c r="M102" s="32">
        <f t="shared" ref="M102" si="230">L102*K102</f>
        <v>8.5011272141706939</v>
      </c>
      <c r="N102" s="35"/>
      <c r="O102" s="26">
        <f t="shared" ref="O102" si="231">ROUNDUP(N102*86400,0)</f>
        <v>0</v>
      </c>
      <c r="P102" s="22">
        <f t="shared" ref="P102" si="232">O102/H102</f>
        <v>0</v>
      </c>
      <c r="Q102" s="41" t="s">
        <v>35</v>
      </c>
      <c r="R102" s="42"/>
      <c r="S102" s="42"/>
      <c r="T102" s="42"/>
      <c r="U102" s="43"/>
      <c r="V102" s="17">
        <f>AVERAGE(L102,L108)</f>
        <v>2.854961205144093E-2</v>
      </c>
    </row>
    <row r="103" spans="1:22" x14ac:dyDescent="0.25">
      <c r="A103" s="39"/>
      <c r="B103" s="7" t="s">
        <v>10</v>
      </c>
      <c r="C103" s="19"/>
      <c r="D103" s="2">
        <v>3.4930555555555555E-2</v>
      </c>
      <c r="E103" s="3">
        <v>345</v>
      </c>
      <c r="F103" s="4">
        <f t="shared" si="155"/>
        <v>1.0124798711755233E-4</v>
      </c>
      <c r="G103" s="25"/>
      <c r="H103" s="27"/>
      <c r="I103" s="29"/>
      <c r="J103" s="29"/>
      <c r="K103" s="30"/>
      <c r="L103" s="31"/>
      <c r="M103" s="33"/>
      <c r="N103" s="36"/>
      <c r="O103" s="27"/>
      <c r="P103" s="23"/>
      <c r="Q103" s="44"/>
      <c r="R103" s="45"/>
      <c r="S103" s="45"/>
      <c r="T103" s="45"/>
      <c r="U103" s="46"/>
    </row>
    <row r="104" spans="1:22" x14ac:dyDescent="0.25">
      <c r="A104" s="39"/>
      <c r="B104" s="7" t="s">
        <v>10</v>
      </c>
      <c r="C104" s="20"/>
      <c r="D104" s="2">
        <v>0.10488425925925926</v>
      </c>
      <c r="E104" s="3">
        <v>1035</v>
      </c>
      <c r="F104" s="4">
        <f t="shared" si="155"/>
        <v>1.0133744855967078E-4</v>
      </c>
      <c r="G104" s="25"/>
      <c r="H104" s="28"/>
      <c r="I104" s="29"/>
      <c r="J104" s="29"/>
      <c r="K104" s="30"/>
      <c r="L104" s="31"/>
      <c r="M104" s="34"/>
      <c r="N104" s="37"/>
      <c r="O104" s="28"/>
      <c r="P104" s="24"/>
      <c r="Q104" s="47"/>
      <c r="R104" s="48"/>
      <c r="S104" s="48"/>
      <c r="T104" s="48"/>
      <c r="U104" s="49"/>
    </row>
    <row r="105" spans="1:22" x14ac:dyDescent="0.25">
      <c r="A105" s="39"/>
      <c r="B105" s="7" t="s">
        <v>11</v>
      </c>
      <c r="C105" s="21"/>
      <c r="D105" s="5" t="s">
        <v>12</v>
      </c>
      <c r="E105" s="6" t="s">
        <v>12</v>
      </c>
      <c r="F105" s="4" t="e">
        <f t="shared" si="155"/>
        <v>#VALUE!</v>
      </c>
      <c r="G105" s="25" t="e">
        <f t="shared" ref="G105" si="233">AVERAGE(F105:F107)</f>
        <v>#VALUE!</v>
      </c>
      <c r="H105" s="26" t="e">
        <f t="shared" ref="H105" si="234">G105*86400</f>
        <v>#VALUE!</v>
      </c>
      <c r="I105" s="29"/>
      <c r="J105" s="29"/>
      <c r="K105" s="30">
        <f t="shared" ref="K105" si="235">SUM(I105:J107)</f>
        <v>0</v>
      </c>
      <c r="L105" s="31" t="e">
        <f t="shared" ref="L105" si="236">H105/K105</f>
        <v>#VALUE!</v>
      </c>
      <c r="M105" s="32" t="e">
        <f t="shared" ref="M105" si="237">L105*K105</f>
        <v>#VALUE!</v>
      </c>
      <c r="N105" s="35"/>
      <c r="O105" s="26">
        <f t="shared" ref="O105" si="238">ROUNDUP(N105*86400,0)</f>
        <v>0</v>
      </c>
      <c r="P105" s="22" t="e">
        <f t="shared" ref="P105" si="239">O105/H105</f>
        <v>#VALUE!</v>
      </c>
      <c r="Q105" s="41"/>
      <c r="R105" s="42"/>
      <c r="S105" s="42"/>
      <c r="T105" s="42"/>
      <c r="U105" s="43"/>
    </row>
    <row r="106" spans="1:22" x14ac:dyDescent="0.25">
      <c r="A106" s="39"/>
      <c r="B106" s="7" t="s">
        <v>11</v>
      </c>
      <c r="C106" s="19"/>
      <c r="D106" s="5" t="s">
        <v>12</v>
      </c>
      <c r="E106" s="6" t="s">
        <v>12</v>
      </c>
      <c r="F106" s="4" t="e">
        <f t="shared" si="155"/>
        <v>#VALUE!</v>
      </c>
      <c r="G106" s="25"/>
      <c r="H106" s="27"/>
      <c r="I106" s="29"/>
      <c r="J106" s="29"/>
      <c r="K106" s="30"/>
      <c r="L106" s="31"/>
      <c r="M106" s="33"/>
      <c r="N106" s="36"/>
      <c r="O106" s="27"/>
      <c r="P106" s="23"/>
      <c r="Q106" s="44"/>
      <c r="R106" s="45"/>
      <c r="S106" s="45"/>
      <c r="T106" s="45"/>
      <c r="U106" s="46"/>
    </row>
    <row r="107" spans="1:22" x14ac:dyDescent="0.25">
      <c r="A107" s="40"/>
      <c r="B107" s="7" t="s">
        <v>11</v>
      </c>
      <c r="C107" s="20"/>
      <c r="D107" s="5" t="s">
        <v>12</v>
      </c>
      <c r="E107" s="6" t="s">
        <v>12</v>
      </c>
      <c r="F107" s="4" t="e">
        <f t="shared" si="155"/>
        <v>#VALUE!</v>
      </c>
      <c r="G107" s="25"/>
      <c r="H107" s="28"/>
      <c r="I107" s="29"/>
      <c r="J107" s="29"/>
      <c r="K107" s="30"/>
      <c r="L107" s="31"/>
      <c r="M107" s="34"/>
      <c r="N107" s="37"/>
      <c r="O107" s="28"/>
      <c r="P107" s="24"/>
      <c r="Q107" s="47"/>
      <c r="R107" s="48"/>
      <c r="S107" s="48"/>
      <c r="T107" s="48"/>
      <c r="U107" s="49"/>
    </row>
    <row r="108" spans="1:22" x14ac:dyDescent="0.25">
      <c r="A108" s="38">
        <v>124079</v>
      </c>
      <c r="B108" s="7" t="s">
        <v>10</v>
      </c>
      <c r="C108" s="18" t="s">
        <v>27</v>
      </c>
      <c r="D108" s="2">
        <v>4.6296296296296294E-5</v>
      </c>
      <c r="E108" s="3">
        <v>1</v>
      </c>
      <c r="F108" s="4">
        <f t="shared" si="155"/>
        <v>4.6296296296296294E-5</v>
      </c>
      <c r="G108" s="25">
        <f t="shared" ref="G108" si="240">AVERAGE(F108:F110)</f>
        <v>4.6976396802785683E-5</v>
      </c>
      <c r="H108" s="26">
        <f t="shared" ref="H108" si="241">G108*86400</f>
        <v>4.0587606837606831</v>
      </c>
      <c r="I108" s="29">
        <v>0</v>
      </c>
      <c r="J108" s="29">
        <v>161.66999999999999</v>
      </c>
      <c r="K108" s="30">
        <f t="shared" ref="K108" si="242">SUM(I108:J110)</f>
        <v>161.66999999999999</v>
      </c>
      <c r="L108" s="31">
        <f t="shared" ref="L108" si="243">H108/K108</f>
        <v>2.510521855483815E-2</v>
      </c>
      <c r="M108" s="32">
        <f t="shared" ref="M108" si="244">L108*K108</f>
        <v>4.0587606837606831</v>
      </c>
      <c r="N108" s="35">
        <v>5.6134259259259252E-5</v>
      </c>
      <c r="O108" s="26">
        <f t="shared" ref="O108" si="245">ROUNDUP(N108*86400,0)</f>
        <v>5</v>
      </c>
      <c r="P108" s="22">
        <f t="shared" ref="P108" si="246">O108/H108</f>
        <v>1.2319031324032643</v>
      </c>
      <c r="Q108" s="41"/>
      <c r="R108" s="42"/>
      <c r="S108" s="42"/>
      <c r="T108" s="42"/>
      <c r="U108" s="43"/>
    </row>
    <row r="109" spans="1:22" x14ac:dyDescent="0.25">
      <c r="A109" s="39"/>
      <c r="B109" s="7" t="s">
        <v>10</v>
      </c>
      <c r="C109" s="19"/>
      <c r="D109" s="2">
        <v>3.4456018518518518E-2</v>
      </c>
      <c r="E109" s="3">
        <v>728</v>
      </c>
      <c r="F109" s="4">
        <f t="shared" si="155"/>
        <v>4.7329695767195763E-5</v>
      </c>
      <c r="G109" s="25"/>
      <c r="H109" s="27"/>
      <c r="I109" s="29"/>
      <c r="J109" s="29"/>
      <c r="K109" s="30"/>
      <c r="L109" s="31"/>
      <c r="M109" s="33"/>
      <c r="N109" s="36"/>
      <c r="O109" s="27"/>
      <c r="P109" s="23"/>
      <c r="Q109" s="44"/>
      <c r="R109" s="45"/>
      <c r="S109" s="45"/>
      <c r="T109" s="45"/>
      <c r="U109" s="46"/>
    </row>
    <row r="110" spans="1:22" x14ac:dyDescent="0.25">
      <c r="A110" s="39"/>
      <c r="B110" s="7" t="s">
        <v>10</v>
      </c>
      <c r="C110" s="20"/>
      <c r="D110" s="2">
        <v>0.10331018518518519</v>
      </c>
      <c r="E110" s="3">
        <v>2184</v>
      </c>
      <c r="F110" s="4">
        <f t="shared" si="155"/>
        <v>4.7303198344865012E-5</v>
      </c>
      <c r="G110" s="25"/>
      <c r="H110" s="28"/>
      <c r="I110" s="29"/>
      <c r="J110" s="29"/>
      <c r="K110" s="30"/>
      <c r="L110" s="31"/>
      <c r="M110" s="34"/>
      <c r="N110" s="37"/>
      <c r="O110" s="28"/>
      <c r="P110" s="24"/>
      <c r="Q110" s="47"/>
      <c r="R110" s="48"/>
      <c r="S110" s="48"/>
      <c r="T110" s="48"/>
      <c r="U110" s="49"/>
    </row>
    <row r="111" spans="1:22" x14ac:dyDescent="0.25">
      <c r="A111" s="39"/>
      <c r="B111" s="7" t="s">
        <v>11</v>
      </c>
      <c r="C111" s="21"/>
      <c r="D111" s="5" t="s">
        <v>12</v>
      </c>
      <c r="E111" s="6" t="s">
        <v>12</v>
      </c>
      <c r="F111" s="4" t="e">
        <f t="shared" si="155"/>
        <v>#VALUE!</v>
      </c>
      <c r="G111" s="25" t="e">
        <f t="shared" ref="G111" si="247">AVERAGE(F111:F113)</f>
        <v>#VALUE!</v>
      </c>
      <c r="H111" s="26" t="e">
        <f t="shared" ref="H111" si="248">G111*86400</f>
        <v>#VALUE!</v>
      </c>
      <c r="I111" s="29"/>
      <c r="J111" s="29"/>
      <c r="K111" s="30">
        <f t="shared" ref="K111" si="249">SUM(I111:J113)</f>
        <v>0</v>
      </c>
      <c r="L111" s="31" t="e">
        <f t="shared" ref="L111" si="250">H111/K111</f>
        <v>#VALUE!</v>
      </c>
      <c r="M111" s="32" t="e">
        <f t="shared" ref="M111" si="251">L111*K111</f>
        <v>#VALUE!</v>
      </c>
      <c r="N111" s="35"/>
      <c r="O111" s="26">
        <f t="shared" ref="O111" si="252">ROUNDUP(N111*86400,0)</f>
        <v>0</v>
      </c>
      <c r="P111" s="22" t="e">
        <f t="shared" ref="P111" si="253">O111/H111</f>
        <v>#VALUE!</v>
      </c>
      <c r="Q111" s="41"/>
      <c r="R111" s="42"/>
      <c r="S111" s="42"/>
      <c r="T111" s="42"/>
      <c r="U111" s="43"/>
    </row>
    <row r="112" spans="1:22" x14ac:dyDescent="0.25">
      <c r="A112" s="39"/>
      <c r="B112" s="7" t="s">
        <v>11</v>
      </c>
      <c r="C112" s="19"/>
      <c r="D112" s="5" t="s">
        <v>12</v>
      </c>
      <c r="E112" s="6" t="s">
        <v>12</v>
      </c>
      <c r="F112" s="4" t="e">
        <f t="shared" si="155"/>
        <v>#VALUE!</v>
      </c>
      <c r="G112" s="25"/>
      <c r="H112" s="27"/>
      <c r="I112" s="29"/>
      <c r="J112" s="29"/>
      <c r="K112" s="30"/>
      <c r="L112" s="31"/>
      <c r="M112" s="33"/>
      <c r="N112" s="36"/>
      <c r="O112" s="27"/>
      <c r="P112" s="23"/>
      <c r="Q112" s="44"/>
      <c r="R112" s="45"/>
      <c r="S112" s="45"/>
      <c r="T112" s="45"/>
      <c r="U112" s="46"/>
    </row>
    <row r="113" spans="1:22" x14ac:dyDescent="0.25">
      <c r="A113" s="40"/>
      <c r="B113" s="7" t="s">
        <v>11</v>
      </c>
      <c r="C113" s="20"/>
      <c r="D113" s="5" t="s">
        <v>12</v>
      </c>
      <c r="E113" s="6" t="s">
        <v>12</v>
      </c>
      <c r="F113" s="4" t="e">
        <f t="shared" si="155"/>
        <v>#VALUE!</v>
      </c>
      <c r="G113" s="25"/>
      <c r="H113" s="28"/>
      <c r="I113" s="29"/>
      <c r="J113" s="29"/>
      <c r="K113" s="30"/>
      <c r="L113" s="31"/>
      <c r="M113" s="34"/>
      <c r="N113" s="37"/>
      <c r="O113" s="28"/>
      <c r="P113" s="24"/>
      <c r="Q113" s="47"/>
      <c r="R113" s="48"/>
      <c r="S113" s="48"/>
      <c r="T113" s="48"/>
      <c r="U113" s="49"/>
    </row>
    <row r="114" spans="1:22" x14ac:dyDescent="0.25">
      <c r="A114" s="38">
        <v>121325</v>
      </c>
      <c r="B114" s="7" t="s">
        <v>10</v>
      </c>
      <c r="C114" s="18" t="s">
        <v>26</v>
      </c>
      <c r="D114" s="2">
        <v>2.3148148148148146E-4</v>
      </c>
      <c r="E114" s="3">
        <v>1</v>
      </c>
      <c r="F114" s="4">
        <f t="shared" si="155"/>
        <v>2.3148148148148146E-4</v>
      </c>
      <c r="G114" s="25">
        <f t="shared" ref="G114" si="254">AVERAGE(F114:F116)</f>
        <v>2.3392489711934153E-4</v>
      </c>
      <c r="H114" s="26">
        <f t="shared" ref="H114" si="255">G114*86400</f>
        <v>20.211111111111109</v>
      </c>
      <c r="I114" s="29">
        <v>0</v>
      </c>
      <c r="J114" s="29">
        <v>434.88</v>
      </c>
      <c r="K114" s="30">
        <f t="shared" ref="K114" si="256">SUM(I114:J116)</f>
        <v>434.88</v>
      </c>
      <c r="L114" s="31">
        <f t="shared" ref="L114" si="257">H114/K114</f>
        <v>4.6475145123047991E-2</v>
      </c>
      <c r="M114" s="32">
        <f t="shared" ref="M114" si="258">L114*K114</f>
        <v>20.211111111111109</v>
      </c>
      <c r="N114" s="35"/>
      <c r="O114" s="26">
        <v>17.395199999999999</v>
      </c>
      <c r="P114" s="22">
        <f t="shared" ref="P114" si="259">O114/H114</f>
        <v>0.86067509620670701</v>
      </c>
      <c r="Q114" s="41"/>
      <c r="R114" s="42"/>
      <c r="S114" s="42"/>
      <c r="T114" s="42"/>
      <c r="U114" s="43"/>
      <c r="V114" s="17">
        <f>AVERAGE(L114,L120)</f>
        <v>0.13508547959973555</v>
      </c>
    </row>
    <row r="115" spans="1:22" x14ac:dyDescent="0.25">
      <c r="A115" s="39"/>
      <c r="B115" s="7" t="s">
        <v>10</v>
      </c>
      <c r="C115" s="19"/>
      <c r="D115" s="2">
        <v>1.4039351851851851E-2</v>
      </c>
      <c r="E115" s="3">
        <v>60</v>
      </c>
      <c r="F115" s="4">
        <f t="shared" si="155"/>
        <v>2.3398919753086418E-4</v>
      </c>
      <c r="G115" s="25"/>
      <c r="H115" s="27"/>
      <c r="I115" s="29"/>
      <c r="J115" s="29"/>
      <c r="K115" s="30"/>
      <c r="L115" s="31"/>
      <c r="M115" s="33"/>
      <c r="N115" s="36"/>
      <c r="O115" s="27"/>
      <c r="P115" s="23"/>
      <c r="Q115" s="44"/>
      <c r="R115" s="45"/>
      <c r="S115" s="45"/>
      <c r="T115" s="45"/>
      <c r="U115" s="46"/>
    </row>
    <row r="116" spans="1:22" x14ac:dyDescent="0.25">
      <c r="A116" s="39"/>
      <c r="B116" s="7" t="s">
        <v>10</v>
      </c>
      <c r="C116" s="20"/>
      <c r="D116" s="2">
        <v>4.5370370370370366E-2</v>
      </c>
      <c r="E116" s="3">
        <v>192</v>
      </c>
      <c r="F116" s="4">
        <f t="shared" si="155"/>
        <v>2.3630401234567898E-4</v>
      </c>
      <c r="G116" s="25"/>
      <c r="H116" s="28"/>
      <c r="I116" s="29"/>
      <c r="J116" s="29"/>
      <c r="K116" s="30"/>
      <c r="L116" s="31"/>
      <c r="M116" s="34"/>
      <c r="N116" s="37"/>
      <c r="O116" s="28"/>
      <c r="P116" s="24"/>
      <c r="Q116" s="47"/>
      <c r="R116" s="48"/>
      <c r="S116" s="48"/>
      <c r="T116" s="48"/>
      <c r="U116" s="49"/>
    </row>
    <row r="117" spans="1:22" x14ac:dyDescent="0.25">
      <c r="A117" s="39"/>
      <c r="B117" s="7" t="s">
        <v>11</v>
      </c>
      <c r="C117" s="21"/>
      <c r="D117" s="5" t="s">
        <v>12</v>
      </c>
      <c r="E117" s="6" t="s">
        <v>12</v>
      </c>
      <c r="F117" s="4" t="e">
        <f t="shared" si="155"/>
        <v>#VALUE!</v>
      </c>
      <c r="G117" s="25" t="e">
        <f t="shared" ref="G117" si="260">AVERAGE(F117:F119)</f>
        <v>#VALUE!</v>
      </c>
      <c r="H117" s="26" t="e">
        <f t="shared" ref="H117" si="261">G117*86400</f>
        <v>#VALUE!</v>
      </c>
      <c r="I117" s="29"/>
      <c r="J117" s="29"/>
      <c r="K117" s="30">
        <f t="shared" ref="K117" si="262">SUM(I117:J119)</f>
        <v>0</v>
      </c>
      <c r="L117" s="31" t="e">
        <f t="shared" ref="L117" si="263">H117/K117</f>
        <v>#VALUE!</v>
      </c>
      <c r="M117" s="32" t="e">
        <f t="shared" ref="M117" si="264">L117*K117</f>
        <v>#VALUE!</v>
      </c>
      <c r="N117" s="35"/>
      <c r="O117" s="26">
        <f t="shared" ref="O117" si="265">ROUNDUP(N117*86400,0)</f>
        <v>0</v>
      </c>
      <c r="P117" s="22" t="e">
        <f t="shared" ref="P117" si="266">O117/H117</f>
        <v>#VALUE!</v>
      </c>
      <c r="Q117" s="41"/>
      <c r="R117" s="42"/>
      <c r="S117" s="42"/>
      <c r="T117" s="42"/>
      <c r="U117" s="43"/>
    </row>
    <row r="118" spans="1:22" x14ac:dyDescent="0.25">
      <c r="A118" s="39"/>
      <c r="B118" s="7" t="s">
        <v>11</v>
      </c>
      <c r="C118" s="19"/>
      <c r="D118" s="5" t="s">
        <v>12</v>
      </c>
      <c r="E118" s="6" t="s">
        <v>12</v>
      </c>
      <c r="F118" s="4" t="e">
        <f t="shared" si="155"/>
        <v>#VALUE!</v>
      </c>
      <c r="G118" s="25"/>
      <c r="H118" s="27"/>
      <c r="I118" s="29"/>
      <c r="J118" s="29"/>
      <c r="K118" s="30"/>
      <c r="L118" s="31"/>
      <c r="M118" s="33"/>
      <c r="N118" s="36"/>
      <c r="O118" s="27"/>
      <c r="P118" s="23"/>
      <c r="Q118" s="44"/>
      <c r="R118" s="45"/>
      <c r="S118" s="45"/>
      <c r="T118" s="45"/>
      <c r="U118" s="46"/>
    </row>
    <row r="119" spans="1:22" x14ac:dyDescent="0.25">
      <c r="A119" s="40"/>
      <c r="B119" s="7" t="s">
        <v>11</v>
      </c>
      <c r="C119" s="20"/>
      <c r="D119" s="5" t="s">
        <v>12</v>
      </c>
      <c r="E119" s="6" t="s">
        <v>12</v>
      </c>
      <c r="F119" s="4" t="e">
        <f t="shared" si="155"/>
        <v>#VALUE!</v>
      </c>
      <c r="G119" s="25"/>
      <c r="H119" s="28"/>
      <c r="I119" s="29"/>
      <c r="J119" s="29"/>
      <c r="K119" s="30"/>
      <c r="L119" s="31"/>
      <c r="M119" s="34"/>
      <c r="N119" s="37"/>
      <c r="O119" s="28"/>
      <c r="P119" s="24"/>
      <c r="Q119" s="47"/>
      <c r="R119" s="48"/>
      <c r="S119" s="48"/>
      <c r="T119" s="48"/>
      <c r="U119" s="49"/>
    </row>
    <row r="120" spans="1:22" x14ac:dyDescent="0.25">
      <c r="A120" s="56">
        <v>120742</v>
      </c>
      <c r="B120" s="7" t="s">
        <v>10</v>
      </c>
      <c r="C120" s="18" t="s">
        <v>26</v>
      </c>
      <c r="D120" s="2">
        <v>2.3726851851851851E-3</v>
      </c>
      <c r="E120" s="3">
        <v>1</v>
      </c>
      <c r="F120" s="4">
        <f t="shared" si="155"/>
        <v>2.3726851851851851E-3</v>
      </c>
      <c r="G120" s="25">
        <f t="shared" ref="G120" si="267">AVERAGE(F120:F122)</f>
        <v>2.4071119474899545E-3</v>
      </c>
      <c r="H120" s="26">
        <f>G120*86400</f>
        <v>207.97447226313207</v>
      </c>
      <c r="I120" s="29">
        <v>228.71</v>
      </c>
      <c r="J120" s="29">
        <v>701.01</v>
      </c>
      <c r="K120" s="30">
        <f t="shared" ref="K120" si="268">SUM(I120:J122)</f>
        <v>929.72</v>
      </c>
      <c r="L120" s="31">
        <f t="shared" ref="L120" si="269">H120/K120</f>
        <v>0.22369581407642308</v>
      </c>
      <c r="M120" s="32">
        <f t="shared" ref="M120" si="270">L120*K120</f>
        <v>207.97447226313207</v>
      </c>
      <c r="N120" s="35"/>
      <c r="O120" s="26">
        <v>66.488799999999998</v>
      </c>
      <c r="P120" s="22">
        <f t="shared" ref="P120" si="271">O120/H120</f>
        <v>0.31969692855321918</v>
      </c>
      <c r="Q120" s="41"/>
      <c r="R120" s="42"/>
      <c r="S120" s="42"/>
      <c r="T120" s="42"/>
      <c r="U120" s="43"/>
    </row>
    <row r="121" spans="1:22" x14ac:dyDescent="0.25">
      <c r="A121" s="57"/>
      <c r="B121" s="7" t="s">
        <v>10</v>
      </c>
      <c r="C121" s="19"/>
      <c r="D121" s="2">
        <v>6.7870370370370373E-2</v>
      </c>
      <c r="E121" s="3">
        <v>28</v>
      </c>
      <c r="F121" s="4">
        <f t="shared" si="155"/>
        <v>2.4239417989417992E-3</v>
      </c>
      <c r="G121" s="25"/>
      <c r="H121" s="27"/>
      <c r="I121" s="29"/>
      <c r="J121" s="29"/>
      <c r="K121" s="30"/>
      <c r="L121" s="31"/>
      <c r="M121" s="33"/>
      <c r="N121" s="36"/>
      <c r="O121" s="27"/>
      <c r="P121" s="23"/>
      <c r="Q121" s="44"/>
      <c r="R121" s="45"/>
      <c r="S121" s="45"/>
      <c r="T121" s="45"/>
      <c r="U121" s="46"/>
    </row>
    <row r="122" spans="1:22" x14ac:dyDescent="0.25">
      <c r="A122" s="57"/>
      <c r="B122" s="7" t="s">
        <v>10</v>
      </c>
      <c r="C122" s="20"/>
      <c r="D122" s="2">
        <v>0.23519675925925929</v>
      </c>
      <c r="E122" s="3">
        <v>97</v>
      </c>
      <c r="F122" s="4">
        <f t="shared" si="155"/>
        <v>2.4247088583428792E-3</v>
      </c>
      <c r="G122" s="25"/>
      <c r="H122" s="28"/>
      <c r="I122" s="29"/>
      <c r="J122" s="29"/>
      <c r="K122" s="30"/>
      <c r="L122" s="31"/>
      <c r="M122" s="34"/>
      <c r="N122" s="37"/>
      <c r="O122" s="28"/>
      <c r="P122" s="24"/>
      <c r="Q122" s="47"/>
      <c r="R122" s="48"/>
      <c r="S122" s="48"/>
      <c r="T122" s="48"/>
      <c r="U122" s="49"/>
    </row>
    <row r="123" spans="1:22" x14ac:dyDescent="0.25">
      <c r="A123" s="57"/>
      <c r="B123" s="7" t="s">
        <v>11</v>
      </c>
      <c r="F123" s="4" t="e">
        <f t="shared" si="155"/>
        <v>#DIV/0!</v>
      </c>
      <c r="G123" s="25" t="e">
        <f t="shared" ref="G123:G159" si="272">AVERAGE(F123:F125)</f>
        <v>#DIV/0!</v>
      </c>
      <c r="H123" s="26" t="e">
        <f t="shared" ref="H123" si="273">G123*86400</f>
        <v>#DIV/0!</v>
      </c>
      <c r="I123" s="29" t="s">
        <v>25</v>
      </c>
      <c r="J123" s="29" t="s">
        <v>25</v>
      </c>
      <c r="K123" s="30">
        <f t="shared" ref="K123" si="274">SUM(I123:J125)</f>
        <v>0</v>
      </c>
      <c r="L123" s="31" t="e">
        <f t="shared" ref="L123" si="275">H123/K123</f>
        <v>#DIV/0!</v>
      </c>
      <c r="M123" s="32" t="e">
        <f t="shared" ref="M123" si="276">L123*K123</f>
        <v>#DIV/0!</v>
      </c>
      <c r="N123" s="35"/>
      <c r="O123" s="26">
        <f t="shared" ref="O123:O159" si="277">ROUNDUP(N123*86400,0)</f>
        <v>0</v>
      </c>
      <c r="P123" s="22" t="e">
        <f t="shared" ref="P123" si="278">O123/H123</f>
        <v>#DIV/0!</v>
      </c>
      <c r="Q123" s="41"/>
      <c r="R123" s="42"/>
      <c r="S123" s="42"/>
      <c r="T123" s="42"/>
      <c r="U123" s="43"/>
    </row>
    <row r="124" spans="1:22" x14ac:dyDescent="0.25">
      <c r="A124" s="57"/>
      <c r="B124" s="7" t="s">
        <v>11</v>
      </c>
      <c r="F124" s="4" t="e">
        <f t="shared" si="155"/>
        <v>#DIV/0!</v>
      </c>
      <c r="G124" s="25"/>
      <c r="H124" s="27"/>
      <c r="I124" s="29"/>
      <c r="J124" s="29"/>
      <c r="K124" s="30"/>
      <c r="L124" s="31"/>
      <c r="M124" s="33"/>
      <c r="N124" s="36"/>
      <c r="O124" s="27"/>
      <c r="P124" s="23"/>
      <c r="Q124" s="44"/>
      <c r="R124" s="45"/>
      <c r="S124" s="45"/>
      <c r="T124" s="45"/>
      <c r="U124" s="46"/>
    </row>
    <row r="125" spans="1:22" x14ac:dyDescent="0.25">
      <c r="A125" s="58"/>
      <c r="B125" s="7" t="s">
        <v>11</v>
      </c>
      <c r="F125" s="4" t="e">
        <f t="shared" si="155"/>
        <v>#DIV/0!</v>
      </c>
      <c r="G125" s="25"/>
      <c r="H125" s="28"/>
      <c r="I125" s="29"/>
      <c r="J125" s="29"/>
      <c r="K125" s="30"/>
      <c r="L125" s="31"/>
      <c r="M125" s="34"/>
      <c r="N125" s="37"/>
      <c r="O125" s="28"/>
      <c r="P125" s="24"/>
      <c r="Q125" s="47"/>
      <c r="R125" s="48"/>
      <c r="S125" s="48"/>
      <c r="T125" s="48"/>
      <c r="U125" s="49"/>
    </row>
    <row r="126" spans="1:22" x14ac:dyDescent="0.25">
      <c r="A126" s="21">
        <v>121616</v>
      </c>
      <c r="B126" s="7" t="s">
        <v>10</v>
      </c>
      <c r="C126" s="18" t="s">
        <v>31</v>
      </c>
      <c r="D126" s="2">
        <v>1.712962962962963E-3</v>
      </c>
      <c r="E126" s="3">
        <v>1</v>
      </c>
      <c r="F126" s="4">
        <f t="shared" si="155"/>
        <v>1.712962962962963E-3</v>
      </c>
      <c r="G126" s="25">
        <f t="shared" si="272"/>
        <v>1.7134389530222864E-3</v>
      </c>
      <c r="H126" s="26">
        <f t="shared" ref="H126" si="279">G126*86400</f>
        <v>148.04112554112555</v>
      </c>
      <c r="I126" s="29">
        <v>177.24</v>
      </c>
      <c r="J126" s="29">
        <v>420.9</v>
      </c>
      <c r="K126" s="30">
        <f t="shared" ref="K126" si="280">SUM(I126:J128)</f>
        <v>598.14</v>
      </c>
      <c r="L126" s="31">
        <f t="shared" ref="L126" si="281">H126/K126</f>
        <v>0.24750246688254515</v>
      </c>
      <c r="M126" s="32">
        <f t="shared" ref="M126" si="282">L126*K126</f>
        <v>148.04112554112555</v>
      </c>
      <c r="N126" s="35"/>
      <c r="O126" s="26">
        <f t="shared" si="277"/>
        <v>0</v>
      </c>
      <c r="P126" s="22">
        <f t="shared" ref="P126" si="283">O126/H126</f>
        <v>0</v>
      </c>
      <c r="Q126" s="41"/>
      <c r="R126" s="42"/>
      <c r="S126" s="42"/>
      <c r="T126" s="42"/>
      <c r="U126" s="43"/>
      <c r="V126" s="17">
        <f>AVERAGE(L126,L132)</f>
        <v>0.19995390007763225</v>
      </c>
    </row>
    <row r="127" spans="1:22" x14ac:dyDescent="0.25">
      <c r="A127" s="19"/>
      <c r="B127" s="7" t="s">
        <v>10</v>
      </c>
      <c r="C127" s="19"/>
      <c r="D127" s="2">
        <v>0.10778935185185186</v>
      </c>
      <c r="E127" s="3">
        <v>63</v>
      </c>
      <c r="F127" s="4">
        <f t="shared" si="155"/>
        <v>1.7109420928865375E-3</v>
      </c>
      <c r="G127" s="25"/>
      <c r="H127" s="27"/>
      <c r="I127" s="29"/>
      <c r="J127" s="29"/>
      <c r="K127" s="30"/>
      <c r="L127" s="31"/>
      <c r="M127" s="33"/>
      <c r="N127" s="36"/>
      <c r="O127" s="27"/>
      <c r="P127" s="23"/>
      <c r="Q127" s="44"/>
      <c r="R127" s="45"/>
      <c r="S127" s="45"/>
      <c r="T127" s="45"/>
      <c r="U127" s="46"/>
    </row>
    <row r="128" spans="1:22" x14ac:dyDescent="0.25">
      <c r="A128" s="19"/>
      <c r="B128" s="7" t="s">
        <v>10</v>
      </c>
      <c r="C128" s="20"/>
      <c r="D128" s="2">
        <v>0.33984953703703707</v>
      </c>
      <c r="E128" s="3">
        <v>198</v>
      </c>
      <c r="F128" s="4">
        <f t="shared" si="155"/>
        <v>1.7164118032173589E-3</v>
      </c>
      <c r="G128" s="25"/>
      <c r="H128" s="28"/>
      <c r="I128" s="29"/>
      <c r="J128" s="29"/>
      <c r="K128" s="30"/>
      <c r="L128" s="31"/>
      <c r="M128" s="34"/>
      <c r="N128" s="37"/>
      <c r="O128" s="28"/>
      <c r="P128" s="24"/>
      <c r="Q128" s="47"/>
      <c r="R128" s="48"/>
      <c r="S128" s="48"/>
      <c r="T128" s="48"/>
      <c r="U128" s="49"/>
    </row>
    <row r="129" spans="1:22" x14ac:dyDescent="0.25">
      <c r="A129" s="19"/>
      <c r="B129" s="7" t="s">
        <v>11</v>
      </c>
      <c r="C129" s="18" t="s">
        <v>31</v>
      </c>
      <c r="E129" s="3">
        <v>1</v>
      </c>
      <c r="F129" s="4">
        <f t="shared" si="155"/>
        <v>0</v>
      </c>
      <c r="G129" s="25">
        <f t="shared" si="272"/>
        <v>0</v>
      </c>
      <c r="H129" s="26">
        <f t="shared" ref="H129" si="284">G129*86400</f>
        <v>0</v>
      </c>
      <c r="I129" s="29"/>
      <c r="J129" s="29"/>
      <c r="K129" s="30">
        <f t="shared" ref="K129" si="285">SUM(I129:J131)</f>
        <v>0</v>
      </c>
      <c r="L129" s="31" t="e">
        <f t="shared" ref="L129" si="286">H129/K129</f>
        <v>#DIV/0!</v>
      </c>
      <c r="M129" s="32" t="e">
        <f t="shared" ref="M129" si="287">L129*K129</f>
        <v>#DIV/0!</v>
      </c>
      <c r="N129" s="35"/>
      <c r="O129" s="26">
        <f t="shared" si="277"/>
        <v>0</v>
      </c>
      <c r="P129" s="22" t="e">
        <f t="shared" ref="P129" si="288">O129/H129</f>
        <v>#DIV/0!</v>
      </c>
      <c r="Q129" s="41"/>
      <c r="R129" s="42"/>
      <c r="S129" s="42"/>
      <c r="T129" s="42"/>
      <c r="U129" s="43"/>
    </row>
    <row r="130" spans="1:22" x14ac:dyDescent="0.25">
      <c r="A130" s="19"/>
      <c r="B130" s="7" t="s">
        <v>11</v>
      </c>
      <c r="C130" s="19"/>
      <c r="E130" s="3">
        <v>63</v>
      </c>
      <c r="F130" s="4">
        <f t="shared" si="155"/>
        <v>0</v>
      </c>
      <c r="G130" s="25"/>
      <c r="H130" s="27"/>
      <c r="I130" s="29"/>
      <c r="J130" s="29"/>
      <c r="K130" s="30"/>
      <c r="L130" s="31"/>
      <c r="M130" s="33"/>
      <c r="N130" s="36"/>
      <c r="O130" s="27"/>
      <c r="P130" s="23"/>
      <c r="Q130" s="44"/>
      <c r="R130" s="45"/>
      <c r="S130" s="45"/>
      <c r="T130" s="45"/>
      <c r="U130" s="46"/>
    </row>
    <row r="131" spans="1:22" x14ac:dyDescent="0.25">
      <c r="A131" s="20"/>
      <c r="B131" s="7" t="s">
        <v>11</v>
      </c>
      <c r="C131" s="20"/>
      <c r="E131" s="3">
        <v>198</v>
      </c>
      <c r="F131" s="4">
        <f t="shared" si="155"/>
        <v>0</v>
      </c>
      <c r="G131" s="25"/>
      <c r="H131" s="28"/>
      <c r="I131" s="29"/>
      <c r="J131" s="29"/>
      <c r="K131" s="30"/>
      <c r="L131" s="31"/>
      <c r="M131" s="34"/>
      <c r="N131" s="37"/>
      <c r="O131" s="28"/>
      <c r="P131" s="24"/>
      <c r="Q131" s="47"/>
      <c r="R131" s="48"/>
      <c r="S131" s="48"/>
      <c r="T131" s="48"/>
      <c r="U131" s="49"/>
    </row>
    <row r="132" spans="1:22" x14ac:dyDescent="0.25">
      <c r="A132" s="21">
        <v>112814</v>
      </c>
      <c r="B132" s="7" t="s">
        <v>10</v>
      </c>
      <c r="C132" s="18" t="s">
        <v>31</v>
      </c>
      <c r="D132" s="2">
        <v>1.0300925925925926E-3</v>
      </c>
      <c r="E132" s="3">
        <v>1</v>
      </c>
      <c r="F132" s="4">
        <f t="shared" si="155"/>
        <v>1.0300925925925926E-3</v>
      </c>
      <c r="G132" s="25">
        <f t="shared" si="272"/>
        <v>1.0347157921810699E-3</v>
      </c>
      <c r="H132" s="26">
        <f t="shared" ref="H132" si="289">G132*86400</f>
        <v>89.399444444444441</v>
      </c>
      <c r="I132" s="29">
        <v>168.39</v>
      </c>
      <c r="J132" s="29">
        <v>418.2</v>
      </c>
      <c r="K132" s="30">
        <f t="shared" ref="K132" si="290">SUM(I132:J134)</f>
        <v>586.58999999999992</v>
      </c>
      <c r="L132" s="31">
        <f t="shared" ref="L132" si="291">H132/K132</f>
        <v>0.15240533327271938</v>
      </c>
      <c r="M132" s="32">
        <f t="shared" ref="M132" si="292">L132*K132</f>
        <v>89.399444444444441</v>
      </c>
      <c r="N132" s="35">
        <v>3.3797453703703702E-3</v>
      </c>
      <c r="O132" s="26">
        <f t="shared" si="277"/>
        <v>293</v>
      </c>
      <c r="P132" s="22">
        <f t="shared" ref="P132" si="293">O132/H132</f>
        <v>3.2774252884991828</v>
      </c>
      <c r="Q132" s="41"/>
      <c r="R132" s="42"/>
      <c r="S132" s="42"/>
      <c r="T132" s="42"/>
      <c r="U132" s="43"/>
    </row>
    <row r="133" spans="1:22" x14ac:dyDescent="0.25">
      <c r="A133" s="19"/>
      <c r="B133" s="7" t="s">
        <v>10</v>
      </c>
      <c r="C133" s="19"/>
      <c r="D133" s="2">
        <v>6.2210648148148147E-2</v>
      </c>
      <c r="E133" s="3">
        <v>60</v>
      </c>
      <c r="F133" s="4">
        <f t="shared" ref="F133:F196" si="294">D133/E133</f>
        <v>1.0368441358024692E-3</v>
      </c>
      <c r="G133" s="25"/>
      <c r="H133" s="27"/>
      <c r="I133" s="29"/>
      <c r="J133" s="29"/>
      <c r="K133" s="30"/>
      <c r="L133" s="31"/>
      <c r="M133" s="33"/>
      <c r="N133" s="36"/>
      <c r="O133" s="27"/>
      <c r="P133" s="23"/>
      <c r="Q133" s="44"/>
      <c r="R133" s="45"/>
      <c r="S133" s="45"/>
      <c r="T133" s="45"/>
      <c r="U133" s="46"/>
    </row>
    <row r="134" spans="1:22" x14ac:dyDescent="0.25">
      <c r="A134" s="19"/>
      <c r="B134" s="7" t="s">
        <v>10</v>
      </c>
      <c r="C134" s="20"/>
      <c r="D134" s="2">
        <v>0.20744212962962963</v>
      </c>
      <c r="E134" s="3">
        <v>200</v>
      </c>
      <c r="F134" s="4">
        <f t="shared" si="294"/>
        <v>1.0372106481481482E-3</v>
      </c>
      <c r="G134" s="25"/>
      <c r="H134" s="28"/>
      <c r="I134" s="29"/>
      <c r="J134" s="29"/>
      <c r="K134" s="30"/>
      <c r="L134" s="31"/>
      <c r="M134" s="34"/>
      <c r="N134" s="37"/>
      <c r="O134" s="28"/>
      <c r="P134" s="24"/>
      <c r="Q134" s="47"/>
      <c r="R134" s="48"/>
      <c r="S134" s="48"/>
      <c r="T134" s="48"/>
      <c r="U134" s="49"/>
    </row>
    <row r="135" spans="1:22" x14ac:dyDescent="0.25">
      <c r="A135" s="19"/>
      <c r="B135" s="7" t="s">
        <v>11</v>
      </c>
      <c r="C135" s="18" t="s">
        <v>31</v>
      </c>
      <c r="E135" s="3">
        <v>1</v>
      </c>
      <c r="F135" s="4">
        <f t="shared" si="294"/>
        <v>0</v>
      </c>
      <c r="G135" s="25">
        <f t="shared" si="272"/>
        <v>0</v>
      </c>
      <c r="H135" s="26">
        <f t="shared" ref="H135" si="295">G135*86400</f>
        <v>0</v>
      </c>
      <c r="I135" s="29">
        <v>168.39</v>
      </c>
      <c r="J135" s="29">
        <v>418.2</v>
      </c>
      <c r="K135" s="30">
        <f t="shared" ref="K135" si="296">SUM(I135:J137)</f>
        <v>586.58999999999992</v>
      </c>
      <c r="L135" s="31">
        <f t="shared" ref="L135" si="297">H135/K135</f>
        <v>0</v>
      </c>
      <c r="M135" s="32">
        <f t="shared" ref="M135" si="298">L135*K135</f>
        <v>0</v>
      </c>
      <c r="N135" s="35"/>
      <c r="O135" s="26">
        <f t="shared" si="277"/>
        <v>0</v>
      </c>
      <c r="P135" s="22" t="e">
        <f t="shared" ref="P135" si="299">O135/H135</f>
        <v>#DIV/0!</v>
      </c>
      <c r="Q135" s="41"/>
      <c r="R135" s="42"/>
      <c r="S135" s="42"/>
      <c r="T135" s="42"/>
      <c r="U135" s="43"/>
    </row>
    <row r="136" spans="1:22" x14ac:dyDescent="0.25">
      <c r="A136" s="19"/>
      <c r="B136" s="7" t="s">
        <v>11</v>
      </c>
      <c r="C136" s="19"/>
      <c r="E136" s="3">
        <v>60</v>
      </c>
      <c r="F136" s="4">
        <f t="shared" si="294"/>
        <v>0</v>
      </c>
      <c r="G136" s="25"/>
      <c r="H136" s="27"/>
      <c r="I136" s="29"/>
      <c r="J136" s="29"/>
      <c r="K136" s="30"/>
      <c r="L136" s="31"/>
      <c r="M136" s="33"/>
      <c r="N136" s="36"/>
      <c r="O136" s="27"/>
      <c r="P136" s="23"/>
      <c r="Q136" s="44"/>
      <c r="R136" s="45"/>
      <c r="S136" s="45"/>
      <c r="T136" s="45"/>
      <c r="U136" s="46"/>
    </row>
    <row r="137" spans="1:22" x14ac:dyDescent="0.25">
      <c r="A137" s="20"/>
      <c r="B137" s="7" t="s">
        <v>11</v>
      </c>
      <c r="C137" s="20"/>
      <c r="E137" s="3">
        <v>200</v>
      </c>
      <c r="F137" s="4">
        <f t="shared" si="294"/>
        <v>0</v>
      </c>
      <c r="G137" s="25"/>
      <c r="H137" s="28"/>
      <c r="I137" s="29"/>
      <c r="J137" s="29"/>
      <c r="K137" s="30"/>
      <c r="L137" s="31"/>
      <c r="M137" s="34"/>
      <c r="N137" s="37"/>
      <c r="O137" s="28"/>
      <c r="P137" s="24"/>
      <c r="Q137" s="47"/>
      <c r="R137" s="48"/>
      <c r="S137" s="48"/>
      <c r="T137" s="48"/>
      <c r="U137" s="49"/>
    </row>
    <row r="138" spans="1:22" x14ac:dyDescent="0.25">
      <c r="A138" s="21">
        <v>123855</v>
      </c>
      <c r="B138" s="7" t="s">
        <v>10</v>
      </c>
      <c r="C138" s="18" t="s">
        <v>32</v>
      </c>
      <c r="D138" s="2">
        <v>1.3773148148148147E-3</v>
      </c>
      <c r="E138" s="3">
        <v>1</v>
      </c>
      <c r="F138" s="4">
        <f t="shared" si="294"/>
        <v>1.3773148148148147E-3</v>
      </c>
      <c r="G138" s="25">
        <f t="shared" si="272"/>
        <v>1.392403978052126E-3</v>
      </c>
      <c r="H138" s="26">
        <f t="shared" ref="H138" si="300">G138*86400</f>
        <v>120.30370370370369</v>
      </c>
      <c r="I138" s="29">
        <v>295.01</v>
      </c>
      <c r="J138" s="29">
        <v>1158.6600000000001</v>
      </c>
      <c r="K138" s="30">
        <f t="shared" ref="K138" si="301">SUM(I138:J140)</f>
        <v>1453.67</v>
      </c>
      <c r="L138" s="31">
        <f t="shared" ref="L138" si="302">H138/K138</f>
        <v>8.2758606632663323E-2</v>
      </c>
      <c r="M138" s="32">
        <f t="shared" ref="M138" si="303">L138*K138</f>
        <v>120.3037037037037</v>
      </c>
      <c r="N138" s="35">
        <v>5.9837962962962959E-4</v>
      </c>
      <c r="O138" s="26">
        <f t="shared" si="277"/>
        <v>52</v>
      </c>
      <c r="P138" s="22">
        <f t="shared" ref="P138" si="304">O138/H138</f>
        <v>0.43223939412597751</v>
      </c>
      <c r="Q138" s="41"/>
      <c r="R138" s="42"/>
      <c r="S138" s="42"/>
      <c r="T138" s="42"/>
      <c r="U138" s="43"/>
      <c r="V138" s="17">
        <f>AVERAGE(L138,L144)</f>
        <v>8.5835945867107855E-2</v>
      </c>
    </row>
    <row r="139" spans="1:22" x14ac:dyDescent="0.25">
      <c r="A139" s="19"/>
      <c r="B139" s="7" t="s">
        <v>10</v>
      </c>
      <c r="C139" s="19"/>
      <c r="D139" s="2">
        <v>2.0995370370370373E-2</v>
      </c>
      <c r="E139" s="3">
        <v>15</v>
      </c>
      <c r="F139" s="4">
        <f t="shared" si="294"/>
        <v>1.3996913580246915E-3</v>
      </c>
      <c r="G139" s="25"/>
      <c r="H139" s="27"/>
      <c r="I139" s="29"/>
      <c r="J139" s="29"/>
      <c r="K139" s="30"/>
      <c r="L139" s="31"/>
      <c r="M139" s="33"/>
      <c r="N139" s="36"/>
      <c r="O139" s="27"/>
      <c r="P139" s="23"/>
      <c r="Q139" s="44"/>
      <c r="R139" s="45"/>
      <c r="S139" s="45"/>
      <c r="T139" s="45"/>
      <c r="U139" s="46"/>
    </row>
    <row r="140" spans="1:22" x14ac:dyDescent="0.25">
      <c r="A140" s="19"/>
      <c r="B140" s="7" t="s">
        <v>10</v>
      </c>
      <c r="C140" s="20"/>
      <c r="D140" s="2">
        <v>6.3009259259259265E-2</v>
      </c>
      <c r="E140" s="3">
        <v>45</v>
      </c>
      <c r="F140" s="4">
        <f t="shared" si="294"/>
        <v>1.4002057613168725E-3</v>
      </c>
      <c r="G140" s="25"/>
      <c r="H140" s="28"/>
      <c r="I140" s="29"/>
      <c r="J140" s="29"/>
      <c r="K140" s="30"/>
      <c r="L140" s="31"/>
      <c r="M140" s="34"/>
      <c r="N140" s="37"/>
      <c r="O140" s="28"/>
      <c r="P140" s="24"/>
      <c r="Q140" s="47"/>
      <c r="R140" s="48"/>
      <c r="S140" s="48"/>
      <c r="T140" s="48"/>
      <c r="U140" s="49"/>
    </row>
    <row r="141" spans="1:22" x14ac:dyDescent="0.25">
      <c r="A141" s="19"/>
      <c r="B141" s="7" t="s">
        <v>11</v>
      </c>
      <c r="C141" s="18" t="s">
        <v>32</v>
      </c>
      <c r="F141" s="4" t="e">
        <f t="shared" si="294"/>
        <v>#DIV/0!</v>
      </c>
      <c r="G141" s="25" t="e">
        <f t="shared" si="272"/>
        <v>#DIV/0!</v>
      </c>
      <c r="H141" s="26" t="e">
        <f t="shared" ref="H141" si="305">G141*86400</f>
        <v>#DIV/0!</v>
      </c>
      <c r="I141" s="29"/>
      <c r="J141" s="29"/>
      <c r="K141" s="30">
        <f t="shared" ref="K141" si="306">SUM(I141:J143)</f>
        <v>0</v>
      </c>
      <c r="L141" s="31" t="e">
        <f t="shared" ref="L141" si="307">H141/K141</f>
        <v>#DIV/0!</v>
      </c>
      <c r="M141" s="32" t="e">
        <f t="shared" ref="M141" si="308">L141*K141</f>
        <v>#DIV/0!</v>
      </c>
      <c r="N141" s="35"/>
      <c r="O141" s="26">
        <f t="shared" si="277"/>
        <v>0</v>
      </c>
      <c r="P141" s="22" t="e">
        <f t="shared" ref="P141" si="309">O141/H141</f>
        <v>#DIV/0!</v>
      </c>
      <c r="Q141" s="41"/>
      <c r="R141" s="42"/>
      <c r="S141" s="42"/>
      <c r="T141" s="42"/>
      <c r="U141" s="43"/>
    </row>
    <row r="142" spans="1:22" x14ac:dyDescent="0.25">
      <c r="A142" s="19"/>
      <c r="B142" s="7" t="s">
        <v>11</v>
      </c>
      <c r="C142" s="19"/>
      <c r="F142" s="4" t="e">
        <f t="shared" si="294"/>
        <v>#DIV/0!</v>
      </c>
      <c r="G142" s="25"/>
      <c r="H142" s="27"/>
      <c r="I142" s="29"/>
      <c r="J142" s="29"/>
      <c r="K142" s="30"/>
      <c r="L142" s="31"/>
      <c r="M142" s="33"/>
      <c r="N142" s="36"/>
      <c r="O142" s="27"/>
      <c r="P142" s="23"/>
      <c r="Q142" s="44"/>
      <c r="R142" s="45"/>
      <c r="S142" s="45"/>
      <c r="T142" s="45"/>
      <c r="U142" s="46"/>
    </row>
    <row r="143" spans="1:22" x14ac:dyDescent="0.25">
      <c r="A143" s="20"/>
      <c r="B143" s="7" t="s">
        <v>11</v>
      </c>
      <c r="C143" s="20"/>
      <c r="F143" s="4" t="e">
        <f t="shared" si="294"/>
        <v>#DIV/0!</v>
      </c>
      <c r="G143" s="25"/>
      <c r="H143" s="28"/>
      <c r="I143" s="29"/>
      <c r="J143" s="29"/>
      <c r="K143" s="30"/>
      <c r="L143" s="31"/>
      <c r="M143" s="34"/>
      <c r="N143" s="37"/>
      <c r="O143" s="28"/>
      <c r="P143" s="24"/>
      <c r="Q143" s="47"/>
      <c r="R143" s="48"/>
      <c r="S143" s="48"/>
      <c r="T143" s="48"/>
      <c r="U143" s="49"/>
    </row>
    <row r="144" spans="1:22" x14ac:dyDescent="0.25">
      <c r="A144" s="21">
        <v>103951</v>
      </c>
      <c r="B144" s="7" t="s">
        <v>10</v>
      </c>
      <c r="C144" s="18" t="s">
        <v>32</v>
      </c>
      <c r="D144" s="2">
        <v>2.6620370370370372E-4</v>
      </c>
      <c r="E144" s="3">
        <v>1</v>
      </c>
      <c r="F144" s="4">
        <f t="shared" si="294"/>
        <v>2.6620370370370372E-4</v>
      </c>
      <c r="G144" s="25">
        <f t="shared" si="272"/>
        <v>2.7141191912828042E-4</v>
      </c>
      <c r="H144" s="26">
        <f t="shared" ref="H144" si="310">G144*86400</f>
        <v>23.44998981268343</v>
      </c>
      <c r="I144" s="29">
        <v>46.5</v>
      </c>
      <c r="J144" s="29">
        <v>217.24</v>
      </c>
      <c r="K144" s="30">
        <f t="shared" ref="K144" si="311">SUM(I144:J146)</f>
        <v>263.74</v>
      </c>
      <c r="L144" s="31">
        <f t="shared" ref="L144" si="312">H144/K144</f>
        <v>8.89132851015524E-2</v>
      </c>
      <c r="M144" s="32">
        <f t="shared" ref="M144" si="313">L144*K144</f>
        <v>23.44998981268343</v>
      </c>
      <c r="N144" s="35">
        <v>1.0381944444444447E-4</v>
      </c>
      <c r="O144" s="26">
        <f t="shared" si="277"/>
        <v>9</v>
      </c>
      <c r="P144" s="22">
        <f t="shared" ref="P144" si="314">O144/H144</f>
        <v>0.38379547589961666</v>
      </c>
      <c r="Q144" s="41"/>
      <c r="R144" s="42"/>
      <c r="S144" s="42"/>
      <c r="T144" s="42"/>
      <c r="U144" s="43"/>
    </row>
    <row r="145" spans="1:22" x14ac:dyDescent="0.25">
      <c r="A145" s="19"/>
      <c r="B145" s="7" t="s">
        <v>10</v>
      </c>
      <c r="C145" s="19"/>
      <c r="D145" s="2">
        <v>9.7245370370370357E-2</v>
      </c>
      <c r="E145" s="3">
        <v>355</v>
      </c>
      <c r="F145" s="4">
        <f t="shared" si="294"/>
        <v>2.7393062076160664E-4</v>
      </c>
      <c r="G145" s="25"/>
      <c r="H145" s="27"/>
      <c r="I145" s="29"/>
      <c r="J145" s="29"/>
      <c r="K145" s="30"/>
      <c r="L145" s="31"/>
      <c r="M145" s="33"/>
      <c r="N145" s="36"/>
      <c r="O145" s="27"/>
      <c r="P145" s="23"/>
      <c r="Q145" s="44"/>
      <c r="R145" s="45"/>
      <c r="S145" s="45"/>
      <c r="T145" s="45"/>
      <c r="U145" s="46"/>
    </row>
    <row r="146" spans="1:22" x14ac:dyDescent="0.25">
      <c r="A146" s="19"/>
      <c r="B146" s="7" t="s">
        <v>10</v>
      </c>
      <c r="C146" s="20"/>
      <c r="D146" s="2">
        <v>0.29685185185185187</v>
      </c>
      <c r="E146" s="3">
        <v>1083</v>
      </c>
      <c r="F146" s="4">
        <f t="shared" si="294"/>
        <v>2.741014329195308E-4</v>
      </c>
      <c r="G146" s="25"/>
      <c r="H146" s="28"/>
      <c r="I146" s="29"/>
      <c r="J146" s="29"/>
      <c r="K146" s="30"/>
      <c r="L146" s="31"/>
      <c r="M146" s="34"/>
      <c r="N146" s="37"/>
      <c r="O146" s="28"/>
      <c r="P146" s="24"/>
      <c r="Q146" s="47"/>
      <c r="R146" s="48"/>
      <c r="S146" s="48"/>
      <c r="T146" s="48"/>
      <c r="U146" s="49"/>
    </row>
    <row r="147" spans="1:22" x14ac:dyDescent="0.25">
      <c r="A147" s="19"/>
      <c r="B147" s="7" t="s">
        <v>11</v>
      </c>
      <c r="C147" s="18" t="s">
        <v>32</v>
      </c>
      <c r="F147" s="4" t="e">
        <f t="shared" si="294"/>
        <v>#DIV/0!</v>
      </c>
      <c r="G147" s="25" t="e">
        <f t="shared" si="272"/>
        <v>#DIV/0!</v>
      </c>
      <c r="H147" s="26" t="e">
        <f t="shared" ref="H147" si="315">G147*86400</f>
        <v>#DIV/0!</v>
      </c>
      <c r="I147" s="29"/>
      <c r="J147" s="29"/>
      <c r="K147" s="30">
        <f t="shared" ref="K147" si="316">SUM(I147:J149)</f>
        <v>0</v>
      </c>
      <c r="L147" s="31" t="e">
        <f t="shared" ref="L147" si="317">H147/K147</f>
        <v>#DIV/0!</v>
      </c>
      <c r="M147" s="32" t="e">
        <f t="shared" ref="M147" si="318">L147*K147</f>
        <v>#DIV/0!</v>
      </c>
      <c r="N147" s="35"/>
      <c r="O147" s="26">
        <f t="shared" si="277"/>
        <v>0</v>
      </c>
      <c r="P147" s="22" t="e">
        <f t="shared" ref="P147" si="319">O147/H147</f>
        <v>#DIV/0!</v>
      </c>
      <c r="Q147" s="41"/>
      <c r="R147" s="42"/>
      <c r="S147" s="42"/>
      <c r="T147" s="42"/>
      <c r="U147" s="43"/>
    </row>
    <row r="148" spans="1:22" x14ac:dyDescent="0.25">
      <c r="A148" s="19"/>
      <c r="B148" s="7" t="s">
        <v>11</v>
      </c>
      <c r="C148" s="19"/>
      <c r="F148" s="4" t="e">
        <f t="shared" si="294"/>
        <v>#DIV/0!</v>
      </c>
      <c r="G148" s="25"/>
      <c r="H148" s="27"/>
      <c r="I148" s="29"/>
      <c r="J148" s="29"/>
      <c r="K148" s="30"/>
      <c r="L148" s="31"/>
      <c r="M148" s="33"/>
      <c r="N148" s="36"/>
      <c r="O148" s="27"/>
      <c r="P148" s="23"/>
      <c r="Q148" s="44"/>
      <c r="R148" s="45"/>
      <c r="S148" s="45"/>
      <c r="T148" s="45"/>
      <c r="U148" s="46"/>
    </row>
    <row r="149" spans="1:22" x14ac:dyDescent="0.25">
      <c r="A149" s="20"/>
      <c r="B149" s="7" t="s">
        <v>11</v>
      </c>
      <c r="C149" s="20"/>
      <c r="F149" s="4" t="e">
        <f t="shared" si="294"/>
        <v>#DIV/0!</v>
      </c>
      <c r="G149" s="25"/>
      <c r="H149" s="28"/>
      <c r="I149" s="29"/>
      <c r="J149" s="29"/>
      <c r="K149" s="30"/>
      <c r="L149" s="31"/>
      <c r="M149" s="34"/>
      <c r="N149" s="37"/>
      <c r="O149" s="28"/>
      <c r="P149" s="24"/>
      <c r="Q149" s="47"/>
      <c r="R149" s="48"/>
      <c r="S149" s="48"/>
      <c r="T149" s="48"/>
      <c r="U149" s="49"/>
    </row>
    <row r="150" spans="1:22" x14ac:dyDescent="0.25">
      <c r="A150" s="21">
        <v>4981</v>
      </c>
      <c r="B150" s="7" t="s">
        <v>10</v>
      </c>
      <c r="C150" s="18" t="s">
        <v>33</v>
      </c>
      <c r="F150" s="4" t="e">
        <f t="shared" ref="F150:F155" si="320">D150/E150</f>
        <v>#DIV/0!</v>
      </c>
      <c r="G150" s="25" t="e">
        <f t="shared" si="272"/>
        <v>#DIV/0!</v>
      </c>
      <c r="H150" s="26" t="e">
        <f t="shared" ref="H150" si="321">G150*86400</f>
        <v>#DIV/0!</v>
      </c>
      <c r="I150" s="29"/>
      <c r="J150" s="29"/>
      <c r="K150" s="30">
        <f t="shared" ref="K150" si="322">SUM(I150:J152)</f>
        <v>0</v>
      </c>
      <c r="L150" s="31" t="e">
        <f t="shared" ref="L150" si="323">H150/K150</f>
        <v>#DIV/0!</v>
      </c>
      <c r="M150" s="32" t="e">
        <f t="shared" ref="M150" si="324">L150*K150</f>
        <v>#DIV/0!</v>
      </c>
      <c r="N150" s="35"/>
      <c r="O150" s="26">
        <f t="shared" si="277"/>
        <v>0</v>
      </c>
      <c r="P150" s="22" t="e">
        <f t="shared" ref="P150" si="325">O150/H150</f>
        <v>#DIV/0!</v>
      </c>
      <c r="Q150" s="41"/>
      <c r="R150" s="42"/>
      <c r="S150" s="42"/>
      <c r="T150" s="42"/>
      <c r="U150" s="43"/>
    </row>
    <row r="151" spans="1:22" x14ac:dyDescent="0.25">
      <c r="A151" s="19"/>
      <c r="B151" s="7" t="s">
        <v>10</v>
      </c>
      <c r="C151" s="19"/>
      <c r="F151" s="4" t="e">
        <f t="shared" si="320"/>
        <v>#DIV/0!</v>
      </c>
      <c r="G151" s="25"/>
      <c r="H151" s="27"/>
      <c r="I151" s="29"/>
      <c r="J151" s="29"/>
      <c r="K151" s="30"/>
      <c r="L151" s="31"/>
      <c r="M151" s="33"/>
      <c r="N151" s="36"/>
      <c r="O151" s="27"/>
      <c r="P151" s="23"/>
      <c r="Q151" s="44"/>
      <c r="R151" s="45"/>
      <c r="S151" s="45"/>
      <c r="T151" s="45"/>
      <c r="U151" s="46"/>
    </row>
    <row r="152" spans="1:22" x14ac:dyDescent="0.25">
      <c r="A152" s="19"/>
      <c r="B152" s="7" t="s">
        <v>10</v>
      </c>
      <c r="C152" s="20"/>
      <c r="F152" s="4" t="e">
        <f t="shared" si="320"/>
        <v>#DIV/0!</v>
      </c>
      <c r="G152" s="25"/>
      <c r="H152" s="28"/>
      <c r="I152" s="29"/>
      <c r="J152" s="29"/>
      <c r="K152" s="30"/>
      <c r="L152" s="31"/>
      <c r="M152" s="34"/>
      <c r="N152" s="37"/>
      <c r="O152" s="28"/>
      <c r="P152" s="24"/>
      <c r="Q152" s="47"/>
      <c r="R152" s="48"/>
      <c r="S152" s="48"/>
      <c r="T152" s="48"/>
      <c r="U152" s="49"/>
    </row>
    <row r="153" spans="1:22" x14ac:dyDescent="0.25">
      <c r="A153" s="19"/>
      <c r="B153" s="7" t="s">
        <v>11</v>
      </c>
      <c r="C153" s="18" t="s">
        <v>33</v>
      </c>
      <c r="D153" s="2">
        <v>1.1574074074074073E-4</v>
      </c>
      <c r="E153" s="3">
        <v>1</v>
      </c>
      <c r="F153" s="4">
        <f t="shared" si="320"/>
        <v>1.1574074074074073E-4</v>
      </c>
      <c r="G153" s="25">
        <f t="shared" si="272"/>
        <v>1.1450817700817699E-4</v>
      </c>
      <c r="H153" s="26">
        <f t="shared" ref="H153" si="326">G153*86400</f>
        <v>9.8935064935064929</v>
      </c>
      <c r="I153" s="29">
        <v>106.81</v>
      </c>
      <c r="J153" s="29">
        <v>245.83</v>
      </c>
      <c r="K153" s="30">
        <f t="shared" ref="K153" si="327">SUM(I153:J155)</f>
        <v>352.64</v>
      </c>
      <c r="L153" s="31">
        <f t="shared" ref="L153" si="328">H153/K153</f>
        <v>2.8055542461168596E-2</v>
      </c>
      <c r="M153" s="32">
        <f t="shared" ref="M153" si="329">L153*K153</f>
        <v>9.8935064935064929</v>
      </c>
      <c r="N153" s="35"/>
      <c r="O153" s="26">
        <f t="shared" si="277"/>
        <v>0</v>
      </c>
      <c r="P153" s="22">
        <f t="shared" ref="P153" si="330">O153/H153</f>
        <v>0</v>
      </c>
      <c r="Q153" s="41" t="s">
        <v>36</v>
      </c>
      <c r="R153" s="42"/>
      <c r="S153" s="42"/>
      <c r="T153" s="42"/>
      <c r="U153" s="43"/>
      <c r="V153" s="17">
        <f>AVERAGE(L153,L159)</f>
        <v>3.6865143959835929E-2</v>
      </c>
    </row>
    <row r="154" spans="1:22" x14ac:dyDescent="0.25">
      <c r="A154" s="19"/>
      <c r="B154" s="7" t="s">
        <v>11</v>
      </c>
      <c r="C154" s="19"/>
      <c r="D154" s="2">
        <v>3.5092592592592592E-2</v>
      </c>
      <c r="E154" s="3">
        <v>308</v>
      </c>
      <c r="F154" s="4">
        <f t="shared" si="320"/>
        <v>1.1393698893698894E-4</v>
      </c>
      <c r="G154" s="25"/>
      <c r="H154" s="27"/>
      <c r="I154" s="29"/>
      <c r="J154" s="29"/>
      <c r="K154" s="30"/>
      <c r="L154" s="31"/>
      <c r="M154" s="33"/>
      <c r="N154" s="36"/>
      <c r="O154" s="27"/>
      <c r="P154" s="23"/>
      <c r="Q154" s="44"/>
      <c r="R154" s="45"/>
      <c r="S154" s="45"/>
      <c r="T154" s="45"/>
      <c r="U154" s="46"/>
    </row>
    <row r="155" spans="1:22" x14ac:dyDescent="0.25">
      <c r="A155" s="20"/>
      <c r="B155" s="7" t="s">
        <v>11</v>
      </c>
      <c r="C155" s="20"/>
      <c r="D155" s="2">
        <v>0.11270833333333334</v>
      </c>
      <c r="E155" s="3">
        <v>990</v>
      </c>
      <c r="F155" s="4">
        <f t="shared" si="320"/>
        <v>1.1384680134680136E-4</v>
      </c>
      <c r="G155" s="25"/>
      <c r="H155" s="28"/>
      <c r="I155" s="29"/>
      <c r="J155" s="29"/>
      <c r="K155" s="30"/>
      <c r="L155" s="31"/>
      <c r="M155" s="34"/>
      <c r="N155" s="37"/>
      <c r="O155" s="28"/>
      <c r="P155" s="24"/>
      <c r="Q155" s="47"/>
      <c r="R155" s="48"/>
      <c r="S155" s="48"/>
      <c r="T155" s="48"/>
      <c r="U155" s="49"/>
    </row>
    <row r="156" spans="1:22" x14ac:dyDescent="0.25">
      <c r="A156" s="21">
        <v>79562</v>
      </c>
      <c r="B156" s="7" t="s">
        <v>10</v>
      </c>
      <c r="C156" s="18" t="s">
        <v>33</v>
      </c>
      <c r="F156" s="4" t="e">
        <f t="shared" si="294"/>
        <v>#DIV/0!</v>
      </c>
      <c r="G156" s="25" t="e">
        <f t="shared" si="272"/>
        <v>#DIV/0!</v>
      </c>
      <c r="H156" s="26" t="e">
        <f t="shared" ref="H156" si="331">G156*86400</f>
        <v>#DIV/0!</v>
      </c>
      <c r="I156" s="29"/>
      <c r="J156" s="29"/>
      <c r="K156" s="30">
        <f t="shared" ref="K156" si="332">SUM(I156:J158)</f>
        <v>0</v>
      </c>
      <c r="L156" s="31" t="e">
        <f t="shared" ref="L156" si="333">H156/K156</f>
        <v>#DIV/0!</v>
      </c>
      <c r="M156" s="32" t="e">
        <f t="shared" ref="M156" si="334">L156*K156</f>
        <v>#DIV/0!</v>
      </c>
      <c r="N156" s="35"/>
      <c r="O156" s="26">
        <f t="shared" si="277"/>
        <v>0</v>
      </c>
      <c r="P156" s="22" t="e">
        <f t="shared" ref="P156" si="335">O156/H156</f>
        <v>#DIV/0!</v>
      </c>
      <c r="Q156" s="41"/>
      <c r="R156" s="42"/>
      <c r="S156" s="42"/>
      <c r="T156" s="42"/>
      <c r="U156" s="43"/>
    </row>
    <row r="157" spans="1:22" x14ac:dyDescent="0.25">
      <c r="A157" s="19"/>
      <c r="B157" s="7" t="s">
        <v>10</v>
      </c>
      <c r="C157" s="19"/>
      <c r="F157" s="4" t="e">
        <f t="shared" si="294"/>
        <v>#DIV/0!</v>
      </c>
      <c r="G157" s="25"/>
      <c r="H157" s="27"/>
      <c r="I157" s="29"/>
      <c r="J157" s="29"/>
      <c r="K157" s="30"/>
      <c r="L157" s="31"/>
      <c r="M157" s="33"/>
      <c r="N157" s="36"/>
      <c r="O157" s="27"/>
      <c r="P157" s="23"/>
      <c r="Q157" s="44"/>
      <c r="R157" s="45"/>
      <c r="S157" s="45"/>
      <c r="T157" s="45"/>
      <c r="U157" s="46"/>
    </row>
    <row r="158" spans="1:22" x14ac:dyDescent="0.25">
      <c r="A158" s="19"/>
      <c r="B158" s="7" t="s">
        <v>10</v>
      </c>
      <c r="C158" s="20"/>
      <c r="F158" s="4" t="e">
        <f t="shared" si="294"/>
        <v>#DIV/0!</v>
      </c>
      <c r="G158" s="25"/>
      <c r="H158" s="28"/>
      <c r="I158" s="29"/>
      <c r="J158" s="29"/>
      <c r="K158" s="30"/>
      <c r="L158" s="31"/>
      <c r="M158" s="34"/>
      <c r="N158" s="37"/>
      <c r="O158" s="28"/>
      <c r="P158" s="24"/>
      <c r="Q158" s="47"/>
      <c r="R158" s="48"/>
      <c r="S158" s="48"/>
      <c r="T158" s="48"/>
      <c r="U158" s="49"/>
    </row>
    <row r="159" spans="1:22" x14ac:dyDescent="0.25">
      <c r="A159" s="19"/>
      <c r="B159" s="7" t="s">
        <v>11</v>
      </c>
      <c r="C159" s="18" t="s">
        <v>33</v>
      </c>
      <c r="D159" s="2">
        <v>4.2824074074074075E-4</v>
      </c>
      <c r="E159" s="3">
        <v>1</v>
      </c>
      <c r="F159" s="4">
        <f t="shared" si="294"/>
        <v>4.2824074074074075E-4</v>
      </c>
      <c r="G159" s="25">
        <f t="shared" si="272"/>
        <v>4.2904128086419758E-4</v>
      </c>
      <c r="H159" s="26">
        <f t="shared" ref="H159" si="336">G159*86400</f>
        <v>37.069166666666668</v>
      </c>
      <c r="I159" s="29">
        <v>181.74</v>
      </c>
      <c r="J159" s="29">
        <v>629.85</v>
      </c>
      <c r="K159" s="30">
        <f t="shared" ref="K159" si="337">SUM(I159:J161)</f>
        <v>811.59</v>
      </c>
      <c r="L159" s="31">
        <f t="shared" ref="L159" si="338">H159/K159</f>
        <v>4.5674745458503266E-2</v>
      </c>
      <c r="M159" s="32">
        <f t="shared" ref="M159" si="339">L159*K159</f>
        <v>37.069166666666668</v>
      </c>
      <c r="N159" s="35"/>
      <c r="O159" s="26">
        <f t="shared" si="277"/>
        <v>0</v>
      </c>
      <c r="P159" s="22">
        <f t="shared" ref="P159" si="340">O159/H159</f>
        <v>0</v>
      </c>
      <c r="Q159" s="41"/>
      <c r="R159" s="42"/>
      <c r="S159" s="42"/>
      <c r="T159" s="42"/>
      <c r="U159" s="43"/>
    </row>
    <row r="160" spans="1:22" x14ac:dyDescent="0.25">
      <c r="A160" s="19"/>
      <c r="B160" s="7" t="s">
        <v>11</v>
      </c>
      <c r="C160" s="19"/>
      <c r="D160" s="2">
        <v>2.148148148148148E-2</v>
      </c>
      <c r="E160" s="3">
        <v>50</v>
      </c>
      <c r="F160" s="4">
        <f t="shared" si="294"/>
        <v>4.2962962962962958E-4</v>
      </c>
      <c r="G160" s="25"/>
      <c r="H160" s="27"/>
      <c r="I160" s="29"/>
      <c r="J160" s="29"/>
      <c r="K160" s="30"/>
      <c r="L160" s="31"/>
      <c r="M160" s="33"/>
      <c r="N160" s="36"/>
      <c r="O160" s="27"/>
      <c r="P160" s="23"/>
      <c r="Q160" s="44"/>
      <c r="R160" s="45"/>
      <c r="S160" s="45"/>
      <c r="T160" s="45"/>
      <c r="U160" s="46"/>
    </row>
    <row r="161" spans="1:21" x14ac:dyDescent="0.25">
      <c r="A161" s="20"/>
      <c r="B161" s="7" t="s">
        <v>11</v>
      </c>
      <c r="C161" s="20"/>
      <c r="D161" s="2">
        <v>6.8680555555555564E-2</v>
      </c>
      <c r="E161" s="3">
        <v>160</v>
      </c>
      <c r="F161" s="4">
        <f t="shared" si="294"/>
        <v>4.2925347222222225E-4</v>
      </c>
      <c r="G161" s="25"/>
      <c r="H161" s="28"/>
      <c r="I161" s="29"/>
      <c r="J161" s="29"/>
      <c r="K161" s="30"/>
      <c r="L161" s="31"/>
      <c r="M161" s="34"/>
      <c r="N161" s="37"/>
      <c r="O161" s="28"/>
      <c r="P161" s="24"/>
      <c r="Q161" s="47"/>
      <c r="R161" s="48"/>
      <c r="S161" s="48"/>
      <c r="T161" s="48"/>
      <c r="U161" s="49"/>
    </row>
    <row r="162" spans="1:21" x14ac:dyDescent="0.25">
      <c r="F162" s="4" t="e">
        <f t="shared" si="294"/>
        <v>#DIV/0!</v>
      </c>
      <c r="Q162" s="55"/>
      <c r="R162" s="55"/>
      <c r="S162" s="55"/>
      <c r="T162" s="55"/>
      <c r="U162" s="55"/>
    </row>
    <row r="163" spans="1:21" x14ac:dyDescent="0.25">
      <c r="F163" s="4" t="e">
        <f t="shared" si="294"/>
        <v>#DIV/0!</v>
      </c>
      <c r="Q163" s="55"/>
      <c r="R163" s="55"/>
      <c r="S163" s="55"/>
      <c r="T163" s="55"/>
      <c r="U163" s="55"/>
    </row>
    <row r="164" spans="1:21" x14ac:dyDescent="0.25">
      <c r="F164" s="4" t="e">
        <f t="shared" si="294"/>
        <v>#DIV/0!</v>
      </c>
      <c r="Q164" s="55"/>
      <c r="R164" s="55"/>
      <c r="S164" s="55"/>
      <c r="T164" s="55"/>
      <c r="U164" s="55"/>
    </row>
    <row r="165" spans="1:21" x14ac:dyDescent="0.25">
      <c r="F165" s="4" t="e">
        <f t="shared" si="294"/>
        <v>#DIV/0!</v>
      </c>
      <c r="Q165" s="55"/>
      <c r="R165" s="55"/>
      <c r="S165" s="55"/>
      <c r="T165" s="55"/>
      <c r="U165" s="55"/>
    </row>
    <row r="166" spans="1:21" x14ac:dyDescent="0.25">
      <c r="F166" s="4" t="e">
        <f t="shared" si="294"/>
        <v>#DIV/0!</v>
      </c>
      <c r="Q166" s="55"/>
      <c r="R166" s="55"/>
      <c r="S166" s="55"/>
      <c r="T166" s="55"/>
      <c r="U166" s="55"/>
    </row>
    <row r="167" spans="1:21" x14ac:dyDescent="0.25">
      <c r="F167" s="4" t="e">
        <f t="shared" si="294"/>
        <v>#DIV/0!</v>
      </c>
      <c r="Q167" s="55"/>
      <c r="R167" s="55"/>
      <c r="S167" s="55"/>
      <c r="T167" s="55"/>
      <c r="U167" s="55"/>
    </row>
    <row r="168" spans="1:21" x14ac:dyDescent="0.25">
      <c r="F168" s="4" t="e">
        <f t="shared" si="294"/>
        <v>#DIV/0!</v>
      </c>
      <c r="Q168" s="55"/>
      <c r="R168" s="55"/>
      <c r="S168" s="55"/>
      <c r="T168" s="55"/>
      <c r="U168" s="55"/>
    </row>
    <row r="169" spans="1:21" x14ac:dyDescent="0.25">
      <c r="F169" s="4" t="e">
        <f t="shared" si="294"/>
        <v>#DIV/0!</v>
      </c>
      <c r="Q169" s="55"/>
      <c r="R169" s="55"/>
      <c r="S169" s="55"/>
      <c r="T169" s="55"/>
      <c r="U169" s="55"/>
    </row>
    <row r="170" spans="1:21" x14ac:dyDescent="0.25">
      <c r="F170" s="4" t="e">
        <f t="shared" si="294"/>
        <v>#DIV/0!</v>
      </c>
      <c r="Q170" s="55"/>
      <c r="R170" s="55"/>
      <c r="S170" s="55"/>
      <c r="T170" s="55"/>
      <c r="U170" s="55"/>
    </row>
    <row r="171" spans="1:21" x14ac:dyDescent="0.25">
      <c r="F171" s="4" t="e">
        <f t="shared" si="294"/>
        <v>#DIV/0!</v>
      </c>
      <c r="Q171" s="55"/>
      <c r="R171" s="55"/>
      <c r="S171" s="55"/>
      <c r="T171" s="55"/>
      <c r="U171" s="55"/>
    </row>
    <row r="172" spans="1:21" x14ac:dyDescent="0.25">
      <c r="F172" s="4" t="e">
        <f t="shared" si="294"/>
        <v>#DIV/0!</v>
      </c>
      <c r="Q172" s="55"/>
      <c r="R172" s="55"/>
      <c r="S172" s="55"/>
      <c r="T172" s="55"/>
      <c r="U172" s="55"/>
    </row>
    <row r="173" spans="1:21" x14ac:dyDescent="0.25">
      <c r="F173" s="4" t="e">
        <f t="shared" si="294"/>
        <v>#DIV/0!</v>
      </c>
      <c r="Q173" s="55"/>
      <c r="R173" s="55"/>
      <c r="S173" s="55"/>
      <c r="T173" s="55"/>
      <c r="U173" s="55"/>
    </row>
    <row r="174" spans="1:21" x14ac:dyDescent="0.25">
      <c r="F174" s="4" t="e">
        <f t="shared" si="294"/>
        <v>#DIV/0!</v>
      </c>
      <c r="Q174" s="55"/>
      <c r="R174" s="55"/>
      <c r="S174" s="55"/>
      <c r="T174" s="55"/>
      <c r="U174" s="55"/>
    </row>
    <row r="175" spans="1:21" x14ac:dyDescent="0.25">
      <c r="F175" s="4" t="e">
        <f t="shared" si="294"/>
        <v>#DIV/0!</v>
      </c>
      <c r="Q175" s="55"/>
      <c r="R175" s="55"/>
      <c r="S175" s="55"/>
      <c r="T175" s="55"/>
      <c r="U175" s="55"/>
    </row>
    <row r="176" spans="1:21" x14ac:dyDescent="0.25">
      <c r="F176" s="4" t="e">
        <f t="shared" si="294"/>
        <v>#DIV/0!</v>
      </c>
      <c r="Q176" s="55"/>
      <c r="R176" s="55"/>
      <c r="S176" s="55"/>
      <c r="T176" s="55"/>
      <c r="U176" s="55"/>
    </row>
    <row r="177" spans="6:21" x14ac:dyDescent="0.25">
      <c r="F177" s="4" t="e">
        <f t="shared" si="294"/>
        <v>#DIV/0!</v>
      </c>
      <c r="Q177" s="55"/>
      <c r="R177" s="55"/>
      <c r="S177" s="55"/>
      <c r="T177" s="55"/>
      <c r="U177" s="55"/>
    </row>
    <row r="178" spans="6:21" x14ac:dyDescent="0.25">
      <c r="F178" s="4" t="e">
        <f t="shared" si="294"/>
        <v>#DIV/0!</v>
      </c>
      <c r="Q178" s="55"/>
      <c r="R178" s="55"/>
      <c r="S178" s="55"/>
      <c r="T178" s="55"/>
      <c r="U178" s="55"/>
    </row>
    <row r="179" spans="6:21" x14ac:dyDescent="0.25">
      <c r="F179" s="4" t="e">
        <f t="shared" si="294"/>
        <v>#DIV/0!</v>
      </c>
      <c r="Q179" s="55"/>
      <c r="R179" s="55"/>
      <c r="S179" s="55"/>
      <c r="T179" s="55"/>
      <c r="U179" s="55"/>
    </row>
    <row r="180" spans="6:21" x14ac:dyDescent="0.25">
      <c r="F180" s="4" t="e">
        <f t="shared" si="294"/>
        <v>#DIV/0!</v>
      </c>
      <c r="Q180" s="55"/>
      <c r="R180" s="55"/>
      <c r="S180" s="55"/>
      <c r="T180" s="55"/>
      <c r="U180" s="55"/>
    </row>
    <row r="181" spans="6:21" x14ac:dyDescent="0.25">
      <c r="F181" s="4" t="e">
        <f t="shared" si="294"/>
        <v>#DIV/0!</v>
      </c>
      <c r="Q181" s="55"/>
      <c r="R181" s="55"/>
      <c r="S181" s="55"/>
      <c r="T181" s="55"/>
      <c r="U181" s="55"/>
    </row>
    <row r="182" spans="6:21" x14ac:dyDescent="0.25">
      <c r="F182" s="4" t="e">
        <f t="shared" si="294"/>
        <v>#DIV/0!</v>
      </c>
      <c r="Q182" s="55"/>
      <c r="R182" s="55"/>
      <c r="S182" s="55"/>
      <c r="T182" s="55"/>
      <c r="U182" s="55"/>
    </row>
    <row r="183" spans="6:21" x14ac:dyDescent="0.25">
      <c r="F183" s="4" t="e">
        <f t="shared" si="294"/>
        <v>#DIV/0!</v>
      </c>
      <c r="Q183" s="55"/>
      <c r="R183" s="55"/>
      <c r="S183" s="55"/>
      <c r="T183" s="55"/>
      <c r="U183" s="55"/>
    </row>
    <row r="184" spans="6:21" x14ac:dyDescent="0.25">
      <c r="F184" s="4" t="e">
        <f t="shared" si="294"/>
        <v>#DIV/0!</v>
      </c>
      <c r="Q184" s="55"/>
      <c r="R184" s="55"/>
      <c r="S184" s="55"/>
      <c r="T184" s="55"/>
      <c r="U184" s="55"/>
    </row>
    <row r="185" spans="6:21" x14ac:dyDescent="0.25">
      <c r="F185" s="4" t="e">
        <f t="shared" si="294"/>
        <v>#DIV/0!</v>
      </c>
      <c r="Q185" s="55"/>
      <c r="R185" s="55"/>
      <c r="S185" s="55"/>
      <c r="T185" s="55"/>
      <c r="U185" s="55"/>
    </row>
    <row r="186" spans="6:21" x14ac:dyDescent="0.25">
      <c r="F186" s="4" t="e">
        <f t="shared" si="294"/>
        <v>#DIV/0!</v>
      </c>
      <c r="Q186" s="55"/>
      <c r="R186" s="55"/>
      <c r="S186" s="55"/>
      <c r="T186" s="55"/>
      <c r="U186" s="55"/>
    </row>
    <row r="187" spans="6:21" x14ac:dyDescent="0.25">
      <c r="F187" s="4" t="e">
        <f t="shared" si="294"/>
        <v>#DIV/0!</v>
      </c>
      <c r="Q187" s="55"/>
      <c r="R187" s="55"/>
      <c r="S187" s="55"/>
      <c r="T187" s="55"/>
      <c r="U187" s="55"/>
    </row>
    <row r="188" spans="6:21" x14ac:dyDescent="0.25">
      <c r="F188" s="4" t="e">
        <f t="shared" si="294"/>
        <v>#DIV/0!</v>
      </c>
      <c r="Q188" s="55"/>
      <c r="R188" s="55"/>
      <c r="S188" s="55"/>
      <c r="T188" s="55"/>
      <c r="U188" s="55"/>
    </row>
    <row r="189" spans="6:21" x14ac:dyDescent="0.25">
      <c r="F189" s="4" t="e">
        <f t="shared" si="294"/>
        <v>#DIV/0!</v>
      </c>
      <c r="Q189" s="55"/>
      <c r="R189" s="55"/>
      <c r="S189" s="55"/>
      <c r="T189" s="55"/>
      <c r="U189" s="55"/>
    </row>
    <row r="190" spans="6:21" x14ac:dyDescent="0.25">
      <c r="F190" s="4" t="e">
        <f t="shared" si="294"/>
        <v>#DIV/0!</v>
      </c>
      <c r="Q190" s="55"/>
      <c r="R190" s="55"/>
      <c r="S190" s="55"/>
      <c r="T190" s="55"/>
      <c r="U190" s="55"/>
    </row>
    <row r="191" spans="6:21" x14ac:dyDescent="0.25">
      <c r="F191" s="4" t="e">
        <f t="shared" si="294"/>
        <v>#DIV/0!</v>
      </c>
      <c r="Q191" s="55"/>
      <c r="R191" s="55"/>
      <c r="S191" s="55"/>
      <c r="T191" s="55"/>
      <c r="U191" s="55"/>
    </row>
    <row r="192" spans="6:21" x14ac:dyDescent="0.25">
      <c r="F192" s="4" t="e">
        <f t="shared" si="294"/>
        <v>#DIV/0!</v>
      </c>
      <c r="Q192" s="55"/>
      <c r="R192" s="55"/>
      <c r="S192" s="55"/>
      <c r="T192" s="55"/>
      <c r="U192" s="55"/>
    </row>
    <row r="193" spans="6:21" x14ac:dyDescent="0.25">
      <c r="F193" s="4" t="e">
        <f t="shared" si="294"/>
        <v>#DIV/0!</v>
      </c>
      <c r="Q193" s="55"/>
      <c r="R193" s="55"/>
      <c r="S193" s="55"/>
      <c r="T193" s="55"/>
      <c r="U193" s="55"/>
    </row>
    <row r="194" spans="6:21" x14ac:dyDescent="0.25">
      <c r="F194" s="4" t="e">
        <f t="shared" si="294"/>
        <v>#DIV/0!</v>
      </c>
      <c r="Q194" s="55"/>
      <c r="R194" s="55"/>
      <c r="S194" s="55"/>
      <c r="T194" s="55"/>
      <c r="U194" s="55"/>
    </row>
    <row r="195" spans="6:21" x14ac:dyDescent="0.25">
      <c r="F195" s="4" t="e">
        <f t="shared" si="294"/>
        <v>#DIV/0!</v>
      </c>
      <c r="Q195" s="55"/>
      <c r="R195" s="55"/>
      <c r="S195" s="55"/>
      <c r="T195" s="55"/>
      <c r="U195" s="55"/>
    </row>
    <row r="196" spans="6:21" x14ac:dyDescent="0.25">
      <c r="F196" s="4" t="e">
        <f t="shared" si="294"/>
        <v>#DIV/0!</v>
      </c>
      <c r="Q196" s="55"/>
      <c r="R196" s="55"/>
      <c r="S196" s="55"/>
      <c r="T196" s="55"/>
      <c r="U196" s="55"/>
    </row>
    <row r="197" spans="6:21" x14ac:dyDescent="0.25">
      <c r="F197" s="4" t="e">
        <f t="shared" ref="F197:F260" si="341">D197/E197</f>
        <v>#DIV/0!</v>
      </c>
      <c r="Q197" s="55"/>
      <c r="R197" s="55"/>
      <c r="S197" s="55"/>
      <c r="T197" s="55"/>
      <c r="U197" s="55"/>
    </row>
    <row r="198" spans="6:21" x14ac:dyDescent="0.25">
      <c r="F198" s="4" t="e">
        <f t="shared" si="341"/>
        <v>#DIV/0!</v>
      </c>
      <c r="Q198" s="55"/>
      <c r="R198" s="55"/>
      <c r="S198" s="55"/>
      <c r="T198" s="55"/>
      <c r="U198" s="55"/>
    </row>
    <row r="199" spans="6:21" x14ac:dyDescent="0.25">
      <c r="F199" s="4" t="e">
        <f t="shared" si="341"/>
        <v>#DIV/0!</v>
      </c>
      <c r="Q199" s="55"/>
      <c r="R199" s="55"/>
      <c r="S199" s="55"/>
      <c r="T199" s="55"/>
      <c r="U199" s="55"/>
    </row>
    <row r="200" spans="6:21" x14ac:dyDescent="0.25">
      <c r="F200" s="4" t="e">
        <f t="shared" si="341"/>
        <v>#DIV/0!</v>
      </c>
      <c r="Q200" s="55"/>
      <c r="R200" s="55"/>
      <c r="S200" s="55"/>
      <c r="T200" s="55"/>
      <c r="U200" s="55"/>
    </row>
    <row r="201" spans="6:21" x14ac:dyDescent="0.25">
      <c r="F201" s="4" t="e">
        <f t="shared" si="341"/>
        <v>#DIV/0!</v>
      </c>
      <c r="Q201" s="55"/>
      <c r="R201" s="55"/>
      <c r="S201" s="55"/>
      <c r="T201" s="55"/>
      <c r="U201" s="55"/>
    </row>
    <row r="202" spans="6:21" x14ac:dyDescent="0.25">
      <c r="F202" s="4" t="e">
        <f t="shared" si="341"/>
        <v>#DIV/0!</v>
      </c>
      <c r="Q202" s="55"/>
      <c r="R202" s="55"/>
      <c r="S202" s="55"/>
      <c r="T202" s="55"/>
      <c r="U202" s="55"/>
    </row>
    <row r="203" spans="6:21" x14ac:dyDescent="0.25">
      <c r="F203" s="4" t="e">
        <f t="shared" si="341"/>
        <v>#DIV/0!</v>
      </c>
      <c r="Q203" s="55"/>
      <c r="R203" s="55"/>
      <c r="S203" s="55"/>
      <c r="T203" s="55"/>
      <c r="U203" s="55"/>
    </row>
    <row r="204" spans="6:21" x14ac:dyDescent="0.25">
      <c r="F204" s="4" t="e">
        <f t="shared" si="341"/>
        <v>#DIV/0!</v>
      </c>
      <c r="Q204" s="55"/>
      <c r="R204" s="55"/>
      <c r="S204" s="55"/>
      <c r="T204" s="55"/>
      <c r="U204" s="55"/>
    </row>
    <row r="205" spans="6:21" x14ac:dyDescent="0.25">
      <c r="F205" s="4" t="e">
        <f t="shared" si="341"/>
        <v>#DIV/0!</v>
      </c>
      <c r="Q205" s="55"/>
      <c r="R205" s="55"/>
      <c r="S205" s="55"/>
      <c r="T205" s="55"/>
      <c r="U205" s="55"/>
    </row>
    <row r="206" spans="6:21" x14ac:dyDescent="0.25">
      <c r="F206" s="4" t="e">
        <f t="shared" si="341"/>
        <v>#DIV/0!</v>
      </c>
      <c r="Q206" s="55"/>
      <c r="R206" s="55"/>
      <c r="S206" s="55"/>
      <c r="T206" s="55"/>
      <c r="U206" s="55"/>
    </row>
    <row r="207" spans="6:21" x14ac:dyDescent="0.25">
      <c r="F207" s="4" t="e">
        <f t="shared" si="341"/>
        <v>#DIV/0!</v>
      </c>
      <c r="Q207" s="55"/>
      <c r="R207" s="55"/>
      <c r="S207" s="55"/>
      <c r="T207" s="55"/>
      <c r="U207" s="55"/>
    </row>
    <row r="208" spans="6:21" x14ac:dyDescent="0.25">
      <c r="F208" s="4" t="e">
        <f t="shared" si="341"/>
        <v>#DIV/0!</v>
      </c>
      <c r="Q208" s="55"/>
      <c r="R208" s="55"/>
      <c r="S208" s="55"/>
      <c r="T208" s="55"/>
      <c r="U208" s="55"/>
    </row>
    <row r="209" spans="6:21" x14ac:dyDescent="0.25">
      <c r="F209" s="4" t="e">
        <f t="shared" si="341"/>
        <v>#DIV/0!</v>
      </c>
      <c r="Q209" s="55"/>
      <c r="R209" s="55"/>
      <c r="S209" s="55"/>
      <c r="T209" s="55"/>
      <c r="U209" s="55"/>
    </row>
    <row r="210" spans="6:21" x14ac:dyDescent="0.25">
      <c r="F210" s="4" t="e">
        <f t="shared" si="341"/>
        <v>#DIV/0!</v>
      </c>
      <c r="Q210" s="55"/>
      <c r="R210" s="55"/>
      <c r="S210" s="55"/>
      <c r="T210" s="55"/>
      <c r="U210" s="55"/>
    </row>
    <row r="211" spans="6:21" x14ac:dyDescent="0.25">
      <c r="F211" s="4" t="e">
        <f t="shared" si="341"/>
        <v>#DIV/0!</v>
      </c>
      <c r="Q211" s="55"/>
      <c r="R211" s="55"/>
      <c r="S211" s="55"/>
      <c r="T211" s="55"/>
      <c r="U211" s="55"/>
    </row>
    <row r="212" spans="6:21" x14ac:dyDescent="0.25">
      <c r="F212" s="4" t="e">
        <f t="shared" si="341"/>
        <v>#DIV/0!</v>
      </c>
      <c r="Q212" s="55"/>
      <c r="R212" s="55"/>
      <c r="S212" s="55"/>
      <c r="T212" s="55"/>
      <c r="U212" s="55"/>
    </row>
    <row r="213" spans="6:21" x14ac:dyDescent="0.25">
      <c r="F213" s="4" t="e">
        <f t="shared" si="341"/>
        <v>#DIV/0!</v>
      </c>
      <c r="Q213" s="55"/>
      <c r="R213" s="55"/>
      <c r="S213" s="55"/>
      <c r="T213" s="55"/>
      <c r="U213" s="55"/>
    </row>
    <row r="214" spans="6:21" x14ac:dyDescent="0.25">
      <c r="F214" s="4" t="e">
        <f t="shared" si="341"/>
        <v>#DIV/0!</v>
      </c>
      <c r="Q214" s="55"/>
      <c r="R214" s="55"/>
      <c r="S214" s="55"/>
      <c r="T214" s="55"/>
      <c r="U214" s="55"/>
    </row>
    <row r="215" spans="6:21" x14ac:dyDescent="0.25">
      <c r="F215" s="4" t="e">
        <f t="shared" si="341"/>
        <v>#DIV/0!</v>
      </c>
      <c r="Q215" s="55"/>
      <c r="R215" s="55"/>
      <c r="S215" s="55"/>
      <c r="T215" s="55"/>
      <c r="U215" s="55"/>
    </row>
    <row r="216" spans="6:21" x14ac:dyDescent="0.25">
      <c r="F216" s="4" t="e">
        <f t="shared" si="341"/>
        <v>#DIV/0!</v>
      </c>
      <c r="Q216" s="55"/>
      <c r="R216" s="55"/>
      <c r="S216" s="55"/>
      <c r="T216" s="55"/>
      <c r="U216" s="55"/>
    </row>
    <row r="217" spans="6:21" x14ac:dyDescent="0.25">
      <c r="F217" s="4" t="e">
        <f t="shared" si="341"/>
        <v>#DIV/0!</v>
      </c>
      <c r="Q217" s="55"/>
      <c r="R217" s="55"/>
      <c r="S217" s="55"/>
      <c r="T217" s="55"/>
      <c r="U217" s="55"/>
    </row>
    <row r="218" spans="6:21" x14ac:dyDescent="0.25">
      <c r="F218" s="4" t="e">
        <f t="shared" si="341"/>
        <v>#DIV/0!</v>
      </c>
      <c r="Q218" s="55"/>
      <c r="R218" s="55"/>
      <c r="S218" s="55"/>
      <c r="T218" s="55"/>
      <c r="U218" s="55"/>
    </row>
    <row r="219" spans="6:21" x14ac:dyDescent="0.25">
      <c r="F219" s="4" t="e">
        <f t="shared" si="341"/>
        <v>#DIV/0!</v>
      </c>
      <c r="Q219" s="55"/>
      <c r="R219" s="55"/>
      <c r="S219" s="55"/>
      <c r="T219" s="55"/>
      <c r="U219" s="55"/>
    </row>
    <row r="220" spans="6:21" x14ac:dyDescent="0.25">
      <c r="F220" s="4" t="e">
        <f t="shared" si="341"/>
        <v>#DIV/0!</v>
      </c>
      <c r="Q220" s="55"/>
      <c r="R220" s="55"/>
      <c r="S220" s="55"/>
      <c r="T220" s="55"/>
      <c r="U220" s="55"/>
    </row>
    <row r="221" spans="6:21" x14ac:dyDescent="0.25">
      <c r="F221" s="4" t="e">
        <f t="shared" si="341"/>
        <v>#DIV/0!</v>
      </c>
      <c r="Q221" s="55"/>
      <c r="R221" s="55"/>
      <c r="S221" s="55"/>
      <c r="T221" s="55"/>
      <c r="U221" s="55"/>
    </row>
    <row r="222" spans="6:21" x14ac:dyDescent="0.25">
      <c r="F222" s="4" t="e">
        <f t="shared" si="341"/>
        <v>#DIV/0!</v>
      </c>
      <c r="Q222" s="55"/>
      <c r="R222" s="55"/>
      <c r="S222" s="55"/>
      <c r="T222" s="55"/>
      <c r="U222" s="55"/>
    </row>
    <row r="223" spans="6:21" x14ac:dyDescent="0.25">
      <c r="F223" s="4" t="e">
        <f t="shared" si="341"/>
        <v>#DIV/0!</v>
      </c>
      <c r="Q223" s="55"/>
      <c r="R223" s="55"/>
      <c r="S223" s="55"/>
      <c r="T223" s="55"/>
      <c r="U223" s="55"/>
    </row>
    <row r="224" spans="6:21" x14ac:dyDescent="0.25">
      <c r="F224" s="4" t="e">
        <f t="shared" si="341"/>
        <v>#DIV/0!</v>
      </c>
      <c r="Q224" s="55"/>
      <c r="R224" s="55"/>
      <c r="S224" s="55"/>
      <c r="T224" s="55"/>
      <c r="U224" s="55"/>
    </row>
    <row r="225" spans="6:21" x14ac:dyDescent="0.25">
      <c r="F225" s="4" t="e">
        <f t="shared" si="341"/>
        <v>#DIV/0!</v>
      </c>
      <c r="Q225" s="55"/>
      <c r="R225" s="55"/>
      <c r="S225" s="55"/>
      <c r="T225" s="55"/>
      <c r="U225" s="55"/>
    </row>
    <row r="226" spans="6:21" x14ac:dyDescent="0.25">
      <c r="F226" s="4" t="e">
        <f t="shared" si="341"/>
        <v>#DIV/0!</v>
      </c>
      <c r="Q226" s="55"/>
      <c r="R226" s="55"/>
      <c r="S226" s="55"/>
      <c r="T226" s="55"/>
      <c r="U226" s="55"/>
    </row>
    <row r="227" spans="6:21" x14ac:dyDescent="0.25">
      <c r="F227" s="4" t="e">
        <f t="shared" si="341"/>
        <v>#DIV/0!</v>
      </c>
      <c r="Q227" s="55"/>
      <c r="R227" s="55"/>
      <c r="S227" s="55"/>
      <c r="T227" s="55"/>
      <c r="U227" s="55"/>
    </row>
    <row r="228" spans="6:21" x14ac:dyDescent="0.25">
      <c r="F228" s="4" t="e">
        <f t="shared" si="341"/>
        <v>#DIV/0!</v>
      </c>
      <c r="Q228" s="55"/>
      <c r="R228" s="55"/>
      <c r="S228" s="55"/>
      <c r="T228" s="55"/>
      <c r="U228" s="55"/>
    </row>
    <row r="229" spans="6:21" x14ac:dyDescent="0.25">
      <c r="F229" s="4" t="e">
        <f t="shared" si="341"/>
        <v>#DIV/0!</v>
      </c>
      <c r="Q229" s="55"/>
      <c r="R229" s="55"/>
      <c r="S229" s="55"/>
      <c r="T229" s="55"/>
      <c r="U229" s="55"/>
    </row>
    <row r="230" spans="6:21" x14ac:dyDescent="0.25">
      <c r="F230" s="4" t="e">
        <f t="shared" si="341"/>
        <v>#DIV/0!</v>
      </c>
      <c r="Q230" s="55"/>
      <c r="R230" s="55"/>
      <c r="S230" s="55"/>
      <c r="T230" s="55"/>
      <c r="U230" s="55"/>
    </row>
    <row r="231" spans="6:21" x14ac:dyDescent="0.25">
      <c r="F231" s="4" t="e">
        <f t="shared" si="341"/>
        <v>#DIV/0!</v>
      </c>
      <c r="Q231" s="55"/>
      <c r="R231" s="55"/>
      <c r="S231" s="55"/>
      <c r="T231" s="55"/>
      <c r="U231" s="55"/>
    </row>
    <row r="232" spans="6:21" x14ac:dyDescent="0.25">
      <c r="F232" s="4" t="e">
        <f t="shared" si="341"/>
        <v>#DIV/0!</v>
      </c>
      <c r="Q232" s="55"/>
      <c r="R232" s="55"/>
      <c r="S232" s="55"/>
      <c r="T232" s="55"/>
      <c r="U232" s="55"/>
    </row>
    <row r="233" spans="6:21" x14ac:dyDescent="0.25">
      <c r="F233" s="4" t="e">
        <f t="shared" si="341"/>
        <v>#DIV/0!</v>
      </c>
      <c r="Q233" s="55"/>
      <c r="R233" s="55"/>
      <c r="S233" s="55"/>
      <c r="T233" s="55"/>
      <c r="U233" s="55"/>
    </row>
    <row r="234" spans="6:21" x14ac:dyDescent="0.25">
      <c r="F234" s="4" t="e">
        <f t="shared" si="341"/>
        <v>#DIV/0!</v>
      </c>
      <c r="Q234" s="55"/>
      <c r="R234" s="55"/>
      <c r="S234" s="55"/>
      <c r="T234" s="55"/>
      <c r="U234" s="55"/>
    </row>
    <row r="235" spans="6:21" x14ac:dyDescent="0.25">
      <c r="F235" s="4" t="e">
        <f t="shared" si="341"/>
        <v>#DIV/0!</v>
      </c>
      <c r="Q235" s="55"/>
      <c r="R235" s="55"/>
      <c r="S235" s="55"/>
      <c r="T235" s="55"/>
      <c r="U235" s="55"/>
    </row>
    <row r="236" spans="6:21" x14ac:dyDescent="0.25">
      <c r="F236" s="4" t="e">
        <f t="shared" si="341"/>
        <v>#DIV/0!</v>
      </c>
      <c r="Q236" s="55"/>
      <c r="R236" s="55"/>
      <c r="S236" s="55"/>
      <c r="T236" s="55"/>
      <c r="U236" s="55"/>
    </row>
    <row r="237" spans="6:21" x14ac:dyDescent="0.25">
      <c r="F237" s="4" t="e">
        <f t="shared" si="341"/>
        <v>#DIV/0!</v>
      </c>
      <c r="Q237" s="55"/>
      <c r="R237" s="55"/>
      <c r="S237" s="55"/>
      <c r="T237" s="55"/>
      <c r="U237" s="55"/>
    </row>
    <row r="238" spans="6:21" x14ac:dyDescent="0.25">
      <c r="F238" s="4" t="e">
        <f t="shared" si="341"/>
        <v>#DIV/0!</v>
      </c>
      <c r="Q238" s="55"/>
      <c r="R238" s="55"/>
      <c r="S238" s="55"/>
      <c r="T238" s="55"/>
      <c r="U238" s="55"/>
    </row>
    <row r="239" spans="6:21" x14ac:dyDescent="0.25">
      <c r="F239" s="4" t="e">
        <f t="shared" si="341"/>
        <v>#DIV/0!</v>
      </c>
      <c r="Q239" s="55"/>
      <c r="R239" s="55"/>
      <c r="S239" s="55"/>
      <c r="T239" s="55"/>
      <c r="U239" s="55"/>
    </row>
    <row r="240" spans="6:21" x14ac:dyDescent="0.25">
      <c r="F240" s="4" t="e">
        <f t="shared" si="341"/>
        <v>#DIV/0!</v>
      </c>
      <c r="Q240" s="55"/>
      <c r="R240" s="55"/>
      <c r="S240" s="55"/>
      <c r="T240" s="55"/>
      <c r="U240" s="55"/>
    </row>
    <row r="241" spans="6:21" x14ac:dyDescent="0.25">
      <c r="F241" s="4" t="e">
        <f t="shared" si="341"/>
        <v>#DIV/0!</v>
      </c>
      <c r="Q241" s="55"/>
      <c r="R241" s="55"/>
      <c r="S241" s="55"/>
      <c r="T241" s="55"/>
      <c r="U241" s="55"/>
    </row>
    <row r="242" spans="6:21" x14ac:dyDescent="0.25">
      <c r="F242" s="4" t="e">
        <f t="shared" si="341"/>
        <v>#DIV/0!</v>
      </c>
      <c r="Q242" s="55"/>
      <c r="R242" s="55"/>
      <c r="S242" s="55"/>
      <c r="T242" s="55"/>
      <c r="U242" s="55"/>
    </row>
    <row r="243" spans="6:21" x14ac:dyDescent="0.25">
      <c r="F243" s="4" t="e">
        <f t="shared" si="341"/>
        <v>#DIV/0!</v>
      </c>
      <c r="Q243" s="55"/>
      <c r="R243" s="55"/>
      <c r="S243" s="55"/>
      <c r="T243" s="55"/>
      <c r="U243" s="55"/>
    </row>
    <row r="244" spans="6:21" x14ac:dyDescent="0.25">
      <c r="F244" s="4" t="e">
        <f t="shared" si="341"/>
        <v>#DIV/0!</v>
      </c>
      <c r="Q244" s="55"/>
      <c r="R244" s="55"/>
      <c r="S244" s="55"/>
      <c r="T244" s="55"/>
      <c r="U244" s="55"/>
    </row>
    <row r="245" spans="6:21" x14ac:dyDescent="0.25">
      <c r="F245" s="4" t="e">
        <f t="shared" si="341"/>
        <v>#DIV/0!</v>
      </c>
      <c r="Q245" s="55"/>
      <c r="R245" s="55"/>
      <c r="S245" s="55"/>
      <c r="T245" s="55"/>
      <c r="U245" s="55"/>
    </row>
    <row r="246" spans="6:21" x14ac:dyDescent="0.25">
      <c r="F246" s="4" t="e">
        <f t="shared" si="341"/>
        <v>#DIV/0!</v>
      </c>
      <c r="Q246" s="55"/>
      <c r="R246" s="55"/>
      <c r="S246" s="55"/>
      <c r="T246" s="55"/>
      <c r="U246" s="55"/>
    </row>
    <row r="247" spans="6:21" x14ac:dyDescent="0.25">
      <c r="F247" s="4" t="e">
        <f t="shared" si="341"/>
        <v>#DIV/0!</v>
      </c>
      <c r="Q247" s="55"/>
      <c r="R247" s="55"/>
      <c r="S247" s="55"/>
      <c r="T247" s="55"/>
      <c r="U247" s="55"/>
    </row>
    <row r="248" spans="6:21" x14ac:dyDescent="0.25">
      <c r="F248" s="4" t="e">
        <f t="shared" si="341"/>
        <v>#DIV/0!</v>
      </c>
      <c r="Q248" s="55"/>
      <c r="R248" s="55"/>
      <c r="S248" s="55"/>
      <c r="T248" s="55"/>
      <c r="U248" s="55"/>
    </row>
    <row r="249" spans="6:21" x14ac:dyDescent="0.25">
      <c r="F249" s="4" t="e">
        <f t="shared" si="341"/>
        <v>#DIV/0!</v>
      </c>
      <c r="Q249" s="55"/>
      <c r="R249" s="55"/>
      <c r="S249" s="55"/>
      <c r="T249" s="55"/>
      <c r="U249" s="55"/>
    </row>
    <row r="250" spans="6:21" x14ac:dyDescent="0.25">
      <c r="F250" s="4" t="e">
        <f t="shared" si="341"/>
        <v>#DIV/0!</v>
      </c>
      <c r="Q250" s="55"/>
      <c r="R250" s="55"/>
      <c r="S250" s="55"/>
      <c r="T250" s="55"/>
      <c r="U250" s="55"/>
    </row>
    <row r="251" spans="6:21" x14ac:dyDescent="0.25">
      <c r="F251" s="4" t="e">
        <f t="shared" si="341"/>
        <v>#DIV/0!</v>
      </c>
      <c r="Q251" s="55"/>
      <c r="R251" s="55"/>
      <c r="S251" s="55"/>
      <c r="T251" s="55"/>
      <c r="U251" s="55"/>
    </row>
    <row r="252" spans="6:21" x14ac:dyDescent="0.25">
      <c r="F252" s="4" t="e">
        <f t="shared" si="341"/>
        <v>#DIV/0!</v>
      </c>
      <c r="Q252" s="55"/>
      <c r="R252" s="55"/>
      <c r="S252" s="55"/>
      <c r="T252" s="55"/>
      <c r="U252" s="55"/>
    </row>
    <row r="253" spans="6:21" x14ac:dyDescent="0.25">
      <c r="F253" s="4" t="e">
        <f t="shared" si="341"/>
        <v>#DIV/0!</v>
      </c>
      <c r="Q253" s="55"/>
      <c r="R253" s="55"/>
      <c r="S253" s="55"/>
      <c r="T253" s="55"/>
      <c r="U253" s="55"/>
    </row>
    <row r="254" spans="6:21" x14ac:dyDescent="0.25">
      <c r="F254" s="4" t="e">
        <f t="shared" si="341"/>
        <v>#DIV/0!</v>
      </c>
      <c r="Q254" s="55"/>
      <c r="R254" s="55"/>
      <c r="S254" s="55"/>
      <c r="T254" s="55"/>
      <c r="U254" s="55"/>
    </row>
    <row r="255" spans="6:21" x14ac:dyDescent="0.25">
      <c r="F255" s="4" t="e">
        <f t="shared" si="341"/>
        <v>#DIV/0!</v>
      </c>
      <c r="Q255" s="55"/>
      <c r="R255" s="55"/>
      <c r="S255" s="55"/>
      <c r="T255" s="55"/>
      <c r="U255" s="55"/>
    </row>
    <row r="256" spans="6:21" x14ac:dyDescent="0.25">
      <c r="F256" s="4" t="e">
        <f t="shared" si="341"/>
        <v>#DIV/0!</v>
      </c>
      <c r="Q256" s="55"/>
      <c r="R256" s="55"/>
      <c r="S256" s="55"/>
      <c r="T256" s="55"/>
      <c r="U256" s="55"/>
    </row>
    <row r="257" spans="6:21" x14ac:dyDescent="0.25">
      <c r="F257" s="4" t="e">
        <f t="shared" si="341"/>
        <v>#DIV/0!</v>
      </c>
      <c r="Q257" s="55"/>
      <c r="R257" s="55"/>
      <c r="S257" s="55"/>
      <c r="T257" s="55"/>
      <c r="U257" s="55"/>
    </row>
    <row r="258" spans="6:21" x14ac:dyDescent="0.25">
      <c r="F258" s="4" t="e">
        <f t="shared" si="341"/>
        <v>#DIV/0!</v>
      </c>
      <c r="Q258" s="55"/>
      <c r="R258" s="55"/>
      <c r="S258" s="55"/>
      <c r="T258" s="55"/>
      <c r="U258" s="55"/>
    </row>
    <row r="259" spans="6:21" x14ac:dyDescent="0.25">
      <c r="F259" s="4" t="e">
        <f t="shared" si="341"/>
        <v>#DIV/0!</v>
      </c>
      <c r="Q259" s="55"/>
      <c r="R259" s="55"/>
      <c r="S259" s="55"/>
      <c r="T259" s="55"/>
      <c r="U259" s="55"/>
    </row>
    <row r="260" spans="6:21" x14ac:dyDescent="0.25">
      <c r="F260" s="4" t="e">
        <f t="shared" si="341"/>
        <v>#DIV/0!</v>
      </c>
      <c r="Q260" s="55"/>
      <c r="R260" s="55"/>
      <c r="S260" s="55"/>
      <c r="T260" s="55"/>
      <c r="U260" s="55"/>
    </row>
    <row r="261" spans="6:21" x14ac:dyDescent="0.25">
      <c r="F261" s="4" t="e">
        <f t="shared" ref="F261:F324" si="342">D261/E261</f>
        <v>#DIV/0!</v>
      </c>
      <c r="Q261" s="55"/>
      <c r="R261" s="55"/>
      <c r="S261" s="55"/>
      <c r="T261" s="55"/>
      <c r="U261" s="55"/>
    </row>
    <row r="262" spans="6:21" x14ac:dyDescent="0.25">
      <c r="F262" s="4" t="e">
        <f t="shared" si="342"/>
        <v>#DIV/0!</v>
      </c>
      <c r="Q262" s="55"/>
      <c r="R262" s="55"/>
      <c r="S262" s="55"/>
      <c r="T262" s="55"/>
      <c r="U262" s="55"/>
    </row>
    <row r="263" spans="6:21" x14ac:dyDescent="0.25">
      <c r="F263" s="4" t="e">
        <f t="shared" si="342"/>
        <v>#DIV/0!</v>
      </c>
      <c r="Q263" s="55"/>
      <c r="R263" s="55"/>
      <c r="S263" s="55"/>
      <c r="T263" s="55"/>
      <c r="U263" s="55"/>
    </row>
    <row r="264" spans="6:21" x14ac:dyDescent="0.25">
      <c r="F264" s="4" t="e">
        <f t="shared" si="342"/>
        <v>#DIV/0!</v>
      </c>
      <c r="Q264" s="55"/>
      <c r="R264" s="55"/>
      <c r="S264" s="55"/>
      <c r="T264" s="55"/>
      <c r="U264" s="55"/>
    </row>
    <row r="265" spans="6:21" x14ac:dyDescent="0.25">
      <c r="F265" s="4" t="e">
        <f t="shared" si="342"/>
        <v>#DIV/0!</v>
      </c>
      <c r="Q265" s="55"/>
      <c r="R265" s="55"/>
      <c r="S265" s="55"/>
      <c r="T265" s="55"/>
      <c r="U265" s="55"/>
    </row>
    <row r="266" spans="6:21" x14ac:dyDescent="0.25">
      <c r="F266" s="4" t="e">
        <f t="shared" si="342"/>
        <v>#DIV/0!</v>
      </c>
      <c r="Q266" s="55"/>
      <c r="R266" s="55"/>
      <c r="S266" s="55"/>
      <c r="T266" s="55"/>
      <c r="U266" s="55"/>
    </row>
    <row r="267" spans="6:21" x14ac:dyDescent="0.25">
      <c r="F267" s="4" t="e">
        <f t="shared" si="342"/>
        <v>#DIV/0!</v>
      </c>
      <c r="Q267" s="55"/>
      <c r="R267" s="55"/>
      <c r="S267" s="55"/>
      <c r="T267" s="55"/>
      <c r="U267" s="55"/>
    </row>
    <row r="268" spans="6:21" x14ac:dyDescent="0.25">
      <c r="F268" s="4" t="e">
        <f t="shared" si="342"/>
        <v>#DIV/0!</v>
      </c>
      <c r="Q268" s="55"/>
      <c r="R268" s="55"/>
      <c r="S268" s="55"/>
      <c r="T268" s="55"/>
      <c r="U268" s="55"/>
    </row>
    <row r="269" spans="6:21" x14ac:dyDescent="0.25">
      <c r="F269" s="4" t="e">
        <f t="shared" si="342"/>
        <v>#DIV/0!</v>
      </c>
      <c r="Q269" s="55"/>
      <c r="R269" s="55"/>
      <c r="S269" s="55"/>
      <c r="T269" s="55"/>
      <c r="U269" s="55"/>
    </row>
    <row r="270" spans="6:21" x14ac:dyDescent="0.25">
      <c r="F270" s="4" t="e">
        <f t="shared" si="342"/>
        <v>#DIV/0!</v>
      </c>
      <c r="Q270" s="55"/>
      <c r="R270" s="55"/>
      <c r="S270" s="55"/>
      <c r="T270" s="55"/>
      <c r="U270" s="55"/>
    </row>
    <row r="271" spans="6:21" x14ac:dyDescent="0.25">
      <c r="F271" s="4" t="e">
        <f t="shared" si="342"/>
        <v>#DIV/0!</v>
      </c>
      <c r="Q271" s="55"/>
      <c r="R271" s="55"/>
      <c r="S271" s="55"/>
      <c r="T271" s="55"/>
      <c r="U271" s="55"/>
    </row>
    <row r="272" spans="6:21" x14ac:dyDescent="0.25">
      <c r="F272" s="4" t="e">
        <f t="shared" si="342"/>
        <v>#DIV/0!</v>
      </c>
      <c r="Q272" s="55"/>
      <c r="R272" s="55"/>
      <c r="S272" s="55"/>
      <c r="T272" s="55"/>
      <c r="U272" s="55"/>
    </row>
    <row r="273" spans="6:21" x14ac:dyDescent="0.25">
      <c r="F273" s="4" t="e">
        <f t="shared" si="342"/>
        <v>#DIV/0!</v>
      </c>
      <c r="Q273" s="55"/>
      <c r="R273" s="55"/>
      <c r="S273" s="55"/>
      <c r="T273" s="55"/>
      <c r="U273" s="55"/>
    </row>
    <row r="274" spans="6:21" x14ac:dyDescent="0.25">
      <c r="F274" s="4" t="e">
        <f t="shared" si="342"/>
        <v>#DIV/0!</v>
      </c>
      <c r="Q274" s="55"/>
      <c r="R274" s="55"/>
      <c r="S274" s="55"/>
      <c r="T274" s="55"/>
      <c r="U274" s="55"/>
    </row>
    <row r="275" spans="6:21" x14ac:dyDescent="0.25">
      <c r="F275" s="4" t="e">
        <f t="shared" si="342"/>
        <v>#DIV/0!</v>
      </c>
      <c r="Q275" s="55"/>
      <c r="R275" s="55"/>
      <c r="S275" s="55"/>
      <c r="T275" s="55"/>
      <c r="U275" s="55"/>
    </row>
    <row r="276" spans="6:21" x14ac:dyDescent="0.25">
      <c r="F276" s="4" t="e">
        <f t="shared" si="342"/>
        <v>#DIV/0!</v>
      </c>
      <c r="Q276" s="55"/>
      <c r="R276" s="55"/>
      <c r="S276" s="55"/>
      <c r="T276" s="55"/>
      <c r="U276" s="55"/>
    </row>
    <row r="277" spans="6:21" x14ac:dyDescent="0.25">
      <c r="F277" s="4" t="e">
        <f t="shared" si="342"/>
        <v>#DIV/0!</v>
      </c>
      <c r="Q277" s="55"/>
      <c r="R277" s="55"/>
      <c r="S277" s="55"/>
      <c r="T277" s="55"/>
      <c r="U277" s="55"/>
    </row>
    <row r="278" spans="6:21" x14ac:dyDescent="0.25">
      <c r="F278" s="4" t="e">
        <f t="shared" si="342"/>
        <v>#DIV/0!</v>
      </c>
      <c r="Q278" s="55"/>
      <c r="R278" s="55"/>
      <c r="S278" s="55"/>
      <c r="T278" s="55"/>
      <c r="U278" s="55"/>
    </row>
    <row r="279" spans="6:21" x14ac:dyDescent="0.25">
      <c r="F279" s="4" t="e">
        <f t="shared" si="342"/>
        <v>#DIV/0!</v>
      </c>
      <c r="Q279" s="55"/>
      <c r="R279" s="55"/>
      <c r="S279" s="55"/>
      <c r="T279" s="55"/>
      <c r="U279" s="55"/>
    </row>
    <row r="280" spans="6:21" x14ac:dyDescent="0.25">
      <c r="F280" s="4" t="e">
        <f t="shared" si="342"/>
        <v>#DIV/0!</v>
      </c>
      <c r="Q280" s="55"/>
      <c r="R280" s="55"/>
      <c r="S280" s="55"/>
      <c r="T280" s="55"/>
      <c r="U280" s="55"/>
    </row>
    <row r="281" spans="6:21" x14ac:dyDescent="0.25">
      <c r="F281" s="4" t="e">
        <f t="shared" si="342"/>
        <v>#DIV/0!</v>
      </c>
      <c r="Q281" s="55"/>
      <c r="R281" s="55"/>
      <c r="S281" s="55"/>
      <c r="T281" s="55"/>
      <c r="U281" s="55"/>
    </row>
    <row r="282" spans="6:21" x14ac:dyDescent="0.25">
      <c r="F282" s="4" t="e">
        <f t="shared" si="342"/>
        <v>#DIV/0!</v>
      </c>
      <c r="Q282" s="55"/>
      <c r="R282" s="55"/>
      <c r="S282" s="55"/>
      <c r="T282" s="55"/>
      <c r="U282" s="55"/>
    </row>
    <row r="283" spans="6:21" x14ac:dyDescent="0.25">
      <c r="F283" s="4" t="e">
        <f t="shared" si="342"/>
        <v>#DIV/0!</v>
      </c>
      <c r="Q283" s="55"/>
      <c r="R283" s="55"/>
      <c r="S283" s="55"/>
      <c r="T283" s="55"/>
      <c r="U283" s="55"/>
    </row>
    <row r="284" spans="6:21" x14ac:dyDescent="0.25">
      <c r="F284" s="4" t="e">
        <f t="shared" si="342"/>
        <v>#DIV/0!</v>
      </c>
      <c r="Q284" s="55"/>
      <c r="R284" s="55"/>
      <c r="S284" s="55"/>
      <c r="T284" s="55"/>
      <c r="U284" s="55"/>
    </row>
    <row r="285" spans="6:21" x14ac:dyDescent="0.25">
      <c r="F285" s="4" t="e">
        <f t="shared" si="342"/>
        <v>#DIV/0!</v>
      </c>
      <c r="Q285" s="55"/>
      <c r="R285" s="55"/>
      <c r="S285" s="55"/>
      <c r="T285" s="55"/>
      <c r="U285" s="55"/>
    </row>
    <row r="286" spans="6:21" x14ac:dyDescent="0.25">
      <c r="F286" s="4" t="e">
        <f t="shared" si="342"/>
        <v>#DIV/0!</v>
      </c>
      <c r="Q286" s="55"/>
      <c r="R286" s="55"/>
      <c r="S286" s="55"/>
      <c r="T286" s="55"/>
      <c r="U286" s="55"/>
    </row>
    <row r="287" spans="6:21" x14ac:dyDescent="0.25">
      <c r="F287" s="4" t="e">
        <f t="shared" si="342"/>
        <v>#DIV/0!</v>
      </c>
      <c r="Q287" s="55"/>
      <c r="R287" s="55"/>
      <c r="S287" s="55"/>
      <c r="T287" s="55"/>
      <c r="U287" s="55"/>
    </row>
    <row r="288" spans="6:21" x14ac:dyDescent="0.25">
      <c r="F288" s="4" t="e">
        <f t="shared" si="342"/>
        <v>#DIV/0!</v>
      </c>
      <c r="Q288" s="55"/>
      <c r="R288" s="55"/>
      <c r="S288" s="55"/>
      <c r="T288" s="55"/>
      <c r="U288" s="55"/>
    </row>
    <row r="289" spans="6:21" x14ac:dyDescent="0.25">
      <c r="F289" s="4" t="e">
        <f t="shared" si="342"/>
        <v>#DIV/0!</v>
      </c>
      <c r="Q289" s="55"/>
      <c r="R289" s="55"/>
      <c r="S289" s="55"/>
      <c r="T289" s="55"/>
      <c r="U289" s="55"/>
    </row>
    <row r="290" spans="6:21" x14ac:dyDescent="0.25">
      <c r="F290" s="4" t="e">
        <f t="shared" si="342"/>
        <v>#DIV/0!</v>
      </c>
      <c r="Q290" s="55"/>
      <c r="R290" s="55"/>
      <c r="S290" s="55"/>
      <c r="T290" s="55"/>
      <c r="U290" s="55"/>
    </row>
    <row r="291" spans="6:21" x14ac:dyDescent="0.25">
      <c r="F291" s="4" t="e">
        <f t="shared" si="342"/>
        <v>#DIV/0!</v>
      </c>
      <c r="Q291" s="55"/>
      <c r="R291" s="55"/>
      <c r="S291" s="55"/>
      <c r="T291" s="55"/>
      <c r="U291" s="55"/>
    </row>
    <row r="292" spans="6:21" x14ac:dyDescent="0.25">
      <c r="F292" s="4" t="e">
        <f t="shared" si="342"/>
        <v>#DIV/0!</v>
      </c>
      <c r="Q292" s="55"/>
      <c r="R292" s="55"/>
      <c r="S292" s="55"/>
      <c r="T292" s="55"/>
      <c r="U292" s="55"/>
    </row>
    <row r="293" spans="6:21" x14ac:dyDescent="0.25">
      <c r="F293" s="4" t="e">
        <f t="shared" si="342"/>
        <v>#DIV/0!</v>
      </c>
      <c r="Q293" s="55"/>
      <c r="R293" s="55"/>
      <c r="S293" s="55"/>
      <c r="T293" s="55"/>
      <c r="U293" s="55"/>
    </row>
    <row r="294" spans="6:21" x14ac:dyDescent="0.25">
      <c r="F294" s="4" t="e">
        <f t="shared" si="342"/>
        <v>#DIV/0!</v>
      </c>
      <c r="Q294" s="55"/>
      <c r="R294" s="55"/>
      <c r="S294" s="55"/>
      <c r="T294" s="55"/>
      <c r="U294" s="55"/>
    </row>
    <row r="295" spans="6:21" x14ac:dyDescent="0.25">
      <c r="F295" s="4" t="e">
        <f t="shared" si="342"/>
        <v>#DIV/0!</v>
      </c>
      <c r="Q295" s="55"/>
      <c r="R295" s="55"/>
      <c r="S295" s="55"/>
      <c r="T295" s="55"/>
      <c r="U295" s="55"/>
    </row>
    <row r="296" spans="6:21" x14ac:dyDescent="0.25">
      <c r="F296" s="4" t="e">
        <f t="shared" si="342"/>
        <v>#DIV/0!</v>
      </c>
      <c r="Q296" s="55"/>
      <c r="R296" s="55"/>
      <c r="S296" s="55"/>
      <c r="T296" s="55"/>
      <c r="U296" s="55"/>
    </row>
    <row r="297" spans="6:21" x14ac:dyDescent="0.25">
      <c r="F297" s="4" t="e">
        <f t="shared" si="342"/>
        <v>#DIV/0!</v>
      </c>
      <c r="Q297" s="55"/>
      <c r="R297" s="55"/>
      <c r="S297" s="55"/>
      <c r="T297" s="55"/>
      <c r="U297" s="55"/>
    </row>
    <row r="298" spans="6:21" x14ac:dyDescent="0.25">
      <c r="F298" s="4" t="e">
        <f t="shared" si="342"/>
        <v>#DIV/0!</v>
      </c>
      <c r="Q298" s="55"/>
      <c r="R298" s="55"/>
      <c r="S298" s="55"/>
      <c r="T298" s="55"/>
      <c r="U298" s="55"/>
    </row>
    <row r="299" spans="6:21" x14ac:dyDescent="0.25">
      <c r="F299" s="4" t="e">
        <f t="shared" si="342"/>
        <v>#DIV/0!</v>
      </c>
      <c r="Q299" s="55"/>
      <c r="R299" s="55"/>
      <c r="S299" s="55"/>
      <c r="T299" s="55"/>
      <c r="U299" s="55"/>
    </row>
    <row r="300" spans="6:21" x14ac:dyDescent="0.25">
      <c r="F300" s="4" t="e">
        <f t="shared" si="342"/>
        <v>#DIV/0!</v>
      </c>
      <c r="Q300" s="55"/>
      <c r="R300" s="55"/>
      <c r="S300" s="55"/>
      <c r="T300" s="55"/>
      <c r="U300" s="55"/>
    </row>
    <row r="301" spans="6:21" x14ac:dyDescent="0.25">
      <c r="F301" s="4" t="e">
        <f t="shared" si="342"/>
        <v>#DIV/0!</v>
      </c>
      <c r="Q301" s="55"/>
      <c r="R301" s="55"/>
      <c r="S301" s="55"/>
      <c r="T301" s="55"/>
      <c r="U301" s="55"/>
    </row>
    <row r="302" spans="6:21" x14ac:dyDescent="0.25">
      <c r="F302" s="4" t="e">
        <f t="shared" si="342"/>
        <v>#DIV/0!</v>
      </c>
      <c r="Q302" s="55"/>
      <c r="R302" s="55"/>
      <c r="S302" s="55"/>
      <c r="T302" s="55"/>
      <c r="U302" s="55"/>
    </row>
    <row r="303" spans="6:21" x14ac:dyDescent="0.25">
      <c r="F303" s="4" t="e">
        <f t="shared" si="342"/>
        <v>#DIV/0!</v>
      </c>
      <c r="Q303" s="55"/>
      <c r="R303" s="55"/>
      <c r="S303" s="55"/>
      <c r="T303" s="55"/>
      <c r="U303" s="55"/>
    </row>
    <row r="304" spans="6:21" x14ac:dyDescent="0.25">
      <c r="F304" s="4" t="e">
        <f t="shared" si="342"/>
        <v>#DIV/0!</v>
      </c>
      <c r="Q304" s="55"/>
      <c r="R304" s="55"/>
      <c r="S304" s="55"/>
      <c r="T304" s="55"/>
      <c r="U304" s="55"/>
    </row>
    <row r="305" spans="6:21" x14ac:dyDescent="0.25">
      <c r="F305" s="4" t="e">
        <f t="shared" si="342"/>
        <v>#DIV/0!</v>
      </c>
      <c r="Q305" s="55"/>
      <c r="R305" s="55"/>
      <c r="S305" s="55"/>
      <c r="T305" s="55"/>
      <c r="U305" s="55"/>
    </row>
    <row r="306" spans="6:21" x14ac:dyDescent="0.25">
      <c r="F306" s="4" t="e">
        <f t="shared" si="342"/>
        <v>#DIV/0!</v>
      </c>
      <c r="Q306" s="55"/>
      <c r="R306" s="55"/>
      <c r="S306" s="55"/>
      <c r="T306" s="55"/>
      <c r="U306" s="55"/>
    </row>
    <row r="307" spans="6:21" x14ac:dyDescent="0.25">
      <c r="F307" s="4" t="e">
        <f t="shared" si="342"/>
        <v>#DIV/0!</v>
      </c>
      <c r="Q307" s="55"/>
      <c r="R307" s="55"/>
      <c r="S307" s="55"/>
      <c r="T307" s="55"/>
      <c r="U307" s="55"/>
    </row>
    <row r="308" spans="6:21" x14ac:dyDescent="0.25">
      <c r="F308" s="4" t="e">
        <f t="shared" si="342"/>
        <v>#DIV/0!</v>
      </c>
      <c r="Q308" s="55"/>
      <c r="R308" s="55"/>
      <c r="S308" s="55"/>
      <c r="T308" s="55"/>
      <c r="U308" s="55"/>
    </row>
    <row r="309" spans="6:21" x14ac:dyDescent="0.25">
      <c r="F309" s="4" t="e">
        <f t="shared" si="342"/>
        <v>#DIV/0!</v>
      </c>
      <c r="Q309" s="55"/>
      <c r="R309" s="55"/>
      <c r="S309" s="55"/>
      <c r="T309" s="55"/>
      <c r="U309" s="55"/>
    </row>
    <row r="310" spans="6:21" x14ac:dyDescent="0.25">
      <c r="F310" s="4" t="e">
        <f t="shared" si="342"/>
        <v>#DIV/0!</v>
      </c>
      <c r="Q310" s="55"/>
      <c r="R310" s="55"/>
      <c r="S310" s="55"/>
      <c r="T310" s="55"/>
      <c r="U310" s="55"/>
    </row>
    <row r="311" spans="6:21" x14ac:dyDescent="0.25">
      <c r="F311" s="4" t="e">
        <f t="shared" si="342"/>
        <v>#DIV/0!</v>
      </c>
      <c r="Q311" s="55"/>
      <c r="R311" s="55"/>
      <c r="S311" s="55"/>
      <c r="T311" s="55"/>
      <c r="U311" s="55"/>
    </row>
    <row r="312" spans="6:21" x14ac:dyDescent="0.25">
      <c r="F312" s="4" t="e">
        <f t="shared" si="342"/>
        <v>#DIV/0!</v>
      </c>
      <c r="Q312" s="55"/>
      <c r="R312" s="55"/>
      <c r="S312" s="55"/>
      <c r="T312" s="55"/>
      <c r="U312" s="55"/>
    </row>
    <row r="313" spans="6:21" x14ac:dyDescent="0.25">
      <c r="F313" s="4" t="e">
        <f t="shared" si="342"/>
        <v>#DIV/0!</v>
      </c>
      <c r="Q313" s="55"/>
      <c r="R313" s="55"/>
      <c r="S313" s="55"/>
      <c r="T313" s="55"/>
      <c r="U313" s="55"/>
    </row>
    <row r="314" spans="6:21" x14ac:dyDescent="0.25">
      <c r="F314" s="4" t="e">
        <f t="shared" si="342"/>
        <v>#DIV/0!</v>
      </c>
      <c r="Q314" s="55"/>
      <c r="R314" s="55"/>
      <c r="S314" s="55"/>
      <c r="T314" s="55"/>
      <c r="U314" s="55"/>
    </row>
    <row r="315" spans="6:21" x14ac:dyDescent="0.25">
      <c r="F315" s="4" t="e">
        <f t="shared" si="342"/>
        <v>#DIV/0!</v>
      </c>
      <c r="Q315" s="55"/>
      <c r="R315" s="55"/>
      <c r="S315" s="55"/>
      <c r="T315" s="55"/>
      <c r="U315" s="55"/>
    </row>
    <row r="316" spans="6:21" x14ac:dyDescent="0.25">
      <c r="F316" s="4" t="e">
        <f t="shared" si="342"/>
        <v>#DIV/0!</v>
      </c>
      <c r="Q316" s="55"/>
      <c r="R316" s="55"/>
      <c r="S316" s="55"/>
      <c r="T316" s="55"/>
      <c r="U316" s="55"/>
    </row>
    <row r="317" spans="6:21" x14ac:dyDescent="0.25">
      <c r="F317" s="4" t="e">
        <f t="shared" si="342"/>
        <v>#DIV/0!</v>
      </c>
      <c r="Q317" s="55"/>
      <c r="R317" s="55"/>
      <c r="S317" s="55"/>
      <c r="T317" s="55"/>
      <c r="U317" s="55"/>
    </row>
    <row r="318" spans="6:21" x14ac:dyDescent="0.25">
      <c r="F318" s="4" t="e">
        <f t="shared" si="342"/>
        <v>#DIV/0!</v>
      </c>
      <c r="Q318" s="55"/>
      <c r="R318" s="55"/>
      <c r="S318" s="55"/>
      <c r="T318" s="55"/>
      <c r="U318" s="55"/>
    </row>
    <row r="319" spans="6:21" x14ac:dyDescent="0.25">
      <c r="F319" s="4" t="e">
        <f t="shared" si="342"/>
        <v>#DIV/0!</v>
      </c>
      <c r="Q319" s="55"/>
      <c r="R319" s="55"/>
      <c r="S319" s="55"/>
      <c r="T319" s="55"/>
      <c r="U319" s="55"/>
    </row>
    <row r="320" spans="6:21" x14ac:dyDescent="0.25">
      <c r="F320" s="4" t="e">
        <f t="shared" si="342"/>
        <v>#DIV/0!</v>
      </c>
      <c r="Q320" s="55"/>
      <c r="R320" s="55"/>
      <c r="S320" s="55"/>
      <c r="T320" s="55"/>
      <c r="U320" s="55"/>
    </row>
    <row r="321" spans="6:21" x14ac:dyDescent="0.25">
      <c r="F321" s="4" t="e">
        <f t="shared" si="342"/>
        <v>#DIV/0!</v>
      </c>
      <c r="Q321" s="55"/>
      <c r="R321" s="55"/>
      <c r="S321" s="55"/>
      <c r="T321" s="55"/>
      <c r="U321" s="55"/>
    </row>
    <row r="322" spans="6:21" x14ac:dyDescent="0.25">
      <c r="F322" s="4" t="e">
        <f t="shared" si="342"/>
        <v>#DIV/0!</v>
      </c>
      <c r="Q322" s="55"/>
      <c r="R322" s="55"/>
      <c r="S322" s="55"/>
      <c r="T322" s="55"/>
      <c r="U322" s="55"/>
    </row>
    <row r="323" spans="6:21" x14ac:dyDescent="0.25">
      <c r="F323" s="4" t="e">
        <f t="shared" si="342"/>
        <v>#DIV/0!</v>
      </c>
      <c r="Q323" s="55"/>
      <c r="R323" s="55"/>
      <c r="S323" s="55"/>
      <c r="T323" s="55"/>
      <c r="U323" s="55"/>
    </row>
    <row r="324" spans="6:21" x14ac:dyDescent="0.25">
      <c r="F324" s="4" t="e">
        <f t="shared" si="342"/>
        <v>#DIV/0!</v>
      </c>
      <c r="Q324" s="55"/>
      <c r="R324" s="55"/>
      <c r="S324" s="55"/>
      <c r="T324" s="55"/>
      <c r="U324" s="55"/>
    </row>
    <row r="325" spans="6:21" x14ac:dyDescent="0.25">
      <c r="F325" s="4" t="e">
        <f t="shared" ref="F325:F343" si="343">D325/E325</f>
        <v>#DIV/0!</v>
      </c>
      <c r="Q325" s="55"/>
      <c r="R325" s="55"/>
      <c r="S325" s="55"/>
      <c r="T325" s="55"/>
      <c r="U325" s="55"/>
    </row>
    <row r="326" spans="6:21" x14ac:dyDescent="0.25">
      <c r="F326" s="4" t="e">
        <f t="shared" si="343"/>
        <v>#DIV/0!</v>
      </c>
      <c r="Q326" s="55"/>
      <c r="R326" s="55"/>
      <c r="S326" s="55"/>
      <c r="T326" s="55"/>
      <c r="U326" s="55"/>
    </row>
    <row r="327" spans="6:21" x14ac:dyDescent="0.25">
      <c r="F327" s="4" t="e">
        <f t="shared" si="343"/>
        <v>#DIV/0!</v>
      </c>
      <c r="Q327" s="55"/>
      <c r="R327" s="55"/>
      <c r="S327" s="55"/>
      <c r="T327" s="55"/>
      <c r="U327" s="55"/>
    </row>
    <row r="328" spans="6:21" x14ac:dyDescent="0.25">
      <c r="F328" s="4" t="e">
        <f t="shared" si="343"/>
        <v>#DIV/0!</v>
      </c>
      <c r="Q328" s="55"/>
      <c r="R328" s="55"/>
      <c r="S328" s="55"/>
      <c r="T328" s="55"/>
      <c r="U328" s="55"/>
    </row>
    <row r="329" spans="6:21" x14ac:dyDescent="0.25">
      <c r="F329" s="4" t="e">
        <f t="shared" si="343"/>
        <v>#DIV/0!</v>
      </c>
      <c r="Q329" s="55"/>
      <c r="R329" s="55"/>
      <c r="S329" s="55"/>
      <c r="T329" s="55"/>
      <c r="U329" s="55"/>
    </row>
    <row r="330" spans="6:21" x14ac:dyDescent="0.25">
      <c r="F330" s="4" t="e">
        <f t="shared" si="343"/>
        <v>#DIV/0!</v>
      </c>
      <c r="Q330" s="55"/>
      <c r="R330" s="55"/>
      <c r="S330" s="55"/>
      <c r="T330" s="55"/>
      <c r="U330" s="55"/>
    </row>
    <row r="331" spans="6:21" x14ac:dyDescent="0.25">
      <c r="F331" s="4" t="e">
        <f t="shared" si="343"/>
        <v>#DIV/0!</v>
      </c>
      <c r="Q331" s="55"/>
      <c r="R331" s="55"/>
      <c r="S331" s="55"/>
      <c r="T331" s="55"/>
      <c r="U331" s="55"/>
    </row>
    <row r="332" spans="6:21" x14ac:dyDescent="0.25">
      <c r="F332" s="4" t="e">
        <f t="shared" si="343"/>
        <v>#DIV/0!</v>
      </c>
      <c r="Q332" s="55"/>
      <c r="R332" s="55"/>
      <c r="S332" s="55"/>
      <c r="T332" s="55"/>
      <c r="U332" s="55"/>
    </row>
    <row r="333" spans="6:21" x14ac:dyDescent="0.25">
      <c r="F333" s="4" t="e">
        <f t="shared" si="343"/>
        <v>#DIV/0!</v>
      </c>
      <c r="Q333" s="55"/>
      <c r="R333" s="55"/>
      <c r="S333" s="55"/>
      <c r="T333" s="55"/>
      <c r="U333" s="55"/>
    </row>
    <row r="334" spans="6:21" x14ac:dyDescent="0.25">
      <c r="F334" s="4" t="e">
        <f t="shared" si="343"/>
        <v>#DIV/0!</v>
      </c>
      <c r="Q334" s="55"/>
      <c r="R334" s="55"/>
      <c r="S334" s="55"/>
      <c r="T334" s="55"/>
      <c r="U334" s="55"/>
    </row>
    <row r="335" spans="6:21" x14ac:dyDescent="0.25">
      <c r="F335" s="4" t="e">
        <f t="shared" si="343"/>
        <v>#DIV/0!</v>
      </c>
      <c r="Q335" s="55"/>
      <c r="R335" s="55"/>
      <c r="S335" s="55"/>
      <c r="T335" s="55"/>
      <c r="U335" s="55"/>
    </row>
    <row r="336" spans="6:21" x14ac:dyDescent="0.25">
      <c r="F336" s="4" t="e">
        <f t="shared" si="343"/>
        <v>#DIV/0!</v>
      </c>
      <c r="Q336" s="55"/>
      <c r="R336" s="55"/>
      <c r="S336" s="55"/>
      <c r="T336" s="55"/>
      <c r="U336" s="55"/>
    </row>
    <row r="337" spans="6:21" x14ac:dyDescent="0.25">
      <c r="F337" s="4" t="e">
        <f t="shared" si="343"/>
        <v>#DIV/0!</v>
      </c>
      <c r="Q337" s="55"/>
      <c r="R337" s="55"/>
      <c r="S337" s="55"/>
      <c r="T337" s="55"/>
      <c r="U337" s="55"/>
    </row>
    <row r="338" spans="6:21" x14ac:dyDescent="0.25">
      <c r="F338" s="4" t="e">
        <f t="shared" si="343"/>
        <v>#DIV/0!</v>
      </c>
      <c r="Q338" s="55"/>
      <c r="R338" s="55"/>
      <c r="S338" s="55"/>
      <c r="T338" s="55"/>
      <c r="U338" s="55"/>
    </row>
    <row r="339" spans="6:21" x14ac:dyDescent="0.25">
      <c r="F339" s="4" t="e">
        <f t="shared" si="343"/>
        <v>#DIV/0!</v>
      </c>
      <c r="Q339" s="55"/>
      <c r="R339" s="55"/>
      <c r="S339" s="55"/>
      <c r="T339" s="55"/>
      <c r="U339" s="55"/>
    </row>
    <row r="340" spans="6:21" x14ac:dyDescent="0.25">
      <c r="F340" s="4" t="e">
        <f t="shared" si="343"/>
        <v>#DIV/0!</v>
      </c>
      <c r="Q340" s="55"/>
      <c r="R340" s="55"/>
      <c r="S340" s="55"/>
      <c r="T340" s="55"/>
      <c r="U340" s="55"/>
    </row>
    <row r="341" spans="6:21" x14ac:dyDescent="0.25">
      <c r="F341" s="4" t="e">
        <f t="shared" si="343"/>
        <v>#DIV/0!</v>
      </c>
      <c r="Q341" s="55"/>
      <c r="R341" s="55"/>
      <c r="S341" s="55"/>
      <c r="T341" s="55"/>
      <c r="U341" s="55"/>
    </row>
    <row r="342" spans="6:21" x14ac:dyDescent="0.25">
      <c r="F342" s="4" t="e">
        <f t="shared" si="343"/>
        <v>#DIV/0!</v>
      </c>
      <c r="Q342" s="55"/>
      <c r="R342" s="55"/>
      <c r="S342" s="55"/>
      <c r="T342" s="55"/>
      <c r="U342" s="55"/>
    </row>
    <row r="343" spans="6:21" x14ac:dyDescent="0.25">
      <c r="F343" s="4" t="e">
        <f t="shared" si="343"/>
        <v>#DIV/0!</v>
      </c>
      <c r="Q343" s="55"/>
      <c r="R343" s="55"/>
      <c r="S343" s="55"/>
      <c r="T343" s="55"/>
      <c r="U343" s="55"/>
    </row>
  </sheetData>
  <mergeCells count="867">
    <mergeCell ref="B24:B26"/>
    <mergeCell ref="B27:B29"/>
    <mergeCell ref="B30:B32"/>
    <mergeCell ref="B33:B35"/>
    <mergeCell ref="B36:B38"/>
    <mergeCell ref="B39:B41"/>
    <mergeCell ref="B42:B44"/>
    <mergeCell ref="B60:B62"/>
    <mergeCell ref="B57:B59"/>
    <mergeCell ref="B54:B56"/>
    <mergeCell ref="B51:B53"/>
    <mergeCell ref="B48:B50"/>
    <mergeCell ref="B45:B47"/>
    <mergeCell ref="Q342:U342"/>
    <mergeCell ref="Q343:U343"/>
    <mergeCell ref="Q336:U336"/>
    <mergeCell ref="Q337:U337"/>
    <mergeCell ref="Q338:U338"/>
    <mergeCell ref="Q339:U339"/>
    <mergeCell ref="Q340:U340"/>
    <mergeCell ref="Q341:U341"/>
    <mergeCell ref="Q330:U330"/>
    <mergeCell ref="Q331:U331"/>
    <mergeCell ref="Q332:U332"/>
    <mergeCell ref="Q333:U333"/>
    <mergeCell ref="Q334:U334"/>
    <mergeCell ref="Q335:U335"/>
    <mergeCell ref="Q324:U324"/>
    <mergeCell ref="Q325:U325"/>
    <mergeCell ref="Q326:U326"/>
    <mergeCell ref="Q327:U327"/>
    <mergeCell ref="Q328:U328"/>
    <mergeCell ref="Q329:U329"/>
    <mergeCell ref="Q318:U318"/>
    <mergeCell ref="Q319:U319"/>
    <mergeCell ref="Q320:U320"/>
    <mergeCell ref="Q321:U321"/>
    <mergeCell ref="Q322:U322"/>
    <mergeCell ref="Q323:U323"/>
    <mergeCell ref="Q312:U312"/>
    <mergeCell ref="Q313:U313"/>
    <mergeCell ref="Q314:U314"/>
    <mergeCell ref="Q315:U315"/>
    <mergeCell ref="Q316:U316"/>
    <mergeCell ref="Q317:U317"/>
    <mergeCell ref="Q306:U306"/>
    <mergeCell ref="Q307:U307"/>
    <mergeCell ref="Q308:U308"/>
    <mergeCell ref="Q309:U309"/>
    <mergeCell ref="Q310:U310"/>
    <mergeCell ref="Q311:U311"/>
    <mergeCell ref="Q300:U300"/>
    <mergeCell ref="Q301:U301"/>
    <mergeCell ref="Q302:U302"/>
    <mergeCell ref="Q303:U303"/>
    <mergeCell ref="Q304:U304"/>
    <mergeCell ref="Q305:U305"/>
    <mergeCell ref="Q294:U294"/>
    <mergeCell ref="Q295:U295"/>
    <mergeCell ref="Q296:U296"/>
    <mergeCell ref="Q297:U297"/>
    <mergeCell ref="Q298:U298"/>
    <mergeCell ref="Q299:U299"/>
    <mergeCell ref="Q288:U288"/>
    <mergeCell ref="Q289:U289"/>
    <mergeCell ref="Q290:U290"/>
    <mergeCell ref="Q291:U291"/>
    <mergeCell ref="Q292:U292"/>
    <mergeCell ref="Q293:U293"/>
    <mergeCell ref="Q282:U282"/>
    <mergeCell ref="Q283:U283"/>
    <mergeCell ref="Q284:U284"/>
    <mergeCell ref="Q285:U285"/>
    <mergeCell ref="Q286:U286"/>
    <mergeCell ref="Q287:U287"/>
    <mergeCell ref="Q276:U276"/>
    <mergeCell ref="Q277:U277"/>
    <mergeCell ref="Q278:U278"/>
    <mergeCell ref="Q279:U279"/>
    <mergeCell ref="Q280:U280"/>
    <mergeCell ref="Q281:U281"/>
    <mergeCell ref="Q270:U270"/>
    <mergeCell ref="Q271:U271"/>
    <mergeCell ref="Q272:U272"/>
    <mergeCell ref="Q273:U273"/>
    <mergeCell ref="Q274:U274"/>
    <mergeCell ref="Q275:U275"/>
    <mergeCell ref="Q264:U264"/>
    <mergeCell ref="Q265:U265"/>
    <mergeCell ref="Q266:U266"/>
    <mergeCell ref="Q267:U267"/>
    <mergeCell ref="Q268:U268"/>
    <mergeCell ref="Q269:U269"/>
    <mergeCell ref="Q258:U258"/>
    <mergeCell ref="Q259:U259"/>
    <mergeCell ref="Q260:U260"/>
    <mergeCell ref="Q261:U261"/>
    <mergeCell ref="Q262:U262"/>
    <mergeCell ref="Q263:U263"/>
    <mergeCell ref="Q252:U252"/>
    <mergeCell ref="Q253:U253"/>
    <mergeCell ref="Q254:U254"/>
    <mergeCell ref="Q255:U255"/>
    <mergeCell ref="Q256:U256"/>
    <mergeCell ref="Q257:U257"/>
    <mergeCell ref="Q246:U246"/>
    <mergeCell ref="Q247:U247"/>
    <mergeCell ref="Q248:U248"/>
    <mergeCell ref="Q249:U249"/>
    <mergeCell ref="Q250:U250"/>
    <mergeCell ref="Q251:U251"/>
    <mergeCell ref="Q240:U240"/>
    <mergeCell ref="Q241:U241"/>
    <mergeCell ref="Q242:U242"/>
    <mergeCell ref="Q243:U243"/>
    <mergeCell ref="Q244:U244"/>
    <mergeCell ref="Q245:U245"/>
    <mergeCell ref="Q234:U234"/>
    <mergeCell ref="Q235:U235"/>
    <mergeCell ref="Q236:U236"/>
    <mergeCell ref="Q237:U237"/>
    <mergeCell ref="Q238:U238"/>
    <mergeCell ref="Q239:U239"/>
    <mergeCell ref="Q228:U228"/>
    <mergeCell ref="Q229:U229"/>
    <mergeCell ref="Q230:U230"/>
    <mergeCell ref="Q231:U231"/>
    <mergeCell ref="Q232:U232"/>
    <mergeCell ref="Q233:U233"/>
    <mergeCell ref="Q222:U222"/>
    <mergeCell ref="Q223:U223"/>
    <mergeCell ref="Q224:U224"/>
    <mergeCell ref="Q225:U225"/>
    <mergeCell ref="Q226:U226"/>
    <mergeCell ref="Q227:U227"/>
    <mergeCell ref="Q216:U216"/>
    <mergeCell ref="Q217:U217"/>
    <mergeCell ref="Q218:U218"/>
    <mergeCell ref="Q219:U219"/>
    <mergeCell ref="Q220:U220"/>
    <mergeCell ref="Q221:U221"/>
    <mergeCell ref="Q210:U210"/>
    <mergeCell ref="Q211:U211"/>
    <mergeCell ref="Q212:U212"/>
    <mergeCell ref="Q213:U213"/>
    <mergeCell ref="Q214:U214"/>
    <mergeCell ref="Q215:U215"/>
    <mergeCell ref="Q204:U204"/>
    <mergeCell ref="Q205:U205"/>
    <mergeCell ref="Q206:U206"/>
    <mergeCell ref="Q207:U207"/>
    <mergeCell ref="Q208:U208"/>
    <mergeCell ref="Q209:U209"/>
    <mergeCell ref="Q198:U198"/>
    <mergeCell ref="Q199:U199"/>
    <mergeCell ref="Q200:U200"/>
    <mergeCell ref="Q201:U201"/>
    <mergeCell ref="Q202:U202"/>
    <mergeCell ref="Q203:U203"/>
    <mergeCell ref="Q192:U192"/>
    <mergeCell ref="Q193:U193"/>
    <mergeCell ref="Q194:U194"/>
    <mergeCell ref="Q195:U195"/>
    <mergeCell ref="Q196:U196"/>
    <mergeCell ref="Q197:U197"/>
    <mergeCell ref="Q186:U186"/>
    <mergeCell ref="Q187:U187"/>
    <mergeCell ref="Q188:U188"/>
    <mergeCell ref="Q189:U189"/>
    <mergeCell ref="Q190:U190"/>
    <mergeCell ref="Q191:U191"/>
    <mergeCell ref="Q180:U180"/>
    <mergeCell ref="Q181:U181"/>
    <mergeCell ref="Q182:U182"/>
    <mergeCell ref="Q183:U183"/>
    <mergeCell ref="Q184:U184"/>
    <mergeCell ref="Q185:U185"/>
    <mergeCell ref="Q174:U174"/>
    <mergeCell ref="Q175:U175"/>
    <mergeCell ref="Q176:U176"/>
    <mergeCell ref="Q177:U177"/>
    <mergeCell ref="Q178:U178"/>
    <mergeCell ref="Q179:U179"/>
    <mergeCell ref="Q168:U168"/>
    <mergeCell ref="Q169:U169"/>
    <mergeCell ref="Q170:U170"/>
    <mergeCell ref="Q171:U171"/>
    <mergeCell ref="Q172:U172"/>
    <mergeCell ref="Q173:U173"/>
    <mergeCell ref="Q162:U162"/>
    <mergeCell ref="Q163:U163"/>
    <mergeCell ref="Q164:U164"/>
    <mergeCell ref="Q165:U165"/>
    <mergeCell ref="Q166:U166"/>
    <mergeCell ref="Q167:U167"/>
    <mergeCell ref="Q150:U152"/>
    <mergeCell ref="Q153:U155"/>
    <mergeCell ref="Q156:U158"/>
    <mergeCell ref="Q159:U161"/>
    <mergeCell ref="Q138:U140"/>
    <mergeCell ref="Q141:U143"/>
    <mergeCell ref="Q144:U146"/>
    <mergeCell ref="Q147:U149"/>
    <mergeCell ref="Q126:U128"/>
    <mergeCell ref="Q129:U131"/>
    <mergeCell ref="Q132:U134"/>
    <mergeCell ref="Q135:U137"/>
    <mergeCell ref="Q114:U116"/>
    <mergeCell ref="Q117:U119"/>
    <mergeCell ref="Q120:U122"/>
    <mergeCell ref="P123:P125"/>
    <mergeCell ref="Q123:U125"/>
    <mergeCell ref="Q90:U92"/>
    <mergeCell ref="Q93:U95"/>
    <mergeCell ref="Q96:U98"/>
    <mergeCell ref="Q99:U101"/>
    <mergeCell ref="Q102:U104"/>
    <mergeCell ref="Q105:U107"/>
    <mergeCell ref="Q108:U110"/>
    <mergeCell ref="Q111:U113"/>
    <mergeCell ref="P90:P92"/>
    <mergeCell ref="P93:P95"/>
    <mergeCell ref="P96:P98"/>
    <mergeCell ref="P99:P101"/>
    <mergeCell ref="P102:P104"/>
    <mergeCell ref="P105:P107"/>
    <mergeCell ref="P108:P110"/>
    <mergeCell ref="P111:P113"/>
    <mergeCell ref="P114:P116"/>
    <mergeCell ref="P117:P119"/>
    <mergeCell ref="P120:P122"/>
    <mergeCell ref="Q69:U71"/>
    <mergeCell ref="Q72:U74"/>
    <mergeCell ref="Q75:U77"/>
    <mergeCell ref="Q78:U80"/>
    <mergeCell ref="Q81:U83"/>
    <mergeCell ref="Q84:U86"/>
    <mergeCell ref="Q87:U89"/>
    <mergeCell ref="G42:G44"/>
    <mergeCell ref="I42:I44"/>
    <mergeCell ref="K27:K29"/>
    <mergeCell ref="J30:J32"/>
    <mergeCell ref="K30:K32"/>
    <mergeCell ref="J33:J35"/>
    <mergeCell ref="K33:K35"/>
    <mergeCell ref="J36:J38"/>
    <mergeCell ref="K36:K38"/>
    <mergeCell ref="J39:J41"/>
    <mergeCell ref="G30:G32"/>
    <mergeCell ref="I30:I32"/>
    <mergeCell ref="G33:G35"/>
    <mergeCell ref="J42:J44"/>
    <mergeCell ref="K42:K44"/>
    <mergeCell ref="N1:U1"/>
    <mergeCell ref="Q2:U2"/>
    <mergeCell ref="I33:I35"/>
    <mergeCell ref="G36:G38"/>
    <mergeCell ref="I36:I38"/>
    <mergeCell ref="G39:G41"/>
    <mergeCell ref="I39:I41"/>
    <mergeCell ref="G15:G17"/>
    <mergeCell ref="I15:I17"/>
    <mergeCell ref="G18:G20"/>
    <mergeCell ref="I18:I20"/>
    <mergeCell ref="G21:G23"/>
    <mergeCell ref="I21:I23"/>
    <mergeCell ref="G24:G26"/>
    <mergeCell ref="I24:I26"/>
    <mergeCell ref="G27:G29"/>
    <mergeCell ref="I27:I29"/>
    <mergeCell ref="K39:K41"/>
    <mergeCell ref="H18:H20"/>
    <mergeCell ref="H3:H5"/>
    <mergeCell ref="H6:H8"/>
    <mergeCell ref="H9:H11"/>
    <mergeCell ref="P9:P11"/>
    <mergeCell ref="P12:P14"/>
    <mergeCell ref="I45:I47"/>
    <mergeCell ref="G48:G50"/>
    <mergeCell ref="I48:I50"/>
    <mergeCell ref="G51:G53"/>
    <mergeCell ref="I51:I53"/>
    <mergeCell ref="G54:G56"/>
    <mergeCell ref="I54:I56"/>
    <mergeCell ref="G57:G59"/>
    <mergeCell ref="I57:I59"/>
    <mergeCell ref="H48:H50"/>
    <mergeCell ref="H51:H53"/>
    <mergeCell ref="H54:H56"/>
    <mergeCell ref="H57:H59"/>
    <mergeCell ref="G60:G62"/>
    <mergeCell ref="I60:I62"/>
    <mergeCell ref="G63:G65"/>
    <mergeCell ref="I63:I65"/>
    <mergeCell ref="G66:G68"/>
    <mergeCell ref="I66:I68"/>
    <mergeCell ref="G69:G71"/>
    <mergeCell ref="I69:I71"/>
    <mergeCell ref="H60:H62"/>
    <mergeCell ref="H63:H65"/>
    <mergeCell ref="H66:H68"/>
    <mergeCell ref="H69:H71"/>
    <mergeCell ref="G72:G74"/>
    <mergeCell ref="I72:I74"/>
    <mergeCell ref="G75:G77"/>
    <mergeCell ref="I75:I77"/>
    <mergeCell ref="G78:G80"/>
    <mergeCell ref="I78:I80"/>
    <mergeCell ref="G81:G83"/>
    <mergeCell ref="I81:I83"/>
    <mergeCell ref="H78:H80"/>
    <mergeCell ref="H81:H83"/>
    <mergeCell ref="G84:G86"/>
    <mergeCell ref="I84:I86"/>
    <mergeCell ref="G87:G89"/>
    <mergeCell ref="I87:I89"/>
    <mergeCell ref="G90:G92"/>
    <mergeCell ref="I90:I92"/>
    <mergeCell ref="G93:G95"/>
    <mergeCell ref="I93:I95"/>
    <mergeCell ref="G96:G98"/>
    <mergeCell ref="I96:I98"/>
    <mergeCell ref="H84:H86"/>
    <mergeCell ref="H87:H89"/>
    <mergeCell ref="H90:H92"/>
    <mergeCell ref="H93:H95"/>
    <mergeCell ref="G99:G101"/>
    <mergeCell ref="I99:I101"/>
    <mergeCell ref="G102:G104"/>
    <mergeCell ref="I102:I104"/>
    <mergeCell ref="G105:G107"/>
    <mergeCell ref="I105:I107"/>
    <mergeCell ref="G108:G110"/>
    <mergeCell ref="I108:I110"/>
    <mergeCell ref="G111:G113"/>
    <mergeCell ref="I111:I113"/>
    <mergeCell ref="H108:H110"/>
    <mergeCell ref="H111:H113"/>
    <mergeCell ref="G114:G116"/>
    <mergeCell ref="I114:I116"/>
    <mergeCell ref="G117:G119"/>
    <mergeCell ref="I117:I119"/>
    <mergeCell ref="G120:G122"/>
    <mergeCell ref="I120:I122"/>
    <mergeCell ref="L3:L5"/>
    <mergeCell ref="L6:L8"/>
    <mergeCell ref="L9:L11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L45:L47"/>
    <mergeCell ref="L48:L50"/>
    <mergeCell ref="L51:L53"/>
    <mergeCell ref="L54:L56"/>
    <mergeCell ref="L57:L59"/>
    <mergeCell ref="L60:L62"/>
    <mergeCell ref="L63:L65"/>
    <mergeCell ref="L66:L68"/>
    <mergeCell ref="L69:L71"/>
    <mergeCell ref="L72:L74"/>
    <mergeCell ref="L75:L77"/>
    <mergeCell ref="L78:L80"/>
    <mergeCell ref="L81:L83"/>
    <mergeCell ref="L84:L86"/>
    <mergeCell ref="L87:L89"/>
    <mergeCell ref="L90:L92"/>
    <mergeCell ref="L93:L95"/>
    <mergeCell ref="L96:L98"/>
    <mergeCell ref="L99:L101"/>
    <mergeCell ref="L102:L104"/>
    <mergeCell ref="L105:L107"/>
    <mergeCell ref="L108:L110"/>
    <mergeCell ref="L111:L113"/>
    <mergeCell ref="L114:L116"/>
    <mergeCell ref="L117:L119"/>
    <mergeCell ref="L120:L122"/>
    <mergeCell ref="N3:N5"/>
    <mergeCell ref="J3:J5"/>
    <mergeCell ref="K3:K5"/>
    <mergeCell ref="J6:J8"/>
    <mergeCell ref="K6:K8"/>
    <mergeCell ref="J9:J11"/>
    <mergeCell ref="K9:K11"/>
    <mergeCell ref="J12:J14"/>
    <mergeCell ref="K12:K14"/>
    <mergeCell ref="J15:J17"/>
    <mergeCell ref="K15:K17"/>
    <mergeCell ref="J18:J20"/>
    <mergeCell ref="K18:K20"/>
    <mergeCell ref="J21:J23"/>
    <mergeCell ref="K21:K23"/>
    <mergeCell ref="J24:J26"/>
    <mergeCell ref="K24:K26"/>
    <mergeCell ref="J27:J29"/>
    <mergeCell ref="J45:J47"/>
    <mergeCell ref="K45:K47"/>
    <mergeCell ref="J48:J50"/>
    <mergeCell ref="K48:K50"/>
    <mergeCell ref="J51:J53"/>
    <mergeCell ref="K51:K53"/>
    <mergeCell ref="J72:J74"/>
    <mergeCell ref="K72:K74"/>
    <mergeCell ref="J108:J110"/>
    <mergeCell ref="K108:K110"/>
    <mergeCell ref="J111:J113"/>
    <mergeCell ref="K111:K113"/>
    <mergeCell ref="J114:J116"/>
    <mergeCell ref="K114:K116"/>
    <mergeCell ref="J75:J77"/>
    <mergeCell ref="K75:K77"/>
    <mergeCell ref="J54:J56"/>
    <mergeCell ref="K54:K56"/>
    <mergeCell ref="J57:J59"/>
    <mergeCell ref="K57:K59"/>
    <mergeCell ref="J60:J62"/>
    <mergeCell ref="K60:K62"/>
    <mergeCell ref="J63:J65"/>
    <mergeCell ref="K63:K65"/>
    <mergeCell ref="J66:J68"/>
    <mergeCell ref="K66:K68"/>
    <mergeCell ref="J69:J71"/>
    <mergeCell ref="K69:K71"/>
    <mergeCell ref="J93:J95"/>
    <mergeCell ref="K93:K95"/>
    <mergeCell ref="J96:J98"/>
    <mergeCell ref="K96:K98"/>
    <mergeCell ref="J99:J101"/>
    <mergeCell ref="K99:K101"/>
    <mergeCell ref="J102:J104"/>
    <mergeCell ref="K102:K104"/>
    <mergeCell ref="J105:J107"/>
    <mergeCell ref="K105:K107"/>
    <mergeCell ref="J78:J80"/>
    <mergeCell ref="K78:K80"/>
    <mergeCell ref="J81:J83"/>
    <mergeCell ref="K81:K83"/>
    <mergeCell ref="J84:J86"/>
    <mergeCell ref="K84:K86"/>
    <mergeCell ref="J87:J89"/>
    <mergeCell ref="K87:K89"/>
    <mergeCell ref="J90:J92"/>
    <mergeCell ref="K90:K92"/>
    <mergeCell ref="H114:H116"/>
    <mergeCell ref="H117:H119"/>
    <mergeCell ref="H120:H122"/>
    <mergeCell ref="H96:H98"/>
    <mergeCell ref="H99:H101"/>
    <mergeCell ref="H102:H104"/>
    <mergeCell ref="H105:H107"/>
    <mergeCell ref="H72:H74"/>
    <mergeCell ref="H75:H77"/>
    <mergeCell ref="C60:C62"/>
    <mergeCell ref="C63:C65"/>
    <mergeCell ref="C66:C68"/>
    <mergeCell ref="C69:C71"/>
    <mergeCell ref="C72:C74"/>
    <mergeCell ref="C75:C77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C117:C119"/>
    <mergeCell ref="C120:C122"/>
    <mergeCell ref="M3:M5"/>
    <mergeCell ref="M6:M8"/>
    <mergeCell ref="M9:M11"/>
    <mergeCell ref="M12:M14"/>
    <mergeCell ref="M15:M17"/>
    <mergeCell ref="M18:M20"/>
    <mergeCell ref="M21:M23"/>
    <mergeCell ref="M24:M26"/>
    <mergeCell ref="M27:M29"/>
    <mergeCell ref="M30:M32"/>
    <mergeCell ref="M33:M35"/>
    <mergeCell ref="M36:M38"/>
    <mergeCell ref="M39:M41"/>
    <mergeCell ref="M42:M44"/>
    <mergeCell ref="M45:M47"/>
    <mergeCell ref="M48:M50"/>
    <mergeCell ref="M51:M53"/>
    <mergeCell ref="M54:M56"/>
    <mergeCell ref="M57:M59"/>
    <mergeCell ref="M60:M62"/>
    <mergeCell ref="M63:M65"/>
    <mergeCell ref="M66:M68"/>
    <mergeCell ref="M69:M71"/>
    <mergeCell ref="M72:M74"/>
    <mergeCell ref="M75:M77"/>
    <mergeCell ref="M78:M80"/>
    <mergeCell ref="M81:M83"/>
    <mergeCell ref="M84:M86"/>
    <mergeCell ref="M87:M89"/>
    <mergeCell ref="M90:M92"/>
    <mergeCell ref="M93:M95"/>
    <mergeCell ref="M96:M98"/>
    <mergeCell ref="M99:M101"/>
    <mergeCell ref="M102:M104"/>
    <mergeCell ref="M105:M107"/>
    <mergeCell ref="M108:M110"/>
    <mergeCell ref="M111:M113"/>
    <mergeCell ref="M114:M116"/>
    <mergeCell ref="M117:M119"/>
    <mergeCell ref="M120:M122"/>
    <mergeCell ref="P3:P5"/>
    <mergeCell ref="Q3:U5"/>
    <mergeCell ref="N6:N8"/>
    <mergeCell ref="P6:P8"/>
    <mergeCell ref="Q6:U8"/>
    <mergeCell ref="N9:N11"/>
    <mergeCell ref="N12:N14"/>
    <mergeCell ref="N15:N17"/>
    <mergeCell ref="N18:N20"/>
    <mergeCell ref="N21:N23"/>
    <mergeCell ref="N24:N26"/>
    <mergeCell ref="N27:N29"/>
    <mergeCell ref="N30:N32"/>
    <mergeCell ref="N33:N35"/>
    <mergeCell ref="N36:N38"/>
    <mergeCell ref="N39:N41"/>
    <mergeCell ref="N42:N44"/>
    <mergeCell ref="N45:N47"/>
    <mergeCell ref="N48:N50"/>
    <mergeCell ref="N51:N53"/>
    <mergeCell ref="N54:N56"/>
    <mergeCell ref="N57:N59"/>
    <mergeCell ref="N60:N62"/>
    <mergeCell ref="N63:N65"/>
    <mergeCell ref="N66:N68"/>
    <mergeCell ref="N69:N71"/>
    <mergeCell ref="N72:N74"/>
    <mergeCell ref="N75:N77"/>
    <mergeCell ref="N78:N80"/>
    <mergeCell ref="N81:N83"/>
    <mergeCell ref="N84:N86"/>
    <mergeCell ref="N87:N89"/>
    <mergeCell ref="N90:N92"/>
    <mergeCell ref="N93:N95"/>
    <mergeCell ref="N96:N98"/>
    <mergeCell ref="N99:N101"/>
    <mergeCell ref="N102:N104"/>
    <mergeCell ref="N105:N107"/>
    <mergeCell ref="N108:N110"/>
    <mergeCell ref="N111:N113"/>
    <mergeCell ref="N114:N116"/>
    <mergeCell ref="N117:N119"/>
    <mergeCell ref="N120:N122"/>
    <mergeCell ref="P15:P17"/>
    <mergeCell ref="P18:P20"/>
    <mergeCell ref="P21:P23"/>
    <mergeCell ref="P24:P26"/>
    <mergeCell ref="P27:P29"/>
    <mergeCell ref="P30:P32"/>
    <mergeCell ref="P33:P35"/>
    <mergeCell ref="P36:P38"/>
    <mergeCell ref="P39:P41"/>
    <mergeCell ref="P42:P44"/>
    <mergeCell ref="P45:P47"/>
    <mergeCell ref="P48:P50"/>
    <mergeCell ref="P51:P53"/>
    <mergeCell ref="P54:P56"/>
    <mergeCell ref="P57:P59"/>
    <mergeCell ref="P60:P62"/>
    <mergeCell ref="P63:P65"/>
    <mergeCell ref="P66:P68"/>
    <mergeCell ref="P69:P71"/>
    <mergeCell ref="P72:P74"/>
    <mergeCell ref="P75:P77"/>
    <mergeCell ref="P78:P80"/>
    <mergeCell ref="P81:P83"/>
    <mergeCell ref="P84:P86"/>
    <mergeCell ref="P87:P89"/>
    <mergeCell ref="Q9:U11"/>
    <mergeCell ref="Q12:U14"/>
    <mergeCell ref="Q15:U17"/>
    <mergeCell ref="Q18:U20"/>
    <mergeCell ref="Q21:U23"/>
    <mergeCell ref="Q24:U26"/>
    <mergeCell ref="Q27:U29"/>
    <mergeCell ref="Q30:U32"/>
    <mergeCell ref="Q33:U35"/>
    <mergeCell ref="Q36:U38"/>
    <mergeCell ref="Q39:U41"/>
    <mergeCell ref="Q42:U44"/>
    <mergeCell ref="Q45:U47"/>
    <mergeCell ref="Q48:U50"/>
    <mergeCell ref="Q51:U53"/>
    <mergeCell ref="Q54:U56"/>
    <mergeCell ref="Q57:U59"/>
    <mergeCell ref="Q60:U62"/>
    <mergeCell ref="Q63:U65"/>
    <mergeCell ref="Q66:U68"/>
    <mergeCell ref="A1:M1"/>
    <mergeCell ref="B3:B5"/>
    <mergeCell ref="B6:B8"/>
    <mergeCell ref="B9:B11"/>
    <mergeCell ref="A6:A11"/>
    <mergeCell ref="A3:A5"/>
    <mergeCell ref="A12:A17"/>
    <mergeCell ref="B12:B14"/>
    <mergeCell ref="B15:B17"/>
    <mergeCell ref="C3:C5"/>
    <mergeCell ref="C6:C8"/>
    <mergeCell ref="C9:C11"/>
    <mergeCell ref="C12:C14"/>
    <mergeCell ref="C15:C17"/>
    <mergeCell ref="H12:H14"/>
    <mergeCell ref="H15:H17"/>
    <mergeCell ref="G3:G5"/>
    <mergeCell ref="I3:I5"/>
    <mergeCell ref="G6:G8"/>
    <mergeCell ref="I6:I8"/>
    <mergeCell ref="G9:G11"/>
    <mergeCell ref="I9:I11"/>
    <mergeCell ref="G12:G14"/>
    <mergeCell ref="I12:I14"/>
    <mergeCell ref="A18:A23"/>
    <mergeCell ref="A24:A29"/>
    <mergeCell ref="A30:A35"/>
    <mergeCell ref="A36:A41"/>
    <mergeCell ref="A42:A47"/>
    <mergeCell ref="A48:A53"/>
    <mergeCell ref="A54:A59"/>
    <mergeCell ref="C57:C59"/>
    <mergeCell ref="C18:C20"/>
    <mergeCell ref="C21:C23"/>
    <mergeCell ref="C24:C26"/>
    <mergeCell ref="C27:C29"/>
    <mergeCell ref="H39:H41"/>
    <mergeCell ref="H42:H44"/>
    <mergeCell ref="H45:H47"/>
    <mergeCell ref="H30:H32"/>
    <mergeCell ref="H33:H35"/>
    <mergeCell ref="H36:H38"/>
    <mergeCell ref="H21:H23"/>
    <mergeCell ref="H24:H26"/>
    <mergeCell ref="H27:H29"/>
    <mergeCell ref="G45:G47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B18:B20"/>
    <mergeCell ref="B21:B23"/>
    <mergeCell ref="O3:O5"/>
    <mergeCell ref="O6:O8"/>
    <mergeCell ref="O9:O11"/>
    <mergeCell ref="O12:O14"/>
    <mergeCell ref="O15:O17"/>
    <mergeCell ref="O18:O20"/>
    <mergeCell ref="O21:O23"/>
    <mergeCell ref="O24:O26"/>
    <mergeCell ref="O27:O29"/>
    <mergeCell ref="O30:O32"/>
    <mergeCell ref="O33:O35"/>
    <mergeCell ref="O36:O38"/>
    <mergeCell ref="O39:O41"/>
    <mergeCell ref="O42:O44"/>
    <mergeCell ref="O45:O47"/>
    <mergeCell ref="O48:O50"/>
    <mergeCell ref="O51:O53"/>
    <mergeCell ref="O54:O56"/>
    <mergeCell ref="O57:O59"/>
    <mergeCell ref="O60:O62"/>
    <mergeCell ref="O63:O65"/>
    <mergeCell ref="O66:O68"/>
    <mergeCell ref="O69:O71"/>
    <mergeCell ref="O72:O74"/>
    <mergeCell ref="O75:O77"/>
    <mergeCell ref="O78:O80"/>
    <mergeCell ref="O81:O83"/>
    <mergeCell ref="O84:O86"/>
    <mergeCell ref="O87:O89"/>
    <mergeCell ref="O90:O92"/>
    <mergeCell ref="O93:O95"/>
    <mergeCell ref="O96:O98"/>
    <mergeCell ref="O99:O101"/>
    <mergeCell ref="O102:O104"/>
    <mergeCell ref="O105:O107"/>
    <mergeCell ref="O108:O110"/>
    <mergeCell ref="O111:O113"/>
    <mergeCell ref="O114:O116"/>
    <mergeCell ref="O117:O119"/>
    <mergeCell ref="O120:O122"/>
    <mergeCell ref="C126:C128"/>
    <mergeCell ref="C129:C131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J117:J119"/>
    <mergeCell ref="P126:P128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K117:K119"/>
    <mergeCell ref="J120:J122"/>
    <mergeCell ref="K120:K122"/>
    <mergeCell ref="P132:P134"/>
    <mergeCell ref="G135:G137"/>
    <mergeCell ref="H135:H137"/>
    <mergeCell ref="I135:I137"/>
    <mergeCell ref="J135:J137"/>
    <mergeCell ref="K135:K137"/>
    <mergeCell ref="L135:L137"/>
    <mergeCell ref="M135:M137"/>
    <mergeCell ref="N135:N137"/>
    <mergeCell ref="O135:O137"/>
    <mergeCell ref="P135:P137"/>
    <mergeCell ref="G132:G134"/>
    <mergeCell ref="H132:H134"/>
    <mergeCell ref="I132:I134"/>
    <mergeCell ref="J132:J134"/>
    <mergeCell ref="K132:K134"/>
    <mergeCell ref="L132:L134"/>
    <mergeCell ref="M132:M134"/>
    <mergeCell ref="N132:N134"/>
    <mergeCell ref="O132:O134"/>
    <mergeCell ref="P138:P140"/>
    <mergeCell ref="G141:G143"/>
    <mergeCell ref="H141:H143"/>
    <mergeCell ref="I141:I143"/>
    <mergeCell ref="J141:J143"/>
    <mergeCell ref="K141:K143"/>
    <mergeCell ref="L141:L143"/>
    <mergeCell ref="M141:M143"/>
    <mergeCell ref="N141:N143"/>
    <mergeCell ref="O141:O143"/>
    <mergeCell ref="P141:P143"/>
    <mergeCell ref="G138:G140"/>
    <mergeCell ref="H138:H140"/>
    <mergeCell ref="I138:I140"/>
    <mergeCell ref="J138:J140"/>
    <mergeCell ref="K138:K140"/>
    <mergeCell ref="L138:L140"/>
    <mergeCell ref="M138:M140"/>
    <mergeCell ref="N138:N140"/>
    <mergeCell ref="O138:O140"/>
    <mergeCell ref="P144:P146"/>
    <mergeCell ref="G147:G149"/>
    <mergeCell ref="H147:H149"/>
    <mergeCell ref="I147:I149"/>
    <mergeCell ref="J147:J149"/>
    <mergeCell ref="K147:K149"/>
    <mergeCell ref="L147:L149"/>
    <mergeCell ref="M147:M149"/>
    <mergeCell ref="N147:N149"/>
    <mergeCell ref="O147:O149"/>
    <mergeCell ref="P147:P149"/>
    <mergeCell ref="G144:G146"/>
    <mergeCell ref="H144:H146"/>
    <mergeCell ref="I144:I146"/>
    <mergeCell ref="J144:J146"/>
    <mergeCell ref="K144:K146"/>
    <mergeCell ref="L144:L146"/>
    <mergeCell ref="M144:M146"/>
    <mergeCell ref="N144:N146"/>
    <mergeCell ref="O144:O146"/>
    <mergeCell ref="P150:P152"/>
    <mergeCell ref="G153:G155"/>
    <mergeCell ref="H153:H155"/>
    <mergeCell ref="I153:I155"/>
    <mergeCell ref="J153:J155"/>
    <mergeCell ref="K153:K155"/>
    <mergeCell ref="L153:L155"/>
    <mergeCell ref="M153:M155"/>
    <mergeCell ref="N153:N155"/>
    <mergeCell ref="O153:O155"/>
    <mergeCell ref="P153:P155"/>
    <mergeCell ref="G150:G152"/>
    <mergeCell ref="H150:H152"/>
    <mergeCell ref="I150:I152"/>
    <mergeCell ref="J150:J152"/>
    <mergeCell ref="K150:K152"/>
    <mergeCell ref="L150:L152"/>
    <mergeCell ref="M150:M152"/>
    <mergeCell ref="N150:N152"/>
    <mergeCell ref="O150:O152"/>
    <mergeCell ref="P156:P158"/>
    <mergeCell ref="G159:G161"/>
    <mergeCell ref="H159:H161"/>
    <mergeCell ref="I159:I161"/>
    <mergeCell ref="J159:J161"/>
    <mergeCell ref="K159:K161"/>
    <mergeCell ref="L159:L161"/>
    <mergeCell ref="M159:M161"/>
    <mergeCell ref="N159:N161"/>
    <mergeCell ref="O159:O161"/>
    <mergeCell ref="P159:P161"/>
    <mergeCell ref="G156:G158"/>
    <mergeCell ref="H156:H158"/>
    <mergeCell ref="I156:I158"/>
    <mergeCell ref="J156:J158"/>
    <mergeCell ref="K156:K158"/>
    <mergeCell ref="L156:L158"/>
    <mergeCell ref="M156:M158"/>
    <mergeCell ref="N156:N158"/>
    <mergeCell ref="O156:O158"/>
    <mergeCell ref="C159:C161"/>
    <mergeCell ref="A126:A131"/>
    <mergeCell ref="A132:A137"/>
    <mergeCell ref="A150:A155"/>
    <mergeCell ref="A156:A161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A138:A143"/>
    <mergeCell ref="A144:A149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05F6-DC37-4848-956C-729F77EBD2F3}">
  <dimension ref="A1:H39"/>
  <sheetViews>
    <sheetView zoomScaleNormal="100" workbookViewId="0">
      <selection activeCell="X12" sqref="X12"/>
    </sheetView>
  </sheetViews>
  <sheetFormatPr defaultRowHeight="15" x14ac:dyDescent="0.25"/>
  <cols>
    <col min="7" max="7" width="11.28515625" customWidth="1"/>
    <col min="8" max="8" width="12" bestFit="1" customWidth="1"/>
  </cols>
  <sheetData>
    <row r="1" spans="1:4" x14ac:dyDescent="0.25">
      <c r="A1" t="s">
        <v>37</v>
      </c>
      <c r="B1">
        <v>0.76</v>
      </c>
      <c r="C1">
        <v>1.2120000000000001E-2</v>
      </c>
      <c r="D1">
        <v>5.5300000000000002E-3</v>
      </c>
    </row>
    <row r="2" spans="1:4" x14ac:dyDescent="0.25">
      <c r="A2" t="s">
        <v>38</v>
      </c>
      <c r="B2">
        <v>0.91</v>
      </c>
      <c r="C2">
        <v>1.089E-2</v>
      </c>
      <c r="D2">
        <v>4.3499999999999997E-3</v>
      </c>
    </row>
    <row r="3" spans="1:4" x14ac:dyDescent="0.25">
      <c r="A3" t="s">
        <v>39</v>
      </c>
      <c r="B3">
        <v>1.21</v>
      </c>
      <c r="C3">
        <v>1.26E-2</v>
      </c>
      <c r="D3">
        <v>6.8399999999999997E-3</v>
      </c>
    </row>
    <row r="4" spans="1:4" x14ac:dyDescent="0.25">
      <c r="A4" t="s">
        <v>40</v>
      </c>
      <c r="B4">
        <v>1.52</v>
      </c>
      <c r="C4">
        <v>1.661E-2</v>
      </c>
      <c r="D4">
        <v>8.6899999999999998E-3</v>
      </c>
    </row>
    <row r="5" spans="1:4" x14ac:dyDescent="0.25">
      <c r="A5" t="s">
        <v>41</v>
      </c>
      <c r="B5">
        <v>1.9</v>
      </c>
      <c r="C5">
        <v>1.508E-2</v>
      </c>
      <c r="D5">
        <v>6.3200000000000001E-3</v>
      </c>
    </row>
    <row r="6" spans="1:4" x14ac:dyDescent="0.25">
      <c r="A6" t="s">
        <v>44</v>
      </c>
      <c r="B6">
        <v>2.66</v>
      </c>
      <c r="C6">
        <v>2.1239999999999998E-2</v>
      </c>
      <c r="D6">
        <v>1.125E-2</v>
      </c>
    </row>
    <row r="7" spans="1:4" x14ac:dyDescent="0.25">
      <c r="A7" t="s">
        <v>45</v>
      </c>
      <c r="B7">
        <v>3.04</v>
      </c>
      <c r="C7">
        <v>2.094E-2</v>
      </c>
      <c r="D7">
        <v>9.5200000000000007E-3</v>
      </c>
    </row>
    <row r="8" spans="1:4" x14ac:dyDescent="0.25">
      <c r="A8" t="s">
        <v>46</v>
      </c>
      <c r="B8">
        <v>4.18</v>
      </c>
      <c r="C8">
        <v>2.5999999999999999E-2</v>
      </c>
      <c r="D8">
        <v>1.3429999999999999E-2</v>
      </c>
    </row>
    <row r="9" spans="1:4" x14ac:dyDescent="0.25">
      <c r="A9" t="s">
        <v>47</v>
      </c>
      <c r="B9">
        <v>4.76</v>
      </c>
      <c r="C9">
        <v>3.687E-2</v>
      </c>
    </row>
    <row r="10" spans="1:4" x14ac:dyDescent="0.25">
      <c r="A10" t="s">
        <v>48</v>
      </c>
      <c r="B10">
        <v>4.76</v>
      </c>
      <c r="C10">
        <v>3.687E-2</v>
      </c>
    </row>
    <row r="11" spans="1:4" x14ac:dyDescent="0.25">
      <c r="A11" t="s">
        <v>49</v>
      </c>
      <c r="B11">
        <v>6.35</v>
      </c>
      <c r="C11">
        <v>2.8549999999999999E-2</v>
      </c>
    </row>
    <row r="12" spans="1:4" x14ac:dyDescent="0.25">
      <c r="A12" t="s">
        <v>50</v>
      </c>
      <c r="B12">
        <v>7.94</v>
      </c>
      <c r="C12">
        <v>8.584E-2</v>
      </c>
    </row>
    <row r="13" spans="1:4" x14ac:dyDescent="0.25">
      <c r="A13" t="s">
        <v>51</v>
      </c>
      <c r="B13">
        <v>9.52</v>
      </c>
      <c r="C13" cm="1">
        <f t="array" ref="C13">TREND(C1:C12,B1:B12,B13,TRUE)</f>
        <v>7.524920016449857E-2</v>
      </c>
    </row>
    <row r="14" spans="1:4" x14ac:dyDescent="0.25">
      <c r="A14" t="s">
        <v>42</v>
      </c>
      <c r="B14">
        <v>12.7</v>
      </c>
    </row>
    <row r="15" spans="1:4" x14ac:dyDescent="0.25">
      <c r="A15" t="s">
        <v>43</v>
      </c>
      <c r="B15">
        <v>15.88</v>
      </c>
      <c r="C15">
        <v>0.19994999999999999</v>
      </c>
    </row>
    <row r="30" spans="6:7" ht="17.25" x14ac:dyDescent="0.25">
      <c r="G30" t="s">
        <v>52</v>
      </c>
    </row>
    <row r="32" spans="6:7" x14ac:dyDescent="0.25">
      <c r="F32" t="s">
        <v>53</v>
      </c>
      <c r="G32">
        <v>7.94</v>
      </c>
    </row>
    <row r="33" spans="7:8" x14ac:dyDescent="0.25">
      <c r="G33" s="59">
        <v>3.1467799999999997E-5</v>
      </c>
      <c r="H33">
        <f>(G33*G32^4)</f>
        <v>0.12506862952510911</v>
      </c>
    </row>
    <row r="34" spans="7:8" x14ac:dyDescent="0.25">
      <c r="G34" s="59">
        <v>5.5205179999999996E-4</v>
      </c>
      <c r="H34">
        <f>(G34*G32^3)</f>
        <v>0.27633846289633124</v>
      </c>
    </row>
    <row r="35" spans="7:8" x14ac:dyDescent="0.25">
      <c r="G35" s="59">
        <v>3.3298200999999999E-3</v>
      </c>
      <c r="H35">
        <f>(G35*G32^2)</f>
        <v>0.20992384645636</v>
      </c>
    </row>
    <row r="36" spans="7:8" x14ac:dyDescent="0.25">
      <c r="G36" s="59">
        <v>6.9388032000000004E-3</v>
      </c>
      <c r="H36">
        <f>G36*G32</f>
        <v>5.5094097408000003E-2</v>
      </c>
    </row>
    <row r="37" spans="7:8" x14ac:dyDescent="0.25">
      <c r="G37" s="59">
        <v>9.4833929000000001E-3</v>
      </c>
      <c r="H37">
        <f>G37</f>
        <v>9.4833929000000001E-3</v>
      </c>
    </row>
    <row r="39" spans="7:8" x14ac:dyDescent="0.25">
      <c r="G39" t="s">
        <v>54</v>
      </c>
      <c r="H39">
        <f>H33-H34+H35-H36+H37</f>
        <v>1.304330857713787E-2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Trending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Lutz</dc:creator>
  <cp:lastModifiedBy>Matt Lutz</cp:lastModifiedBy>
  <dcterms:created xsi:type="dcterms:W3CDTF">2020-08-03T20:46:13Z</dcterms:created>
  <dcterms:modified xsi:type="dcterms:W3CDTF">2020-09-03T19:07:08Z</dcterms:modified>
</cp:coreProperties>
</file>